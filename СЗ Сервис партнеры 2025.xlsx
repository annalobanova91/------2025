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ЭРТХА доп работы" sheetId="1" r:id="rId4"/>
    <sheet state="visible" name="ПЕРЕРАСЧЕТЫ ПО РЕБЯТАМ" sheetId="2" r:id="rId5"/>
    <sheet state="visible" name="Лист45" sheetId="3" r:id="rId6"/>
    <sheet state="visible" name="декабрь" sheetId="4" r:id="rId7"/>
    <sheet state="visible" name="ноябрь" sheetId="5" r:id="rId8"/>
    <sheet state="visible" name="октябрь" sheetId="6" r:id="rId9"/>
    <sheet state="visible" name="сентябрь" sheetId="7" r:id="rId10"/>
    <sheet state="visible" name="август" sheetId="8" r:id="rId11"/>
    <sheet state="visible" name="июль" sheetId="9" r:id="rId12"/>
    <sheet state="visible" name="май" sheetId="10" r:id="rId13"/>
    <sheet state="visible" name="июнь" sheetId="11" r:id="rId14"/>
    <sheet state="visible" name="апрель" sheetId="12" r:id="rId15"/>
    <sheet state="visible" name="март" sheetId="13" r:id="rId16"/>
    <sheet state="visible" name="февраль" sheetId="14" r:id="rId17"/>
    <sheet state="visible" name="январь" sheetId="15" r:id="rId18"/>
    <sheet state="visible" name="Итого" sheetId="16" r:id="rId19"/>
    <sheet state="visible" name="Касимов" sheetId="17" r:id="rId20"/>
    <sheet state="visible" name="Мониторинг" sheetId="18" r:id="rId21"/>
    <sheet state="visible" name="Девочки" sheetId="19" r:id="rId22"/>
    <sheet state="visible" name="Мальчики" sheetId="20"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12 домов по ВН по 800 руб.
12*800=9600</t>
      </text>
    </comment>
    <comment authorId="0" ref="C5">
      <text>
        <t xml:space="preserve">322 подъезда 
+ дополнительно к подъездам 11 шт: = 333 
Строителей 70 + 1, 
Новикова1 +3 
строителей 74 + 2, 
Гаф 62 + 5    
</t>
      </text>
    </comment>
    <comment authorId="0" ref="E5">
      <text>
        <t xml:space="preserve">Домофоны - 333 шт * 120 = 39 960 р.
2500 админист-е</t>
      </text>
    </comment>
    <comment authorId="0" ref="H5">
      <text>
        <t xml:space="preserve">2500р расклейка объявлений</t>
      </text>
    </comment>
    <comment authorId="0" ref="E6">
      <text>
        <t xml:space="preserve">смена будни 750
смена выходные 1300  
Будни
22*750=16 500
8*1300=10 400
31.12 =2 600 
Доплата к ЗП 2000 
Мониторинг 
31*78=2418
итого  33 918
Мониторинг 78 руб. в сутки 
</t>
      </text>
    </comment>
    <comment authorId="0" ref="C7">
      <text>
        <t xml:space="preserve">617 под зел 
9 под межгород
4 инно
15 зион
ИТОГО 639
</t>
      </text>
    </comment>
    <comment authorId="0" ref="F7">
      <text>
        <t xml:space="preserve">ВН Инно
</t>
      </text>
    </comment>
    <comment authorId="0" ref="H7">
      <text>
        <t xml:space="preserve">153 дом стекляшка монтаж 3 камер и подведение инета от застройщика  и демонтаж 103 дома - 10000р</t>
      </text>
    </comment>
    <comment authorId="0" ref="L7">
      <text>
        <t xml:space="preserve">Засорина 9 - 4под - 12000
засорина 14 - 4 под - 12000</t>
      </text>
    </comment>
    <comment authorId="0" ref="C8">
      <text>
        <t xml:space="preserve">биометрия</t>
      </text>
    </comment>
    <comment authorId="0" ref="C9">
      <text>
        <t xml:space="preserve"> 363-18 агинова +6 гольцова 10 калитки и шлагбаумы = 
+16 полевая 27</t>
      </text>
    </comment>
    <comment authorId="0" ref="C12">
      <text>
        <t xml:space="preserve">499 камер
</t>
      </text>
    </comment>
    <comment authorId="0" ref="E12">
      <text>
        <t xml:space="preserve">Камеры - 499 шт * 50 =24 950 р.
Гараж 4 000 р.
админ-е 2500 р.
ИТОГО:  31350 руб.</t>
      </text>
    </comment>
    <comment authorId="0" ref="L12">
      <text>
        <t xml:space="preserve">Протянули кабель от коммутаторов до домофонов. 
- Галеева 33 9 подъездов Х3000 = 27000, 
- Галеева 29 9 подъездов Х 3000=27000. 
- Гафиатуллина 66 от жителя до коммутатора в подвале 1шт Х 3000. </t>
      </text>
    </comment>
    <comment authorId="0" ref="C13">
      <text>
        <t xml:space="preserve">230-15  агиновских подъезда (запад)
плюс 15 п (сэмк, ладья)
плюс 8 п полевая 27</t>
      </text>
    </comment>
    <comment authorId="0" ref="C14">
      <text>
        <t xml:space="preserve">22 домов по 800</t>
      </text>
    </comment>
    <comment authorId="0" ref="H14">
      <text>
        <t xml:space="preserve">800 мотор 12 выезд</t>
      </text>
    </comment>
    <comment authorId="0" ref="J14">
      <text>
        <t xml:space="preserve">Малышева 24/1   9000
Игримская 36   77000
Гнаровской 7   20000</t>
      </text>
    </comment>
    <comment authorId="0" ref="E15">
      <text>
        <t xml:space="preserve">фиксированные за 275 подъездов</t>
      </text>
    </comment>
    <comment authorId="0" ref="H15">
      <text>
        <t xml:space="preserve">1200 за заявку на мельникайте113 (ук монолит) 11.12.25
2000 Республики 212 и Игримская 20
</t>
      </text>
    </comment>
    <comment authorId="0" ref="M16">
      <text>
        <t xml:space="preserve">18724 - 367 - 455 (кутуя 110/2 и 110/3 ) = 17902 аб
17902*3,3 = 59076,6
+6% (3544,6)= 62621,20</t>
      </text>
    </comment>
    <comment authorId="0" ref="M17">
      <text>
        <t xml:space="preserve">18724 - 367 - 455 (кутуя 110/2 и 110/3 ) = 17902 аб
17902*3,3 = 59076,6
+6% (3544,6)= 62621,20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12 домов по ВН по 800 руб.
12*800=9600</t>
      </text>
    </comment>
    <comment authorId="0" ref="C5">
      <text>
        <t xml:space="preserve">499 камер
</t>
      </text>
    </comment>
    <comment authorId="0" ref="E5">
      <text>
        <t xml:space="preserve">Камеры - 499 шт * 50 =24 950 р.
Гараж 4 000 р.
админ-е 2500 р.
ИТОГО:  31350 руб.</t>
      </text>
    </comment>
    <comment authorId="0" ref="C6">
      <text>
        <t xml:space="preserve">322 подъезда 
+ дополнительно к подъездам 11 шт: = 333 
Строителей 70 + 1, 
Новикова1 +3 
строителей 74 + 2, 
Гаф 62 + 5    
</t>
      </text>
    </comment>
    <comment authorId="0" ref="E6">
      <text>
        <t xml:space="preserve">Домофоны - 333 шт * 120 = 39 960 р.
2500 админист-е</t>
      </text>
    </comment>
    <comment authorId="0" ref="L6">
      <text>
        <t xml:space="preserve">Монтаж спутников галеева 35 10 шт- 30 тысяч руб.
Выдача ключей 9 подъездов- 4500 руб.</t>
      </text>
    </comment>
    <comment authorId="0" ref="C7">
      <text>
        <t xml:space="preserve">199 Запад - 15 Агинов = 184 п запад
тэск 5 п
тобол 8 п
ладья 8 п 
усадьба 8 п 
ук на полевой 2 п (два входа)
215 итого</t>
      </text>
    </comment>
    <comment authorId="0" ref="G7">
      <text>
        <t xml:space="preserve">налог с суммы 75 158 (денис выводил 30 000 Олегу)
45 158 это его сумма и 30 000 это Олега</t>
      </text>
    </comment>
    <comment authorId="0" ref="H7">
      <text>
        <t xml:space="preserve"> 900 ремонт панели УК Запад
1000 заявка полевая 27</t>
      </text>
    </comment>
    <comment authorId="0" ref="E8">
      <text>
        <t xml:space="preserve">смена будни 750
смена выходные 1300  
Будни
19*750=14 250
10*1300=13 000
4 ноября 2600 
Доплата к ЗП 2000 
Мониторинг 
30*78=2340
итого   34 190 
Мониторинг 78 руб. в сутки 
</t>
      </text>
    </comment>
    <comment authorId="0" ref="C9">
      <text>
        <t xml:space="preserve">617 под зел 
9 под межгород
4 инно
15 зион
ИТОГО 639
</t>
      </text>
    </comment>
    <comment authorId="0" ref="F9">
      <text>
        <t xml:space="preserve">ВН Инно
</t>
      </text>
    </comment>
    <comment authorId="0" ref="L9">
      <text>
        <t xml:space="preserve">Засорина 11 4 подъезда -12000
засорина 16 4 подъезда -12000</t>
      </text>
    </comment>
    <comment authorId="0" ref="C10">
      <text>
        <t xml:space="preserve">биометрия</t>
      </text>
    </comment>
    <comment authorId="0" ref="C11">
      <text>
        <t xml:space="preserve"> 363-18 агинова +6 гольцова 10 калитки и шлагбаумы = 
+16 полевая 27</t>
      </text>
    </comment>
    <comment authorId="0" ref="H11">
      <text>
        <t xml:space="preserve">1000 р за ДР</t>
      </text>
    </comment>
    <comment authorId="0" ref="C13">
      <text>
        <t xml:space="preserve">23 домов по 800</t>
      </text>
    </comment>
    <comment authorId="0" ref="H13">
      <text>
        <t xml:space="preserve">республики 243 сварка</t>
      </text>
    </comment>
    <comment authorId="0" ref="J13">
      <text>
        <t xml:space="preserve">Широтная 125                3500
Мельникайте 113                           85500
Садовая  117              16500</t>
      </text>
    </comment>
    <comment authorId="0" ref="E14">
      <text>
        <t xml:space="preserve">фиксированные за 275 подъездов</t>
      </text>
    </comment>
    <comment authorId="0" ref="M15">
      <text>
        <t xml:space="preserve">18724 - 367 - 455 (кутуя 110/2 и 110/3 ) = 17902 аб
17902*3,3 = 59076,6
(150*2)/2 =150 за установку трубок 
59266,60
+6% (3555,99)= 62822,59</t>
      </text>
    </comment>
    <comment authorId="0" ref="M16">
      <text>
        <t xml:space="preserve">18724 - 367 - 455 (кутуя 110/2 и 110/3 ) = 17902 аб
17902*3,3 = 59076,6
(150*2)/2 =150 за установку трубок 
59266,60
+6% (3555,99)= 62822,59</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12 домов по ВН по 800 руб.
12*800=9600</t>
      </text>
    </comment>
    <comment authorId="0" ref="C5">
      <text>
        <t xml:space="preserve">499 камер
</t>
      </text>
    </comment>
    <comment authorId="0" ref="E5">
      <text>
        <t xml:space="preserve">Камеры - 499 шт * 50 =24 950 р.
Гараж 4 000 р.
админ-е 2500 р.
ИТОГО:  31350 руб.</t>
      </text>
    </comment>
    <comment authorId="0" ref="C6">
      <text>
        <t xml:space="preserve">322 подъезда 
+ дополнительно к подъездам 11 шт: = 333 
Строителей 70 + 1, 
Новикова1 +3 
строителей 74 + 2, 
Гаф 62 + 5    
</t>
      </text>
    </comment>
    <comment authorId="0" ref="E6">
      <text>
        <t xml:space="preserve">Домофоны - 333 шт * 120 = 39 960 р.
2500 админист-е</t>
      </text>
    </comment>
    <comment authorId="0" ref="K6">
      <text>
        <t xml:space="preserve">Ленина 82 пере монтаж 
3000р</t>
      </text>
    </comment>
    <comment authorId="0" ref="C7">
      <text>
        <t xml:space="preserve">230-15  агиновских подъезда</t>
      </text>
    </comment>
    <comment authorId="0" ref="I7">
      <text>
        <t xml:space="preserve">роутер текстильная 5</t>
      </text>
    </comment>
    <comment authorId="0" ref="L7">
      <text>
        <t xml:space="preserve">подключение интернета Текстильная 5
Севастопольская 25</t>
      </text>
    </comment>
    <comment authorId="0" ref="E8">
      <text>
        <t xml:space="preserve">смена будни 750
смена выходные 1300  
Будни
23*750=17250
8*1300=10400
Доплата к ЗП 2000 
Мониторинг 
31*78=2418
итого  32068
Мониторинг 78 руб. в сутки 
</t>
      </text>
    </comment>
    <comment authorId="0" ref="C9">
      <text>
        <t xml:space="preserve">617 под зел 
9 под межгород
4 инно
15 зион
ИТОГО 639
</t>
      </text>
    </comment>
    <comment authorId="0" ref="F9">
      <text>
        <t xml:space="preserve">ВН Инно
</t>
      </text>
    </comment>
    <comment authorId="0" ref="C10">
      <text>
        <t xml:space="preserve">биометрия</t>
      </text>
    </comment>
    <comment authorId="0" ref="C11">
      <text>
        <t xml:space="preserve"> 363-18 агинова +6 гольцова 10 калитки и шлагбаумы = </t>
      </text>
    </comment>
    <comment authorId="0" ref="C13">
      <text>
        <t xml:space="preserve">22 домов по 800</t>
      </text>
    </comment>
    <comment authorId="0" ref="J13">
      <text>
        <t xml:space="preserve">Полевая 27                 8000
Ермака 29                   24000         
Червяк  31                139000</t>
      </text>
    </comment>
    <comment authorId="0" ref="K13">
      <text>
        <t xml:space="preserve">Ставро 29-4п   сварка 1000
Гаст 71 2п                       400
50 лет окт 37б               800
Харьк 59/4                     800
Ткацкий УК                    400
Захарова                        800
Респ 167                         400
Садовая 135а                2000
ткацкий                          1000
полевая 27                     400 </t>
      </text>
    </comment>
    <comment authorId="0" ref="E14">
      <text>
        <t xml:space="preserve">фиксированные за 275 подъездов</t>
      </text>
    </comment>
    <comment authorId="0" ref="M15">
      <text>
        <t xml:space="preserve"> 18724 - 367 - 455 (кутуя 110/2 и 110/3 ) = 17902 аб
17902*3,3 = 59076,6
минус 2600 Раниф сказал = 56476,6
+6% = 59865,19
</t>
      </text>
    </comment>
    <comment authorId="0" ref="M16">
      <text>
        <t xml:space="preserve"> 18724 - 367 - 455 (кутуя 110/2 и 110/3 ) = 17902 аб
17902*3,3 = 59076,6
минус 2600 Раниф сказал = 56476,6
+6% = 59865,19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11 домов по ВН по 800 руб.
11*800=8800</t>
      </text>
    </comment>
    <comment authorId="0" ref="C5">
      <text>
        <t xml:space="preserve">499 камер
</t>
      </text>
    </comment>
    <comment authorId="0" ref="E5">
      <text>
        <t xml:space="preserve">Камеры - 499 шт * 50 =24 950 р.
Гараж 4 000 р.
админ-е 2500 р.
ИТОГО:  31350 руб.</t>
      </text>
    </comment>
    <comment authorId="0" ref="C6">
      <text>
        <t xml:space="preserve">322 подъезда 
+ дополнительно к подъездам 11 шт: = 333 
Строителей 70 + 1, 
Новикова1 +3 
строителей 74 + 2, 
Гаф 62 + 5    
</t>
      </text>
    </comment>
    <comment authorId="0" ref="E6">
      <text>
        <t xml:space="preserve">Домофоны - 333 шт * 120 = 39 960 р.
2500 админист-е</t>
      </text>
    </comment>
    <comment authorId="0" ref="J6">
      <text>
        <t xml:space="preserve">
</t>
      </text>
    </comment>
    <comment authorId="0" ref="K6">
      <text>
        <t xml:space="preserve">Гаф 62 - перетяжка вертикали 15этажей 2 под.
9этажей - 2000р + еще 6 этажей 350*6=2100р. Итого 2000+2100=4100р за 1 вертикалку с 1 ого по 15 этаж.
2 под  получится - 8200р 
+ тут еще за каждый подъезд по 1000р добавим за сложность) 
Итого: 10200р.</t>
      </text>
    </comment>
    <comment authorId="0" ref="C7">
      <text>
        <t xml:space="preserve">230-15  агиновских подъезда</t>
      </text>
    </comment>
    <comment authorId="0" ref="H7">
      <text>
        <t xml:space="preserve">5000 за подклюсчение интернета полевая 27
9000 за 18 заявок игоря, 5 на мысу и 13 на западе</t>
      </text>
    </comment>
    <comment authorId="0" ref="E8">
      <text>
        <t xml:space="preserve">смена будни 750
смена выходные 1300  
Будни
22*750=16500
8*1300=10400
Доплата к ЗП 2000 
Мониторинг 
30*78=2340
итого  31240
Мониторинг 78 руб. в сутки 
</t>
      </text>
    </comment>
    <comment authorId="0" ref="C9">
      <text>
        <t xml:space="preserve">617 под зел 
9 под межгород
4 инно
15 зион
ИТОГО 639
</t>
      </text>
    </comment>
    <comment authorId="0" ref="F9">
      <text>
        <t xml:space="preserve">ВН Инно
</t>
      </text>
    </comment>
    <comment authorId="0" ref="H9">
      <text>
        <t xml:space="preserve">день рождения артема 15.09</t>
      </text>
    </comment>
    <comment authorId="0" ref="L9">
      <text>
        <t xml:space="preserve">засорина 6 - 4 подъезда (3000р за под) = 12 000
засорина  8 - 4 подъезда(3000р за под) = 12 000</t>
      </text>
    </comment>
    <comment authorId="0" ref="C10">
      <text>
        <t xml:space="preserve">биометрия</t>
      </text>
    </comment>
    <comment authorId="0" ref="C11">
      <text>
        <t xml:space="preserve"> 363-18 агинова +6 гольцова 10 калитки и шлагбаумы = </t>
      </text>
    </comment>
    <comment authorId="0" ref="C13">
      <text>
        <t xml:space="preserve">22 домов по 800</t>
      </text>
    </comment>
    <comment authorId="0" ref="J13">
      <text>
        <t xml:space="preserve">Мелн 115          38000   
Полевая 27   85000
Респ 239                        3500</t>
      </text>
    </comment>
    <comment authorId="0" ref="K13">
      <text>
        <t xml:space="preserve">Малыш 18                       400
Житкова 2                       400
Ростовцева 23               400
Гольцова 10                   2800
Артам 9                           1200
Монтаж 51                     400
Житкова 5к1                 400
Монтаж 43                     400
Шир 172а                       400
Шир 125                         400
30 лет Победы 92       400
Монтаж 55                    400
Рост 27                          400
Жит 10                           400
Жит                                500   
Игрим 20   сварка      2000</t>
      </text>
    </comment>
    <comment authorId="0" ref="E14">
      <text>
        <t xml:space="preserve">фиксированные за 275 подъездов</t>
      </text>
    </comment>
    <comment authorId="0" ref="H14">
      <text>
        <t xml:space="preserve">энергетиков 30, 2п замена микрофона цифрал ccd20(новый микрофон 130р)
рижская 70 замена динамика
энерг 49 7 п замена микрофона</t>
      </text>
    </comment>
    <comment authorId="0" ref="I14">
      <text>
        <t xml:space="preserve">22 000 оплата кладовки Казань</t>
      </text>
    </comment>
    <comment authorId="0" ref="J14">
      <text>
        <t xml:space="preserve">8 камер - 28000р
Шкаф сборка и перетяжка электричество - 3000р 
Перетяжка инета (нашли жителя) - 3000р 
Итого: 34000р</t>
      </text>
    </comment>
    <comment authorId="0" ref="I15">
      <text>
        <t xml:space="preserve">22 000 оплата кладовки Казань</t>
      </text>
    </comment>
    <comment authorId="0" ref="J15">
      <text>
        <t xml:space="preserve">8 камер - 28000р
Шкаф сборка и перетяжка электричество - 3000р 
Перетяжка инета (нашли жителя) - 3000р 
Итого: 34000р</t>
      </text>
    </comment>
    <comment authorId="0" ref="M16">
      <text>
        <t xml:space="preserve"> 18724 - 367 - 455 (кутуя 110/2 и 110/3 ) = 17902 аб
17902*3,3 = 59076,6
+6% = 62621,91</t>
      </text>
    </comment>
    <comment authorId="0" ref="M17">
      <text>
        <t xml:space="preserve"> 18724 - 367 - 455 (кутуя 110/2 и 110/3 ) = 17902 аб
17902*3,3 = 59076,6
+6% = 62621,91</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11 домов по ВН по 800 руб.
11*800=8800</t>
      </text>
    </comment>
    <comment authorId="0" ref="C5">
      <text>
        <t xml:space="preserve">499 камер
</t>
      </text>
    </comment>
    <comment authorId="0" ref="E5">
      <text>
        <t xml:space="preserve">Камеры - 499 шт * 50 =24 950 р.
Гараж 4 000 р.
админ-е 2500 р.
ИТОГО:  31350 руб.</t>
      </text>
    </comment>
    <comment authorId="0" ref="K5">
      <text>
        <t xml:space="preserve">Строителей 37 претягивали кабель до нового жителя 3000</t>
      </text>
    </comment>
    <comment authorId="0" ref="C6">
      <text>
        <t xml:space="preserve">322 подъезда 
+ дополнительно к подъездам 11 шт: = 333 
Строителей 70 + 1, 
Новикова1 +3 
строителей 74 + 2, 
Гаф 62 + 5    
</t>
      </text>
    </comment>
    <comment authorId="0" ref="E6">
      <text>
        <t xml:space="preserve">Домофоны - 333 шт * 120 = 39 960 р.
2500 админист-е</t>
      </text>
    </comment>
    <comment authorId="0" ref="J6">
      <text>
        <t xml:space="preserve">
</t>
      </text>
    </comment>
    <comment authorId="0" ref="L6">
      <text>
        <t xml:space="preserve">Галеева 8- 6 подъездов - 18000р 
Клбчи 6 подъездов - 3000р 
Итого: 21000р</t>
      </text>
    </comment>
    <comment authorId="0" ref="C7">
      <text>
        <t xml:space="preserve">230-15  агиновских подъезда</t>
      </text>
    </comment>
    <comment authorId="0" ref="H7">
      <text>
        <t xml:space="preserve">11 заявок игоря по 500
респ 239 подключение новой точки 5000
респ 243  подключение новой точки 5000
мельн 115   подключение новой точки 5000</t>
      </text>
    </comment>
    <comment authorId="0" ref="E8">
      <text>
        <t xml:space="preserve">смена будни 750
смена выходные 1300  
Будни
21*750=15750
10*1300=13000
Доплата к ЗП 2000 
Мониторинг 
31*78=2088
итого  32068
Мониторинг 78 руб. в сутки 
</t>
      </text>
    </comment>
    <comment authorId="0" ref="H8">
      <text>
        <t xml:space="preserve">ане за работу за диляру с 18 по 24 августа
5 буд дней = 5*750 = 3750
2 вых дня = 1300*2 = 2600
мониторинг 7 дн * 78 = 546
</t>
      </text>
    </comment>
    <comment authorId="0" ref="C9">
      <text>
        <t xml:space="preserve">617 под зел 
9 под межгород
4 инно
15 зион
ИТОГО 639
</t>
      </text>
    </comment>
    <comment authorId="0" ref="F9">
      <text>
        <t xml:space="preserve">ВН Инно
</t>
      </text>
    </comment>
    <comment authorId="0" ref="K9">
      <text>
        <t xml:space="preserve">Ленина 2 смена ютп 30 м пробитый кабель- 1000р 
Карла Маркса 5 п9 расключение стояка после пожара - 500р
установка 4 мостов центральная159-193 и193-195- 4000р
161 дом ютп протяжка - 1500р
161 дом мосты  и Василь - 6000р </t>
      </text>
    </comment>
    <comment authorId="0" ref="L9">
      <text>
        <t xml:space="preserve">Гоголя 23а 4 п, 
туктарова 9-2п
Татарстана 36-4п 
итого 10 п   30000 р</t>
      </text>
    </comment>
    <comment authorId="0" ref="C10">
      <text>
        <t xml:space="preserve">биометрия</t>
      </text>
    </comment>
    <comment authorId="0" ref="C11">
      <text>
        <t xml:space="preserve"> 363-18 агинова +6 гольцова 10 калитки и шлагбаумы = </t>
      </text>
    </comment>
    <comment authorId="0" ref="C13">
      <text>
        <t xml:space="preserve">19 домов по 800</t>
      </text>
    </comment>
    <comment authorId="0" ref="H13">
      <text>
        <t xml:space="preserve">Энер 62                                  400
Житкова 8к1                        800
Гольцова  10                        1600 
Монтаж 43                           400
30 лет Победы 75               400
Луначар 36-4п                     400
Военная  23-4п                    400
Садовая 119-56                  400
Ямская 96                            800
Ямская 75-1п                      400
Ямская 106-4п  сварка     1000
Собрание                               800</t>
      </text>
    </comment>
    <comment authorId="0" ref="J13">
      <text>
        <t xml:space="preserve">Респб 239    20000  
Респ  241    24500   
Респ 243  76500    
Мел 115   38000         
Респ 239  56000
Игрим 20    3500</t>
      </text>
    </comment>
    <comment authorId="0" ref="E14">
      <text>
        <t xml:space="preserve">фиксированные за 276 подъездов</t>
      </text>
    </comment>
    <comment authorId="0" ref="H14">
      <text>
        <t xml:space="preserve">галина за голосование 25300
две заявки Игоря по 500</t>
      </text>
    </comment>
    <comment authorId="0" ref="H15">
      <text>
        <t xml:space="preserve">галина за голосование 25300
две заявки Игоря по 500</t>
      </text>
    </comment>
    <comment authorId="0" ref="M16">
      <text>
        <t xml:space="preserve">18714 аб * 3,3 = 61756,2
 + налог 3705,37= 
65462
</t>
      </text>
    </comment>
    <comment authorId="0" ref="M17">
      <text>
        <t xml:space="preserve">18714 аб * 3,3 = 61756,2
 + налог 3705,37= 
65462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11 домов по ВН по 800 руб.
11*800=8800</t>
      </text>
    </comment>
    <comment authorId="0" ref="H3">
      <text>
        <t xml:space="preserve">за март, апркль, май и июнь,/ так как вычитала с него по 800, ане должна была</t>
      </text>
    </comment>
    <comment authorId="0" ref="C5">
      <text>
        <t xml:space="preserve">497 камер
</t>
      </text>
    </comment>
    <comment authorId="0" ref="E5">
      <text>
        <t xml:space="preserve">Камеры - 497 шт * 50 =24 850 р.
Гараж 4 000 р.
админ-е 2500 р.
ИТОГО:  31350 руб.</t>
      </text>
    </comment>
    <comment authorId="0" ref="J5">
      <text>
        <t xml:space="preserve">Строителей 70 
1 камера - 3000р</t>
      </text>
    </comment>
    <comment authorId="0" ref="C6">
      <text>
        <t xml:space="preserve">322 подъезда 
+ дополнительно к подъездам 11 шт: = 333 
Строителей 70 + 1, 
Новикова1 +3 
строителей 74 + 2, 
Гаф 62 + 5    
</t>
      </text>
    </comment>
    <comment authorId="0" ref="E6">
      <text>
        <t xml:space="preserve">Домофоны - 333 шт * 120 = 39 960 р.
2500 админист-е</t>
      </text>
    </comment>
    <comment authorId="0" ref="J6">
      <text>
        <t xml:space="preserve">
Строителей 70
Установка спутников - 2шт - 6000р
Раздача ключей - 500р</t>
      </text>
    </comment>
    <comment authorId="0" ref="C7">
      <text>
        <t xml:space="preserve">230-15  агиновских подъезда</t>
      </text>
    </comment>
    <comment authorId="0" ref="H7">
      <text>
        <t xml:space="preserve">Подключение новой точки интернета 
Республики 241 - 5000
Малышева 24 к 1 - 5000
Заявка по Малышева 24/1 - 500</t>
      </text>
    </comment>
    <comment authorId="0" ref="E8">
      <text>
        <t xml:space="preserve">смена будни 750
смена выходные 1300  
Будни
21*750=15750
8*1300=10400
Доплата к ЗП 2000 
Мониторинг 
31*78=2088
итого  32068
Мониторинг 72 руб. в сутки 
</t>
      </text>
    </comment>
    <comment authorId="0" ref="C9">
      <text>
        <t xml:space="preserve">617 под зел 
9 под межгород
4 инно
15 зион
ИТОГО 639
</t>
      </text>
    </comment>
    <comment authorId="0" ref="F9">
      <text>
        <t xml:space="preserve">ВН Инно
</t>
      </text>
    </comment>
    <comment authorId="0" ref="K9">
      <text>
        <t xml:space="preserve">зион</t>
      </text>
    </comment>
    <comment authorId="0" ref="L9">
      <text>
        <t xml:space="preserve">маяковског 6 - 2 под - 6000р
карла маркса 57 - 8 под  - 24000р
</t>
      </text>
    </comment>
    <comment authorId="0" ref="C10">
      <text>
        <t xml:space="preserve">биометрия</t>
      </text>
    </comment>
    <comment authorId="0" ref="C11">
      <text>
        <t xml:space="preserve"> 363-18 агинова +6 гольцова 10 калитки и шлагбаумы = </t>
      </text>
    </comment>
    <comment authorId="0" ref="C13">
      <text>
        <t xml:space="preserve">18 домов по 800</t>
      </text>
    </comment>
    <comment authorId="0" ref="H13">
      <text>
        <t xml:space="preserve">ЖЭУ 90 ремонт домофона УК -500 
</t>
      </text>
    </comment>
    <comment authorId="0" ref="J13">
      <text>
        <t xml:space="preserve">Ткацкий 18 - 40000 
Игримская 20 - 25000
Малышева 24/1 - 10000 +500 шкаф
Республика 241 - 79500</t>
      </text>
    </comment>
    <comment authorId="0" ref="E14">
      <text>
        <t xml:space="preserve">фиксированные за 276 подъездов</t>
      </text>
    </comment>
    <comment authorId="0" ref="H14">
      <text>
        <t xml:space="preserve">рижская 78, 4п визит 313 замена динамика
Парфенова 36-2п замена динамика 
Энергетиков 49 -2п панель замена динамика
Рижская 65-3п замена динамика</t>
      </text>
    </comment>
    <comment authorId="0" ref="M15">
      <text>
        <t xml:space="preserve">18714 аб * 3,3 = 61756,2
+ 225 трубка
=
61981,20
+ налог 3718,87= 
65700
</t>
      </text>
    </comment>
    <comment authorId="0" ref="M16">
      <text>
        <t xml:space="preserve">18714 аб * 3,3 = 61756,2
+ 225 трубка
=
61981,20
+ налог 3718,87= 
65700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9 домов по ВН по 800 руб.
9*800=7200</t>
      </text>
    </comment>
    <comment authorId="0" ref="G3">
      <text>
        <t xml:space="preserve">оплатили с налички</t>
      </text>
    </comment>
    <comment authorId="0" ref="G4">
      <text>
        <t xml:space="preserve">оплатили с налички</t>
      </text>
    </comment>
    <comment authorId="0" ref="C5">
      <text>
        <t xml:space="preserve">465 камер
322 подъезда 
+ дополнительно к подъездам 11 шт:
Строителей 70 + 1, 
Новикова1 +3 
строителей 74 + 2, 
Гаф 62 + 5    
</t>
      </text>
    </comment>
    <comment authorId="0" ref="E5">
      <text>
        <t xml:space="preserve">Домофоны - 333 шт * 120 = 39 960 р.
Камеры - 497 шт * 50 =24 850 р.
Гараж 4 000 р.
админ-е 5 000 р.
ИТОГО: 72 210 руб.</t>
      </text>
    </comment>
    <comment authorId="0" ref="G5">
      <text>
        <t xml:space="preserve">на эту сумму Артем вытсаивл отдельный чек от 27.05</t>
      </text>
    </comment>
    <comment authorId="0" ref="J5">
      <text>
        <t xml:space="preserve">строителей 70 48000
Гаф 60 12 000
</t>
      </text>
    </comment>
    <comment authorId="0" ref="K5">
      <text>
        <t xml:space="preserve">галеева 10 перетяжка 3000
</t>
      </text>
    </comment>
    <comment authorId="0" ref="L5">
      <text>
        <t xml:space="preserve">строитетей 74 25 000:</t>
      </text>
    </comment>
    <comment authorId="0" ref="C6">
      <text>
        <t xml:space="preserve">230-15  агиновских подъезда</t>
      </text>
    </comment>
    <comment authorId="0" ref="H6">
      <text>
        <t xml:space="preserve">Ремонт, пайка шлейфа червишевский тракт 82, 1п</t>
      </text>
    </comment>
    <comment authorId="0" ref="E7">
      <text>
        <t xml:space="preserve">смена будни 750
смена выходные 1300  
Будни
22*750=16500
9*1300=11700
Доплата к ЗП 2000 
Мониторинг 
31*72=2232
итого  31132   руб.
Мониторинг 72 руб. в сутки 
</t>
      </text>
    </comment>
    <comment authorId="0" ref="H7">
      <text>
        <t xml:space="preserve">доплпата за работу в празники 
11*1300=14300
18*750=13500
2*2600=5200
2000 доплата к зп
2232 мониторинг
итого 37232</t>
      </text>
    </comment>
    <comment authorId="0" ref="C8">
      <text>
        <t xml:space="preserve">611 под зел 
9 под межгород
4 инно
15 зион
ИТОГО 639
</t>
      </text>
    </comment>
    <comment authorId="0" ref="F8">
      <text>
        <t xml:space="preserve">ВН Инно
</t>
      </text>
    </comment>
    <comment authorId="0" ref="G8">
      <text>
        <t xml:space="preserve">на эту сумму Артем вытсаивл отдельный чек от 27.05</t>
      </text>
    </comment>
    <comment authorId="0" ref="H8">
      <text>
        <t xml:space="preserve">налог за то что вывел на налог 13152</t>
      </text>
    </comment>
    <comment authorId="0" ref="K8">
      <text>
        <t xml:space="preserve">демонтаж - монтаж комарова 11 - 1под -     2000р
демонтаж -  монтаж - комарова 23 - 4 под - 2000р
9 панелей замена жилкомплекс - по 300р итого -                  2700р.
</t>
      </text>
    </comment>
    <comment authorId="0" ref="L8">
      <text>
        <t xml:space="preserve">Большая заводская 75 - 2 под итого -              6000р
Гагарина 4 - 4 под итого -                                   12000р
Гагарина 11 - 3 под. - итого 9000р
</t>
      </text>
    </comment>
    <comment authorId="0" ref="C9">
      <text>
        <t xml:space="preserve">биометрия</t>
      </text>
    </comment>
    <comment authorId="0" ref="C10">
      <text>
        <t xml:space="preserve"> 358-18 агинова +6 гольцова 10 калитки и шлагбаумы = </t>
      </text>
    </comment>
    <comment authorId="0" ref="G10">
      <text>
        <t xml:space="preserve">оплатили с налички</t>
      </text>
    </comment>
    <comment authorId="0" ref="C12">
      <text>
        <t xml:space="preserve">16 домов по 800</t>
      </text>
    </comment>
    <comment authorId="0" ref="H12">
      <text>
        <t xml:space="preserve">
Седова 135 сварка + доводчик 2200
Ямская 50-4п сварка 1500</t>
      </text>
    </comment>
    <comment authorId="0" ref="L12">
      <text>
        <t xml:space="preserve">Захарова 11к1 уст домофона 4500</t>
      </text>
    </comment>
    <comment authorId="0" ref="E13">
      <text>
        <t xml:space="preserve">фиксированные </t>
      </text>
    </comment>
    <comment authorId="0" ref="H13">
      <text>
        <t xml:space="preserve">цифрал 2094 замена микрофона - 500р
цифрал 2094м замена микрофона и перепайка регулировок усилителя - 750р
метаком 2003.1 замена динамика
севастопольская 23, 3п 500
пермякова 6а замена микрофона, цифрал 20аб 500
энергетиков 49, 7п. цифрал 2094.1 перепайка микрофона  500
ремонт ворот респ 213 800</t>
      </text>
    </comment>
    <comment authorId="0" ref="M14">
      <text>
        <t xml:space="preserve">18714 аб * 3,3 = 61756,2
61906,2
+ налог 3714,37= 
65620,57
</t>
      </text>
    </comment>
    <comment authorId="0" ref="M15">
      <text>
        <t xml:space="preserve">18714 аб * 3,3 = 61756,2
61906,2
+ налог 3714,37= 
65620,57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9 домов по ВН по 800 руб.
9*800=7200</t>
      </text>
    </comment>
    <comment authorId="0" ref="H3">
      <text>
        <t xml:space="preserve">500р (установка считывателя на зур урам</t>
      </text>
    </comment>
    <comment authorId="0" ref="C5">
      <text>
        <t xml:space="preserve">465 камер
322 подъезда 
+ дополнительно к подъездам 11 шт:
Строителей 70 + 1, 
Новикова1 +3 
строителей 74 + 2, 
Гаф 62 + 5    
</t>
      </text>
    </comment>
    <comment authorId="0" ref="E5">
      <text>
        <t xml:space="preserve">Домофоны - 333 шт * 120 = 39 960 р.
Камеры - 497 шт * 50 =24 850 р.
Гараж 4 000 р.
админ-е 5 000 р.
ИТОГО: 73810 руб.</t>
      </text>
    </comment>
    <comment authorId="0" ref="H5">
      <text>
        <t xml:space="preserve">ДР артура и богдана</t>
      </text>
    </comment>
    <comment authorId="0" ref="J5">
      <text>
        <t xml:space="preserve">35000+7500+15000=57 500</t>
      </text>
    </comment>
    <comment authorId="0" ref="C6">
      <text>
        <t xml:space="preserve">230-15  агиновских подъезда</t>
      </text>
    </comment>
    <comment authorId="0" ref="H6">
      <text>
        <t xml:space="preserve">ДР</t>
      </text>
    </comment>
    <comment authorId="0" ref="E7">
      <text>
        <t xml:space="preserve">смена будни 750
смена выходные 1300  
Будни
19*750=14250
10*1300=13000
праздник 12 июня 2600
Доплата к ЗП 2000 
Мониторинг 
30*72=2160
итого  31610   руб.
Мониторинг 72 руб. в сутки 
</t>
      </text>
    </comment>
    <comment authorId="0" ref="C8">
      <text>
        <t xml:space="preserve">611 под зел 
9 под межгород
4 инно
15 зион
ИТОГО 639
</t>
      </text>
    </comment>
    <comment authorId="0" ref="F8">
      <text>
        <t xml:space="preserve">ВН Инно
</t>
      </text>
    </comment>
    <comment authorId="0" ref="L8">
      <text>
        <t xml:space="preserve">Энгельса 5 - 6 подъездов, 
Тургенева 1 - 3 подъезда,
засорина 10 - 4 подъезда 
13*3000 = 39000р</t>
      </text>
    </comment>
    <comment authorId="0" ref="C9">
      <text>
        <t xml:space="preserve">биометрия</t>
      </text>
    </comment>
    <comment authorId="0" ref="C10">
      <text>
        <t xml:space="preserve"> 358-18 агинова +6 гольцова 10 калитки и шлагбаумы = </t>
      </text>
    </comment>
    <comment authorId="0" ref="C12">
      <text>
        <t xml:space="preserve">16 домов по 800</t>
      </text>
    </comment>
    <comment authorId="0" ref="H12">
      <text>
        <t xml:space="preserve">
Ямская 102 - 2 заявки 800
30 лет Победы 75 сварка 1000
</t>
      </text>
    </comment>
    <comment authorId="0" ref="J12">
      <text>
        <t xml:space="preserve">пархоменко 1 </t>
      </text>
    </comment>
    <comment authorId="0" ref="K12">
      <text>
        <t xml:space="preserve">Луначар 36 -12000
Гастелло 71 -10000
</t>
      </text>
    </comment>
    <comment authorId="0" ref="E13">
      <text>
        <t xml:space="preserve">фиксированные </t>
      </text>
    </comment>
    <comment authorId="0" ref="H13">
      <text>
        <t xml:space="preserve">ремонт 2 будов 302 для склада 500+500
монтаж оборудования энергетиков 49, 3п
(визит 313, буд 301) 2000
 ремонт бвд 342 одесская 63, 1п
замена микрофона и динамика 500
1000 Сделать добавку 1000 за выезд на срочную заявку вечером в выходной день</t>
      </text>
    </comment>
    <comment authorId="0" ref="I13">
      <text>
        <t xml:space="preserve">40 000 вывели для Юли
2400 на диляру, я ее обсчитала, вывели, но ранее закрыли из кассы, поэтому 2400 юля в кассу забрала 
</t>
      </text>
    </comment>
    <comment authorId="0" ref="M14">
      <text>
        <t xml:space="preserve">18714 аб * 3,3 = 61756,2
+ 225 трубка
=
61981,20
+ налог 3718,87= 
65700
</t>
      </text>
    </comment>
    <comment authorId="0" ref="M15">
      <text>
        <t xml:space="preserve">18714 аб * 3,3 = 61756,2
+ 225 трубка
=
61981,20
+ налог 3718,87= 
65700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9 домов по ВН по 800 руб.
9*800=7200</t>
      </text>
    </comment>
    <comment authorId="0" ref="C5">
      <text>
        <t xml:space="preserve">465 камер
322 подъезда 
+ дополнительно к подъездам 11 шт:
Строителей 70 + 1, 
Новикова1 +3 
строителей 74 + 2, 
Гаф 62 + 5    
</t>
      </text>
    </comment>
    <comment authorId="0" ref="E5">
      <text>
        <t xml:space="preserve">Домофоны - 333 шт * 120 = 39 960 р.
Камеры - 465 шт * 50 =23 250 р.
Гараж 4 000 р.
админ-е 5 000 р.
ИТОГО: 72 210 руб.</t>
      </text>
    </comment>
    <comment authorId="0" ref="C6">
      <text>
        <t xml:space="preserve">230-15  агиновских подъезда</t>
      </text>
    </comment>
    <comment authorId="0" ref="H6">
      <text>
        <t xml:space="preserve">Ремонт БУД червиш тракт  88 700 руб,
Рефаб панели спутник транспортная 108, 7п 700руб
</t>
      </text>
    </comment>
    <comment authorId="0" ref="E7">
      <text>
        <t xml:space="preserve">смена будни 750
смена выходные 1300  
Будни
22*750=16500
8*1300=10400
Доплата к ЗП 2000 
Мониторинг 
31*72=2232
итого  31132   руб.
Мониторинг 72 руб. в сутки 
</t>
      </text>
    </comment>
    <comment authorId="0" ref="C8">
      <text>
        <t xml:space="preserve">611 под зел 
9 под межгород
4 инно
15 зион
ИТОГО 639
</t>
      </text>
    </comment>
    <comment authorId="0" ref="F8">
      <text>
        <t xml:space="preserve">ВН Инно
</t>
      </text>
    </comment>
    <comment authorId="0" ref="H8">
      <text>
        <t xml:space="preserve">6500 Василию за заявки (26 заявок за 250 руб) </t>
      </text>
    </comment>
    <comment authorId="0" ref="L8">
      <text>
        <t xml:space="preserve">5 подъездов (ленина 15 и паратская 2)   3000*5=15000</t>
      </text>
    </comment>
    <comment authorId="0" ref="C9">
      <text>
        <t xml:space="preserve">биометрия</t>
      </text>
    </comment>
    <comment authorId="0" ref="C10">
      <text>
        <t xml:space="preserve"> 358-18 агинова +6 гольцова 10 калитки и шлагбаумы = </t>
      </text>
    </comment>
    <comment authorId="0" ref="C12">
      <text>
        <t xml:space="preserve">16 домов по 800</t>
      </text>
    </comment>
    <comment authorId="0" ref="G12">
      <text>
        <t xml:space="preserve">сразу к сумме прибавлять налог 6,4% </t>
      </text>
    </comment>
    <comment authorId="0" ref="H12">
      <text>
        <t xml:space="preserve">Гастелло 65 перетяжка 1,5п  10000 
Голосование 800
Ставропольская 17-4п перетяжка 2000
 </t>
      </text>
    </comment>
    <comment authorId="0" ref="E13">
      <text>
        <t xml:space="preserve">фиксированные </t>
      </text>
    </comment>
    <comment authorId="0" ref="H13">
      <text>
        <t xml:space="preserve">воровского 21, 2 подъезд, замена динамика на панели визит 313  = 500 
рижская 72, 2 подъезд, замена микрофона цифрал 20 абонентский = 500 
республики 213а, 1 подъезд, замена микрофона цифрал 2094 = 500
</t>
      </text>
    </comment>
    <comment authorId="0" ref="M14">
      <text>
        <t xml:space="preserve">18714 аб * 3,3 = 61756,2
+ 75 трубка
=
61906,2
+ налог 3714,37= 
65620,57
</t>
      </text>
    </comment>
    <comment authorId="0" ref="M15">
      <text>
        <t xml:space="preserve">18714 аб * 3,3 = 61756,2
+ 75 р трубка
=
налог 3709,87
65461,57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9 домов по ВН по 800 руб.
9*800=7200</t>
      </text>
    </comment>
    <comment authorId="0" ref="C5">
      <text>
        <t xml:space="preserve">465 камер
322 подъезда 
+ дополнительно к подъездам 11 шт:
Строителей 70 + 1, 
Новикова1 +3 
строителей 74 + 2, 
Гаф 62 + 5    
</t>
      </text>
    </comment>
    <comment authorId="0" ref="E5">
      <text>
        <t xml:space="preserve">Домофоны - 333 шт * 120 = 39 960 р.
Камеры - 465 шт * 50 =23 250 р.
Гараж 4 000 р.
админ-е 5 000 р.
ИТОГО: 71 910 руб.</t>
      </text>
    </comment>
    <comment authorId="0" ref="H5">
      <text>
        <t xml:space="preserve">Продажа ключей по Строителей 53 б - 1500р </t>
      </text>
    </comment>
    <comment authorId="0" ref="I5">
      <text>
        <t xml:space="preserve">Бур - 2000р 
Лан тестер - 14000р ( это мы с ним договорились что это дорогое оборудование покупаем с ним пополам это как раз пол суммы)</t>
      </text>
    </comment>
    <comment authorId="0" ref="J5">
      <text>
        <t xml:space="preserve">Строителей 53б - 9000 перетяжка вертикали и расключение 
Олимпик лайф - 2 - 120000р 
</t>
      </text>
    </comment>
    <comment authorId="0" ref="C6">
      <text>
        <t xml:space="preserve">230-15  агиновских подъезда</t>
      </text>
    </comment>
    <comment authorId="0" ref="H6">
      <text>
        <t xml:space="preserve">ремонт панели cyfral 2094 Пархоменко 52 2п, замена всех кнопок ,1500 руб. 
Выезд вне адрески на Артамонова 300 р
Пайка панели 300 р</t>
      </text>
    </comment>
    <comment authorId="0" ref="E7">
      <text>
        <t xml:space="preserve">смена будни 750
смена выходные 1300  
Будни
21*750=15750
10*1300=13000
Доплата к ЗП 2000 
Мониторинг 
31*71=2201
итого  32951   руб.
Мониторинг 71 руб. в сутки 
</t>
      </text>
    </comment>
    <comment authorId="0" ref="C8">
      <text>
        <t xml:space="preserve">617 под зел 
9 под межгород
4 инно
15 зион
ИТОГО 645
</t>
      </text>
    </comment>
    <comment authorId="0" ref="F8">
      <text>
        <t xml:space="preserve">ВН Инно
</t>
      </text>
    </comment>
    <comment authorId="0" ref="H8">
      <text>
        <t xml:space="preserve">3000 работа в зионе
</t>
      </text>
    </comment>
    <comment authorId="0" ref="L8">
      <text>
        <t xml:space="preserve">10 панелей по жукова 5 по 3000 = 30000
</t>
      </text>
    </comment>
    <comment authorId="0" ref="C9">
      <text>
        <t xml:space="preserve">биометрия</t>
      </text>
    </comment>
    <comment authorId="0" ref="C10">
      <text>
        <t xml:space="preserve"> 358-18 агинова +6 гольцова 10 калитки и шлагбаумы = </t>
      </text>
    </comment>
    <comment authorId="0" ref="C12">
      <text>
        <t xml:space="preserve">16 домов по 800</t>
      </text>
    </comment>
    <comment authorId="0" ref="G12">
      <text>
        <t xml:space="preserve">сразу к сумме прибавлять налог 6,4% </t>
      </text>
    </comment>
    <comment authorId="0" ref="H12">
      <text>
        <t xml:space="preserve">
Одесская 44к1 3 заявки 1200
30 лет Победы 73 сварка 1000
Республики 213а монтаж, демонтаж 2000
Артамонова 9-3п замена контроллера 400
30 лет Победы 76 -2п сварка 1000
Житкова 8к1 зам дов 400
Московский 119 обн камер домофона 400
Белинского 28 обн камер домофона 400
Ямская 96 обн камер домофона 400
Протяжка интернета офис 2000</t>
      </text>
    </comment>
    <comment authorId="0" ref="I12">
      <text>
        <t xml:space="preserve">5500за гофпу и ютп</t>
      </text>
    </comment>
    <comment authorId="0" ref="E13">
      <text>
        <t xml:space="preserve">фиксированные </t>
      </text>
    </comment>
    <comment authorId="0" ref="H13">
      <text>
        <t xml:space="preserve">500 ремнт панели парф 40 1 п
500 ремнт панели рижская 72 1 п 
500 ккм на республики 163 1 п 
республики 213 8 п переподключение 
</t>
      </text>
    </comment>
    <comment authorId="0" ref="M14">
      <text>
        <t xml:space="preserve">18714 аб * 3,3 = 61756,2
+ 75 трубка
=
61906,2
+ налог 3714,37= 
65620,57
</t>
      </text>
    </comment>
    <comment authorId="0" ref="M15">
      <text>
        <t xml:space="preserve">18714 аб * 3,3 = 61756,2
+ 75 р трубка
=
налог 3709,87
65461,57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10 домов по ВН по 800 руб.
10*800=8000</t>
      </text>
    </comment>
    <comment authorId="0" ref="I3">
      <text>
        <t xml:space="preserve">Монтаж Кулахметова 22
Камера - 3*2500р = 7500
Камера лифт - 2* 3000р. = 6000
Интернет - 3000р
итого 16500</t>
      </text>
    </comment>
    <comment authorId="0" ref="K3">
      <text>
        <t xml:space="preserve">перенос камер серова 4 - 2шт - 2000р</t>
      </text>
    </comment>
    <comment authorId="0" ref="E5">
      <text>
        <t xml:space="preserve">Домофоны - 365 шт * 120 = 43 800 р.
Камеры - 459 шт * 50 = 22 950 р.
Гараж 4 000 р.
админ-е 5 000 р.
ИТОГО: 75 750 руб.</t>
      </text>
    </comment>
    <comment authorId="0" ref="I5">
      <text>
        <t xml:space="preserve">Строителей 53б, уа альметьевск
монтаж интернета 1 шт.- 3000. 
Монтаж новый камер 3шт. Х 3000=9000.,
Установка 3 домофонов спутник Х 3000= 9000</t>
      </text>
    </comment>
    <comment authorId="0" ref="K5">
      <text>
        <t xml:space="preserve">демонтаж монтаж камер 3шт Х 1000=3000.</t>
      </text>
    </comment>
    <comment authorId="0" ref="C6">
      <text>
        <t xml:space="preserve">230-15  агиновских подъезда</t>
      </text>
    </comment>
    <comment authorId="0" ref="H6">
      <text>
        <t xml:space="preserve">Заявка по Гольцова 10 400</t>
      </text>
    </comment>
    <comment authorId="0" ref="E7">
      <text>
        <t xml:space="preserve">смена будни 750
смена выходные 1300
Будни
20*750=15000
8*1300=10400
Доплата к ЗП 2000 
Мониторинг 
28*71=1988
итого 29388   руб.
Мониторинг 71 руб. в сутки 
</t>
      </text>
    </comment>
    <comment authorId="0" ref="C8">
      <text>
        <t xml:space="preserve">617 под зел 
9 под межгород
4 инно
15 зион
ИТОГО 645
</t>
      </text>
    </comment>
    <comment authorId="0" ref="F8">
      <text>
        <t xml:space="preserve">ВН Инно
</t>
      </text>
    </comment>
    <comment authorId="0" ref="J8">
      <text>
        <t xml:space="preserve">монтаж 2х домов, Паратская 8 и Комарова 13 = 7 панелей*3 = 21000р</t>
      </text>
    </comment>
    <comment authorId="0" ref="C9">
      <text>
        <t xml:space="preserve">биометрия</t>
      </text>
    </comment>
    <comment authorId="0" ref="C10">
      <text>
        <t xml:space="preserve">358 подъездов  +калитки и шлагбаумы на гольцова 10= 6 шт ) -18 агинова</t>
      </text>
    </comment>
    <comment authorId="0" ref="C12">
      <text>
        <t xml:space="preserve">16 домов по 800</t>
      </text>
    </comment>
    <comment authorId="0" ref="H12">
      <text>
        <t xml:space="preserve">117,00 налог
1 000,00 сварка
400,00 заявка
400,00 заявка
2083,84 налог</t>
      </text>
    </comment>
    <comment authorId="0" ref="I12">
      <text>
        <t xml:space="preserve">одесская 44 к1 камеры и спутники</t>
      </text>
    </comment>
    <comment authorId="0" ref="E13">
      <text>
        <t xml:space="preserve">фиксированные </t>
      </text>
    </comment>
    <comment authorId="0" ref="L14">
      <text>
        <t xml:space="preserve">18714 аб * 3,3 = 61756,2
2 трубки по 150= 300/2 = 150
2 ключа по 100 = 200/2 = 100
62006,2 + налог 3720,37 = 
65726,57</t>
      </text>
    </comment>
    <comment authorId="0" ref="L15">
      <text>
        <t xml:space="preserve">18714 аб * 3,3 = 61756,2
2 трубки по 150= 300/2 = 150
2 ключа по 100 = 200/2 = 100
62006,2 + налог 3720,37 = 
65726,57</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100 руб за подъезд
 10 домов по ВН по 800 руб.
10*800=8000</t>
      </text>
    </comment>
    <comment authorId="0" ref="G3">
      <text>
        <t xml:space="preserve">налог за чек декабря </t>
      </text>
    </comment>
    <comment authorId="0" ref="H3">
      <text>
        <t xml:space="preserve">ДР
</t>
      </text>
    </comment>
    <comment authorId="0" ref="G4">
      <text>
        <t xml:space="preserve">налог за чек декабря </t>
      </text>
    </comment>
    <comment authorId="0" ref="E5">
      <text>
        <t xml:space="preserve">Домофоны - 365 шт * 120 = 43 800 р.
Камеры - 459 шт * 50 = 22 950 р.
Гараж 4 000 р.
админ-е 5 000 р.
ИТОГО: 75 750 руб.</t>
      </text>
    </comment>
    <comment authorId="0" ref="H5">
      <text>
        <t xml:space="preserve">собрание Строителей 53а 800
Белоглазова 151, 1 под. подкючение 500
</t>
      </text>
    </comment>
    <comment authorId="0" ref="C6">
      <text>
        <t xml:space="preserve">230-15  агиновских подъезда</t>
      </text>
    </comment>
    <comment authorId="0" ref="H6">
      <text>
        <t xml:space="preserve">ремонт ПВ
ялут 14- 1000
мал84-700
Срочный выезд в каникулы на Ершова 30, 6 - 1000
заявки по московскому 117
9*400=3600
Московский 119 перетяжка 2000
</t>
      </text>
    </comment>
    <comment authorId="0" ref="E7">
      <text>
        <t xml:space="preserve">смена будни 750
смена выходные 1300
Будни
12*750=9000
6*1300=7800
Новогодние каникулы
2*2600=5200 (01.01 и 7.01)
6*1300=7800 (02.01, 03.01, 04.01, 05.01, 06.01, 08.01)
больничный 
5*375=1875 (27.01,28.01,29.01,30.01,31.01) 
Доплата к ЗП 2000 
Мониторинг 
26*71=1846
итого  35 521 руб.
Мониторинг 67 руб. в сутки 
</t>
      </text>
    </comment>
    <comment authorId="0" ref="C8">
      <text>
        <t xml:space="preserve">622 под зел 
9 под межгород
4 инно
15 зион
ИТОГО 650
</t>
      </text>
    </comment>
    <comment authorId="0" ref="K8">
      <text>
        <t xml:space="preserve">монтаж Гоголя 46, жилкомплекс</t>
      </text>
    </comment>
    <comment authorId="0" ref="C9">
      <text>
        <t xml:space="preserve">биометрия</t>
      </text>
    </comment>
    <comment authorId="0" ref="C10">
      <text>
        <t xml:space="preserve">365-18 агинова</t>
      </text>
    </comment>
    <comment authorId="0" ref="L14">
      <text>
        <t xml:space="preserve">Перерасчет за декабрь
Илья - 2712р это ежемесячное обслуживание + 675р = 3387р(Итого за декабрь)
Костя - 2712р это ежемесячное обслуживание +  675р = 3387р(Итого за декабрь)
Установка Трубки - 9штх150р = 1350р/2=675р.
За январь: 
Илья - 60815+2712р=  63527 на руки с налогом 67338р (ежемесячная сумма)
Костя - 60815+2712р= 63527 на руки с налогом 67338р ( ежемесячная сумма) 
Это итого без доп оплат) Доп оплаты скажу 1 февраля, если они будут)
 +1 ключ 50 руб
3387+63527+250(доп работы за январь)= 67164 + налог 6% = 71194р Илья</t>
      </text>
    </comment>
    <comment authorId="0" ref="L15">
      <text>
        <t xml:space="preserve">Перерасчет за декабрь
Илья - 2712р это ежемесячное обслуживание + 675р = 3387р(Итого за декабрь)
Костя - 2712р это ежемесячное обслуживание +  675р = 3387р(Итого за декабрь)
Установка Трубки - 9штх150р = 1350р/2=675р.
За январь: 
Илья - 60815+2712р=  63527 на руки с налогом 67338р (ежемесячная сумма)
Костя - 60815+2712р= 63527 на руки с налогом 67338р ( ежемесячная сумма) 
Это итого без доп оплат) Доп оплаты скажу 1 февраля, если они будут)
 +1 ключ 50 руб
3387+63527+250(доп работы за январь)= 67164 + налог 6% = 71194р Костя</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жкх моск р-а</t>
      </text>
    </comment>
    <comment authorId="0" ref="D2">
      <text>
        <t xml:space="preserve">жкх моск р-а</t>
      </text>
    </comment>
    <comment authorId="0" ref="E5">
      <text>
        <t xml:space="preserve">жсу</t>
      </text>
    </comment>
    <comment authorId="0" ref="I5">
      <text>
        <t xml:space="preserve">зп диляры</t>
      </text>
    </comment>
    <comment authorId="0" ref="D8">
      <text>
        <t xml:space="preserve">8200 жилкомплекс
16500 зион</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4 домофона 
13 камер</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5*750=3750
</t>
      </text>
    </comment>
    <comment authorId="0" ref="H37">
      <text>
        <t xml:space="preserve">Республики 241</t>
      </text>
    </comment>
    <comment authorId="0" ref="B51">
      <text>
        <t xml:space="preserve">32000/18=1778*13=23111
23111-4286-10160=8668</t>
      </text>
    </comment>
    <comment authorId="0" ref="B52">
      <text>
        <t xml:space="preserve">15*72=1080
</t>
      </text>
    </comment>
    <comment authorId="0" ref="B64">
      <text>
        <t xml:space="preserve">19*72=1368
</t>
      </text>
    </comment>
    <comment authorId="0" ref="E79">
      <text>
        <t xml:space="preserve">9616+11790,19
я только вот это получила 
21 406,16
2178 это не получала</t>
      </text>
    </comment>
    <comment authorId="0" ref="B81">
      <text>
        <t xml:space="preserve">23*78=1541
</t>
      </text>
    </comment>
    <comment authorId="0" ref="D84">
      <text>
        <t xml:space="preserve">с 04.08 по 17.08
10*750=7500
4*1300=5200
мониторинг 14*78=1092
ИТОГО 13792
</t>
      </text>
    </comment>
    <comment authorId="0" ref="B93">
      <text>
        <t xml:space="preserve">16*78=1541
</t>
      </text>
    </comment>
    <comment authorId="0" ref="H93">
      <text>
        <t xml:space="preserve">10*78=780</t>
      </text>
    </comment>
    <comment authorId="0" ref="B105">
      <text>
        <t xml:space="preserve">17*78=1326
</t>
      </text>
    </comment>
    <comment authorId="0" ref="E107">
      <text>
        <t xml:space="preserve">с чека 75 800</t>
      </text>
    </comment>
    <comment authorId="0" ref="F107">
      <text>
        <t xml:space="preserve">с чека 75 800</t>
      </text>
    </comment>
    <comment authorId="0" ref="B116">
      <text>
        <t xml:space="preserve">23*80=1794
</t>
      </text>
    </comment>
    <comment authorId="0" ref="B129">
      <text>
        <t xml:space="preserve">19*80=1520
</t>
      </text>
    </comment>
    <comment authorId="0" ref="H140">
      <text>
        <t xml:space="preserve">2*1300=2600
5*750=3750
7*80=560
итого 6910</t>
      </text>
    </comment>
    <comment authorId="0" ref="B141">
      <text>
        <t xml:space="preserve">22*80=1760
</t>
      </text>
    </comment>
  </commentList>
</comments>
</file>

<file path=xl/sharedStrings.xml><?xml version="1.0" encoding="utf-8"?>
<sst xmlns="http://schemas.openxmlformats.org/spreadsheetml/2006/main" count="1148" uniqueCount="236">
  <si>
    <t>Наименование доп.работы</t>
  </si>
  <si>
    <t>Цена</t>
  </si>
  <si>
    <t>Кол-во</t>
  </si>
  <si>
    <t>Итого</t>
  </si>
  <si>
    <t>Кол-во чел-к</t>
  </si>
  <si>
    <t>К оплате</t>
  </si>
  <si>
    <t>Подключение или замена Аудио трубки</t>
  </si>
  <si>
    <t>Подключение или замена Аудиотрубки с протяжкой абон линий</t>
  </si>
  <si>
    <t>Подключение или замена Видеомонитора</t>
  </si>
  <si>
    <t>Подключение или замена Видеоманитора с кабелем и с  установкой видеоделителем на этаже</t>
  </si>
  <si>
    <t>Продажа и прописание ключа на домофон</t>
  </si>
  <si>
    <t>ФИО</t>
  </si>
  <si>
    <t>Комментарии</t>
  </si>
  <si>
    <t>Садриев</t>
  </si>
  <si>
    <t>С матра уменьшить ко-во домоф по ВН, у нег получается будет 9 домов.  И вычесть - 800 за то что в феврале оплатили. Кулахметова 25 к1 ушли с января 2025</t>
  </si>
  <si>
    <t>учтено</t>
  </si>
  <si>
    <t>Балашов</t>
  </si>
  <si>
    <t>добавить 5500 за гофру и ЮТР</t>
  </si>
  <si>
    <t xml:space="preserve">с апреля добавить одесскую 44 к 1 1 дом 800 р </t>
  </si>
  <si>
    <t xml:space="preserve">в марте +2000 за прояжку линии в офис </t>
  </si>
  <si>
    <t>Диляра</t>
  </si>
  <si>
    <t>Мониторинг считать по 72 руб.</t>
  </si>
  <si>
    <t>Артем</t>
  </si>
  <si>
    <t>Сделать добавку 1000 за выезд на срочную заявку вечером в выходной день</t>
  </si>
  <si>
    <t xml:space="preserve">Балашов </t>
  </si>
  <si>
    <t xml:space="preserve">Монтаж на Луначарского 36 с 1 по 4 под. - 12 000 </t>
  </si>
  <si>
    <t>Сагов</t>
  </si>
  <si>
    <t>Покраска дверей с двух сторон по К.Ц.21 - 8 000 +32000</t>
  </si>
  <si>
    <t>Монтаж на Гастелло 71 с 1 по 4 под. - 10 000</t>
  </si>
  <si>
    <t>12.06*1300, 13, 14,15 июня считать по 1300</t>
  </si>
  <si>
    <t>Тер-я Дениса</t>
  </si>
  <si>
    <t>Кол-во под.</t>
  </si>
  <si>
    <t>Цена за под.</t>
  </si>
  <si>
    <t>Тер-я Артема</t>
  </si>
  <si>
    <t>Общая сумма</t>
  </si>
  <si>
    <t>Сервис партнер</t>
  </si>
  <si>
    <t>ФИО инженера</t>
  </si>
  <si>
    <t>подъездов/камер/домов</t>
  </si>
  <si>
    <t>ставка</t>
  </si>
  <si>
    <t xml:space="preserve">Оклад </t>
  </si>
  <si>
    <t>ГСМ</t>
  </si>
  <si>
    <t>Комиссия/Налоги</t>
  </si>
  <si>
    <t>Доп.работы</t>
  </si>
  <si>
    <t>покупка оборудования</t>
  </si>
  <si>
    <t>Оплата за монтажи кап вложения</t>
  </si>
  <si>
    <t>Оплата за монтажи сервис</t>
  </si>
  <si>
    <t>Оплата за монтажи модернизация</t>
  </si>
  <si>
    <t>ЭРТХА</t>
  </si>
  <si>
    <t xml:space="preserve">Удержание </t>
  </si>
  <si>
    <t>К выплате</t>
  </si>
  <si>
    <t>выплатили</t>
  </si>
  <si>
    <t>доплата</t>
  </si>
  <si>
    <t>Садриев Ильдус</t>
  </si>
  <si>
    <t>оплачено</t>
  </si>
  <si>
    <t>Нуретдинов Рафаэль (ВН)</t>
  </si>
  <si>
    <t xml:space="preserve">Самозанятый </t>
  </si>
  <si>
    <t>Богдан</t>
  </si>
  <si>
    <t>Диляра (КЦ)</t>
  </si>
  <si>
    <t>Калачев Артем</t>
  </si>
  <si>
    <t>Полуянов И.</t>
  </si>
  <si>
    <t>Касимов А.</t>
  </si>
  <si>
    <t>пп</t>
  </si>
  <si>
    <t>Воронцов Денис</t>
  </si>
  <si>
    <t>Балашов Виталий</t>
  </si>
  <si>
    <t>Олег/Артем</t>
  </si>
  <si>
    <t>Илья</t>
  </si>
  <si>
    <t>Костя</t>
  </si>
  <si>
    <t>Гусейнов Артем</t>
  </si>
  <si>
    <t>ИТОГО</t>
  </si>
  <si>
    <t xml:space="preserve">ОБЩАЯ СУММА </t>
  </si>
  <si>
    <t>ВН</t>
  </si>
  <si>
    <t>ДО</t>
  </si>
  <si>
    <t>Налог</t>
  </si>
  <si>
    <t>итого</t>
  </si>
  <si>
    <t>Ильдус</t>
  </si>
  <si>
    <t xml:space="preserve">Рафаэль </t>
  </si>
  <si>
    <t>Гараж+админ</t>
  </si>
  <si>
    <t>Касимов</t>
  </si>
  <si>
    <t>Воронцов</t>
  </si>
  <si>
    <t>Калачев</t>
  </si>
  <si>
    <t>Полуянов</t>
  </si>
  <si>
    <t>Олег</t>
  </si>
  <si>
    <t>Илья/ костя</t>
  </si>
  <si>
    <t>Гусейнов</t>
  </si>
  <si>
    <t>ФОТ</t>
  </si>
  <si>
    <t>МОНТАЖИ</t>
  </si>
  <si>
    <t>оборудование</t>
  </si>
  <si>
    <t>ФОТ за минусом</t>
  </si>
  <si>
    <t>запросила</t>
  </si>
  <si>
    <t xml:space="preserve">запросила </t>
  </si>
  <si>
    <t xml:space="preserve">запросила чек </t>
  </si>
  <si>
    <t>497/333</t>
  </si>
  <si>
    <t>50/120</t>
  </si>
  <si>
    <t>2400 доплатили из кассы Диляре</t>
  </si>
  <si>
    <t>465/333</t>
  </si>
  <si>
    <t>459/365</t>
  </si>
  <si>
    <t>Оплата за монтажи Модернизация</t>
  </si>
  <si>
    <t xml:space="preserve">Налог с чека января </t>
  </si>
  <si>
    <t>Касимов А.(ВН)</t>
  </si>
  <si>
    <t>Позитив</t>
  </si>
  <si>
    <t>Ключи</t>
  </si>
  <si>
    <t>ФОТ оклад</t>
  </si>
  <si>
    <t>ФОТ кап вложения</t>
  </si>
  <si>
    <t>ФОТ Сервис</t>
  </si>
  <si>
    <t>ФОТ Модернизация</t>
  </si>
  <si>
    <t>общая</t>
  </si>
  <si>
    <t xml:space="preserve">вн за год </t>
  </si>
  <si>
    <t>Васильев</t>
  </si>
  <si>
    <t>2400 диляры из кассы</t>
  </si>
  <si>
    <t>8009 отд чек на налог</t>
  </si>
  <si>
    <t>Камеры</t>
  </si>
  <si>
    <t>Подъезды</t>
  </si>
  <si>
    <t>Кол-во на 31.03.25</t>
  </si>
  <si>
    <t>на 30.06.25</t>
  </si>
  <si>
    <t>на 30.09.25</t>
  </si>
  <si>
    <t>Домофоны</t>
  </si>
  <si>
    <t>Первоночальный расчет</t>
  </si>
  <si>
    <t>Стоимость одной камеры</t>
  </si>
  <si>
    <t>кол-во дней</t>
  </si>
  <si>
    <t>Было в 2024 го</t>
  </si>
  <si>
    <t>На 31.03.25</t>
  </si>
  <si>
    <t>Добавилось</t>
  </si>
  <si>
    <t>за 1 день день</t>
  </si>
  <si>
    <t>Добавилось за 1 кв</t>
  </si>
  <si>
    <t>Добавка за 9 мес.</t>
  </si>
  <si>
    <t>мониторинг (как делали расчет)</t>
  </si>
  <si>
    <t>взяли 4000 руб. / 30 дней =133 / 2 (человека) = 66,66 день</t>
  </si>
  <si>
    <t>Альм - 434</t>
  </si>
  <si>
    <t>Зел - 118</t>
  </si>
  <si>
    <t>Тюм - 60</t>
  </si>
  <si>
    <t>Инно -  103</t>
  </si>
  <si>
    <t>Зел. -  15</t>
  </si>
  <si>
    <t>Панели - 355</t>
  </si>
  <si>
    <t>Всего 1085 шт</t>
  </si>
  <si>
    <t>2 кв</t>
  </si>
  <si>
    <t>спутники</t>
  </si>
  <si>
    <t>камеры</t>
  </si>
  <si>
    <t>Тюмень</t>
  </si>
  <si>
    <t>Если тебе надо 100 на руки то 100/90.5*100=110497.</t>
  </si>
  <si>
    <t>Наташа за январь 2025</t>
  </si>
  <si>
    <t>Анна за январь 2025</t>
  </si>
  <si>
    <t>Я за январь 2025</t>
  </si>
  <si>
    <t xml:space="preserve">ЗП на руки </t>
  </si>
  <si>
    <t>ЗП на руки</t>
  </si>
  <si>
    <t>ЗП аванс</t>
  </si>
  <si>
    <t>Мониторинг, 6 дн</t>
  </si>
  <si>
    <t>ЗП первичка</t>
  </si>
  <si>
    <t>Звонки будни</t>
  </si>
  <si>
    <t>ЗП вторчка</t>
  </si>
  <si>
    <t>1 с</t>
  </si>
  <si>
    <t>Мониторинг, 17 дн</t>
  </si>
  <si>
    <t>прием звонков 03.02.</t>
  </si>
  <si>
    <t>Наташа за февраль 2025</t>
  </si>
  <si>
    <t>Анна за февраль 2025</t>
  </si>
  <si>
    <t>Я за февраль 2025</t>
  </si>
  <si>
    <t>Мониторинг</t>
  </si>
  <si>
    <t>НА РУКИ вторичка</t>
  </si>
  <si>
    <t>Бычновой Наташе за март 2025</t>
  </si>
  <si>
    <t>Лобанова Анна за март 2024</t>
  </si>
  <si>
    <t>Колова за март 2024</t>
  </si>
  <si>
    <t>Аванс первичка</t>
  </si>
  <si>
    <t xml:space="preserve">ЗП первичка </t>
  </si>
  <si>
    <t xml:space="preserve">Разовая премия за 2024 </t>
  </si>
  <si>
    <t>К доплате ЗП вторичка</t>
  </si>
  <si>
    <t>Мониторинг, 21 дн</t>
  </si>
  <si>
    <t>Доходка-расходка</t>
  </si>
  <si>
    <t>Отпускные вторичка</t>
  </si>
  <si>
    <t>налог МАМЫ</t>
  </si>
  <si>
    <t>Бычновой Наташе за апрель 2025</t>
  </si>
  <si>
    <t>Лобанова Анна за апрель 2025</t>
  </si>
  <si>
    <t>Колова за апрель 2025</t>
  </si>
  <si>
    <t>Собрание</t>
  </si>
  <si>
    <t>Прием звонков 28,29,30</t>
  </si>
  <si>
    <t>Мониторинг 3 дня</t>
  </si>
  <si>
    <t>Надбавка по итогу 1 кв</t>
  </si>
  <si>
    <t>Бычновой Наташе за май 2025</t>
  </si>
  <si>
    <t>Лобанова Анна за май 2025</t>
  </si>
  <si>
    <t>Колова за май 2025</t>
  </si>
  <si>
    <t>Прием звонков 5,6,7</t>
  </si>
  <si>
    <t>Надбавка по итогу 1 кв+ налог мамы</t>
  </si>
  <si>
    <t>Бычновой Наташе за июнь 2025</t>
  </si>
  <si>
    <t>Лобанова Анна за июнь 2025</t>
  </si>
  <si>
    <t>Колова за июнь 2025</t>
  </si>
  <si>
    <t>отпускные Аня</t>
  </si>
  <si>
    <t>Бычновой Наташе за июль 2025</t>
  </si>
  <si>
    <t>Лобанова Анна за июль 2025</t>
  </si>
  <si>
    <t>Колова за июль 2025</t>
  </si>
  <si>
    <t>Аванс первичка, отпускные</t>
  </si>
  <si>
    <t>ЗП первичка + отпускные</t>
  </si>
  <si>
    <t>Надбавка по итогу 1 полугодия</t>
  </si>
  <si>
    <t xml:space="preserve">Прием звоков </t>
  </si>
  <si>
    <t>Бычновой Наташе за август 2025</t>
  </si>
  <si>
    <t>Лобанова Анна за август 2025</t>
  </si>
  <si>
    <t>Колова за август 2025</t>
  </si>
  <si>
    <t>Прием звонков с 25.08 по 07.09</t>
  </si>
  <si>
    <t>Мониторинг с 25.08 по 07.09</t>
  </si>
  <si>
    <t>сентябрь</t>
  </si>
  <si>
    <t>Бычновой Наташе за сентябрь 2025</t>
  </si>
  <si>
    <t>Лобанова Анна за сентябрь 2025</t>
  </si>
  <si>
    <t>Колова за сентябрь 2025</t>
  </si>
  <si>
    <t>Бычновой Наташе за октябрь 2025</t>
  </si>
  <si>
    <t>Лобанова Анна за октябрь 2025</t>
  </si>
  <si>
    <t>Колова за октябрь 2025</t>
  </si>
  <si>
    <t>Надбавка по итогу 19 мес.</t>
  </si>
  <si>
    <t>Надбавка по итогу 9 мес.</t>
  </si>
  <si>
    <t>Отпускные</t>
  </si>
  <si>
    <t>Бычновой Наташе за ноябрь 2025</t>
  </si>
  <si>
    <t>Лобанова Анна за ноябрь 2025</t>
  </si>
  <si>
    <t>Колова за ноябрь 2025</t>
  </si>
  <si>
    <t>Бычновой Наташе за декабрь 2025</t>
  </si>
  <si>
    <t>Лобанова Анна за декабрь 2025</t>
  </si>
  <si>
    <t>Колова за декабрь 2025</t>
  </si>
  <si>
    <t>Прием звонков с 20.12 по 26.12</t>
  </si>
  <si>
    <t>гаф 60</t>
  </si>
  <si>
    <t>сабан 7а</t>
  </si>
  <si>
    <t>Раниф за январь 2025</t>
  </si>
  <si>
    <t>Раниф за февраль 2025</t>
  </si>
  <si>
    <t>Раниф за март 2025</t>
  </si>
  <si>
    <t>Раниф за апрель 2025</t>
  </si>
  <si>
    <t>надбавка за 1 кв</t>
  </si>
  <si>
    <t>Раниф за май 2025</t>
  </si>
  <si>
    <t>Раниф за июнь 2025</t>
  </si>
  <si>
    <t>Раниф за июль 2025</t>
  </si>
  <si>
    <t>надбавка за 1 пол-е</t>
  </si>
  <si>
    <t>Поездка в Инно</t>
  </si>
  <si>
    <t>Раниф за август 2025</t>
  </si>
  <si>
    <t>Раниф за сентябрь 2025</t>
  </si>
  <si>
    <t>хостинг+Сервер</t>
  </si>
  <si>
    <t>Раниф за октябрь 2025</t>
  </si>
  <si>
    <t xml:space="preserve">Добавка за август и сентябр </t>
  </si>
  <si>
    <t>надбавка за 9 мес.</t>
  </si>
  <si>
    <t>для создания нового сервера для переноса на наш ЛС</t>
  </si>
  <si>
    <t>Раниф за ноябрь 2025</t>
  </si>
  <si>
    <t>Электрики за перетяжку лини эл.энергии по декабристов 127</t>
  </si>
  <si>
    <t>Раниф за декабрь 2025</t>
  </si>
  <si>
    <t>детские деньги и подарок директору УК)</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</si>
</sst>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dd.mm.yyyy"/>
    <numFmt numFmtId="166" formatCode="_-[$р.-419]* #,##0_-;_-[$р.-419]* \-#,##0_-;_-[$р.-419]* &quot;-&quot;??_-;_-@"/>
    <numFmt numFmtId="167" formatCode="_-[$р.-419]* #,##0.00_-;_-[$р.-419]* \-#,##0.00_-;_-[$р.-419]* &quot;-&quot;??.00_-;_-@"/>
  </numFmts>
  <fonts count="13">
    <font>
      <sz val="10.0"/>
      <color rgb="FF000000"/>
      <name val="Arial"/>
    </font>
    <font/>
    <font>
      <color rgb="FFFF0000"/>
    </font>
    <font>
      <b/>
    </font>
    <font>
      <b/>
      <sz val="12.0"/>
    </font>
    <font>
      <b/>
      <color rgb="FF000000"/>
    </font>
    <font>
      <color rgb="FF000000"/>
    </font>
    <font>
      <name val="Arial"/>
    </font>
    <font>
      <color rgb="FF000000"/>
      <name val="Arial"/>
    </font>
    <font>
      <color rgb="FF000000"/>
      <name val="Roboto"/>
    </font>
    <font>
      <b/>
      <sz val="12.0"/>
      <color rgb="FF000000"/>
    </font>
    <font>
      <b/>
      <sz val="14.0"/>
    </font>
    <font>
      <i/>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CCCCCC"/>
        <bgColor rgb="FFCCCCCC"/>
      </patternFill>
    </fill>
    <fill>
      <patternFill patternType="solid">
        <fgColor rgb="FFB7B7B7"/>
        <bgColor rgb="FFB7B7B7"/>
      </patternFill>
    </fill>
    <fill>
      <patternFill patternType="solid">
        <fgColor rgb="FFFF00FF"/>
        <bgColor rgb="FFFF00FF"/>
      </patternFill>
    </fill>
    <fill>
      <patternFill patternType="solid">
        <fgColor rgb="FFD9EAD3"/>
        <bgColor rgb="FFD9EAD3"/>
      </patternFill>
    </fill>
    <fill>
      <patternFill patternType="solid">
        <fgColor rgb="FFFF0000"/>
        <bgColor rgb="FFFF0000"/>
      </patternFill>
    </fill>
    <fill>
      <patternFill patternType="solid">
        <fgColor rgb="FFF4CCCC"/>
        <bgColor rgb="FFF4CCCC"/>
      </patternFill>
    </fill>
    <fill>
      <patternFill patternType="solid">
        <fgColor rgb="FF999999"/>
        <bgColor rgb="FF99999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xf>
    <xf borderId="1" fillId="0" fontId="1" numFmtId="0" xfId="0" applyAlignment="1" applyBorder="1" applyFont="1">
      <alignment readingOrder="0"/>
    </xf>
    <xf borderId="1" fillId="0" fontId="1" numFmtId="4" xfId="0" applyAlignment="1" applyBorder="1" applyFont="1" applyNumberFormat="1">
      <alignment horizontal="center" readingOrder="0"/>
    </xf>
    <xf borderId="1" fillId="0" fontId="1" numFmtId="3" xfId="0" applyAlignment="1" applyBorder="1" applyFont="1" applyNumberFormat="1">
      <alignment horizontal="center" readingOrder="0"/>
    </xf>
    <xf borderId="1" fillId="0" fontId="1" numFmtId="4" xfId="0" applyAlignment="1" applyBorder="1" applyFont="1" applyNumberFormat="1">
      <alignment horizontal="center"/>
    </xf>
    <xf borderId="1" fillId="0" fontId="1" numFmtId="0" xfId="0" applyAlignment="1" applyBorder="1" applyFont="1">
      <alignment horizontal="center"/>
    </xf>
    <xf borderId="0" fillId="0" fontId="1" numFmtId="0" xfId="0" applyAlignment="1" applyFont="1">
      <alignment readingOrder="0"/>
    </xf>
    <xf borderId="0" fillId="0" fontId="2" numFmtId="0" xfId="0" applyAlignment="1" applyFont="1">
      <alignment readingOrder="0"/>
    </xf>
    <xf borderId="0" fillId="2" fontId="1" numFmtId="0" xfId="0" applyFill="1" applyFont="1"/>
    <xf borderId="1" fillId="0" fontId="1" numFmtId="0" xfId="0" applyBorder="1" applyFont="1"/>
    <xf borderId="1" fillId="0" fontId="1" numFmtId="4" xfId="0" applyBorder="1" applyFont="1" applyNumberFormat="1"/>
    <xf borderId="1" fillId="0" fontId="1" numFmtId="4" xfId="0" applyAlignment="1" applyBorder="1" applyFont="1" applyNumberFormat="1">
      <alignment readingOrder="0"/>
    </xf>
    <xf borderId="2" fillId="0" fontId="1" numFmtId="0" xfId="0" applyAlignment="1" applyBorder="1" applyFont="1">
      <alignment readingOrder="0"/>
    </xf>
    <xf borderId="3" fillId="0" fontId="1" numFmtId="0" xfId="0" applyAlignment="1" applyBorder="1" applyFont="1">
      <alignment readingOrder="0"/>
    </xf>
    <xf borderId="4" fillId="0" fontId="1" numFmtId="0" xfId="0" applyAlignment="1" applyBorder="1" applyFont="1">
      <alignment readingOrder="0"/>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borderId="0" fillId="0" fontId="3" numFmtId="165"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3" fontId="3" numFmtId="0" xfId="0" applyAlignment="1" applyFill="1" applyFont="1">
      <alignment horizontal="center" readingOrder="0" shrinkToFit="0" vertical="center" wrapText="1"/>
    </xf>
    <xf borderId="0" fillId="3" fontId="1" numFmtId="0" xfId="0" applyFont="1"/>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3" fontId="4" numFmtId="4" xfId="0" applyAlignment="1" applyBorder="1" applyFont="1" applyNumberFormat="1">
      <alignment horizontal="center" readingOrder="0" shrinkToFit="0" vertical="center" wrapText="1"/>
    </xf>
    <xf borderId="1" fillId="3" fontId="4" numFmtId="4" xfId="0" applyAlignment="1" applyBorder="1" applyFont="1" applyNumberFormat="1">
      <alignment horizontal="center" readingOrder="0" vertical="center"/>
    </xf>
    <xf borderId="0" fillId="3" fontId="4" numFmtId="4" xfId="0" applyAlignment="1" applyFont="1" applyNumberFormat="1">
      <alignment horizontal="center" readingOrder="0" vertical="center"/>
    </xf>
    <xf borderId="1" fillId="3" fontId="1" numFmtId="0" xfId="0" applyAlignment="1" applyBorder="1" applyFont="1">
      <alignment readingOrder="0"/>
    </xf>
    <xf borderId="5" fillId="3" fontId="1" numFmtId="0" xfId="0" applyAlignment="1" applyBorder="1" applyFont="1">
      <alignment readingOrder="0"/>
    </xf>
    <xf borderId="1" fillId="3" fontId="1" numFmtId="3" xfId="0" applyAlignment="1" applyBorder="1" applyFont="1" applyNumberFormat="1">
      <alignment horizontal="center" readingOrder="0"/>
    </xf>
    <xf borderId="1" fillId="3" fontId="1" numFmtId="166" xfId="0" applyAlignment="1" applyBorder="1" applyFont="1" applyNumberFormat="1">
      <alignment horizontal="right" readingOrder="0"/>
    </xf>
    <xf borderId="5" fillId="3" fontId="1" numFmtId="166" xfId="0" applyAlignment="1" applyBorder="1" applyFont="1" applyNumberFormat="1">
      <alignment readingOrder="0"/>
    </xf>
    <xf borderId="5" fillId="3" fontId="5" numFmtId="4" xfId="0" applyAlignment="1" applyBorder="1" applyFont="1" applyNumberFormat="1">
      <alignment readingOrder="0"/>
    </xf>
    <xf borderId="1" fillId="3" fontId="6" numFmtId="4" xfId="0" applyAlignment="1" applyBorder="1" applyFont="1" applyNumberFormat="1">
      <alignment readingOrder="0"/>
    </xf>
    <xf borderId="5" fillId="3" fontId="6" numFmtId="4" xfId="0" applyAlignment="1" applyBorder="1" applyFont="1" applyNumberFormat="1">
      <alignment readingOrder="0"/>
    </xf>
    <xf borderId="5" fillId="3" fontId="6" numFmtId="166" xfId="0" applyAlignment="1" applyBorder="1" applyFont="1" applyNumberFormat="1">
      <alignment readingOrder="0"/>
    </xf>
    <xf borderId="1" fillId="3" fontId="6" numFmtId="166" xfId="0" applyAlignment="1" applyBorder="1" applyFont="1" applyNumberFormat="1">
      <alignment readingOrder="0"/>
    </xf>
    <xf borderId="1" fillId="3" fontId="4" numFmtId="166" xfId="0" applyBorder="1" applyFont="1" applyNumberFormat="1"/>
    <xf borderId="1" fillId="3" fontId="4" numFmtId="3" xfId="0" applyAlignment="1" applyBorder="1" applyFont="1" applyNumberFormat="1">
      <alignment readingOrder="0"/>
    </xf>
    <xf borderId="0" fillId="4" fontId="1" numFmtId="0" xfId="0" applyAlignment="1" applyFill="1" applyFont="1">
      <alignment readingOrder="0"/>
    </xf>
    <xf borderId="0" fillId="3" fontId="4" numFmtId="3" xfId="0" applyAlignment="1" applyFont="1" applyNumberFormat="1">
      <alignment readingOrder="0"/>
    </xf>
    <xf borderId="1" fillId="3" fontId="7" numFmtId="0" xfId="0" applyAlignment="1" applyBorder="1" applyFont="1">
      <alignment readingOrder="0" vertical="bottom"/>
    </xf>
    <xf borderId="5" fillId="2" fontId="7" numFmtId="0" xfId="0" applyAlignment="1" applyBorder="1" applyFont="1">
      <alignment readingOrder="0" vertical="bottom"/>
    </xf>
    <xf borderId="1" fillId="2" fontId="8" numFmtId="0" xfId="0" applyAlignment="1" applyBorder="1" applyFont="1">
      <alignment vertical="bottom"/>
    </xf>
    <xf borderId="1" fillId="3" fontId="7" numFmtId="3" xfId="0" applyAlignment="1" applyBorder="1" applyFont="1" applyNumberFormat="1">
      <alignment vertical="bottom"/>
    </xf>
    <xf borderId="1" fillId="3" fontId="7" numFmtId="166" xfId="0" applyAlignment="1" applyBorder="1" applyFont="1" applyNumberFormat="1">
      <alignment vertical="bottom"/>
    </xf>
    <xf borderId="1" fillId="3" fontId="7" numFmtId="166" xfId="0" applyAlignment="1" applyBorder="1" applyFont="1" applyNumberFormat="1">
      <alignment readingOrder="0" vertical="bottom"/>
    </xf>
    <xf borderId="5" fillId="3" fontId="1" numFmtId="167" xfId="0" applyAlignment="1" applyBorder="1" applyFont="1" applyNumberFormat="1">
      <alignment readingOrder="0"/>
    </xf>
    <xf borderId="6" fillId="2" fontId="8" numFmtId="0" xfId="0" applyAlignment="1" applyBorder="1" applyFont="1">
      <alignment readingOrder="0" vertical="center"/>
    </xf>
    <xf borderId="1" fillId="3" fontId="7" numFmtId="3" xfId="0" applyAlignment="1" applyBorder="1" applyFont="1" applyNumberFormat="1">
      <alignment horizontal="center" readingOrder="0" vertical="bottom"/>
    </xf>
    <xf borderId="7" fillId="3" fontId="1" numFmtId="166" xfId="0" applyAlignment="1" applyBorder="1" applyFont="1" applyNumberFormat="1">
      <alignment readingOrder="0" vertical="center"/>
    </xf>
    <xf borderId="7" fillId="3" fontId="3" numFmtId="167" xfId="0" applyAlignment="1" applyBorder="1" applyFont="1" applyNumberFormat="1">
      <alignment readingOrder="0" vertical="center"/>
    </xf>
    <xf borderId="7" fillId="3" fontId="6" numFmtId="4" xfId="0" applyAlignment="1" applyBorder="1" applyFont="1" applyNumberFormat="1">
      <alignment readingOrder="0" vertical="center"/>
    </xf>
    <xf borderId="5" fillId="3" fontId="6" numFmtId="4" xfId="0" applyAlignment="1" applyBorder="1" applyFont="1" applyNumberFormat="1">
      <alignment readingOrder="0" vertical="center"/>
    </xf>
    <xf borderId="1" fillId="3" fontId="6" numFmtId="4" xfId="0" applyAlignment="1" applyBorder="1" applyFont="1" applyNumberFormat="1">
      <alignment readingOrder="0" vertical="center"/>
    </xf>
    <xf borderId="7" fillId="3" fontId="6" numFmtId="166" xfId="0" applyAlignment="1" applyBorder="1" applyFont="1" applyNumberFormat="1">
      <alignment readingOrder="0"/>
    </xf>
    <xf borderId="6" fillId="3" fontId="6" numFmtId="166" xfId="0" applyAlignment="1" applyBorder="1" applyFont="1" applyNumberFormat="1">
      <alignment readingOrder="0" vertical="center"/>
    </xf>
    <xf borderId="6" fillId="3" fontId="4" numFmtId="166" xfId="0" applyAlignment="1" applyBorder="1" applyFont="1" applyNumberFormat="1">
      <alignment vertical="center"/>
    </xf>
    <xf borderId="6" fillId="0" fontId="1" numFmtId="0" xfId="0" applyAlignment="1" applyBorder="1" applyFont="1">
      <alignment readingOrder="0"/>
    </xf>
    <xf borderId="6" fillId="4" fontId="4" numFmtId="3" xfId="0" applyAlignment="1" applyBorder="1" applyFont="1" applyNumberFormat="1">
      <alignment readingOrder="0"/>
    </xf>
    <xf borderId="5" fillId="0" fontId="1" numFmtId="0" xfId="0" applyBorder="1" applyFont="1"/>
    <xf borderId="6" fillId="2" fontId="9" numFmtId="0" xfId="0" applyAlignment="1" applyBorder="1" applyFont="1">
      <alignment readingOrder="0" vertical="center"/>
    </xf>
    <xf borderId="7" fillId="3" fontId="1" numFmtId="4" xfId="0" applyAlignment="1" applyBorder="1" applyFont="1" applyNumberFormat="1">
      <alignment readingOrder="0" vertical="center"/>
    </xf>
    <xf borderId="5" fillId="3" fontId="1" numFmtId="4" xfId="0" applyAlignment="1" applyBorder="1" applyFont="1" applyNumberFormat="1">
      <alignment readingOrder="0" vertical="center"/>
    </xf>
    <xf borderId="7" fillId="3" fontId="6" numFmtId="166" xfId="0" applyAlignment="1" applyBorder="1" applyFont="1" applyNumberFormat="1">
      <alignment readingOrder="0" vertical="center"/>
    </xf>
    <xf borderId="6" fillId="3" fontId="4" numFmtId="3" xfId="0" applyAlignment="1" applyBorder="1" applyFont="1" applyNumberFormat="1">
      <alignment readingOrder="0"/>
    </xf>
    <xf borderId="1" fillId="5" fontId="1" numFmtId="0" xfId="0" applyAlignment="1" applyBorder="1" applyFill="1" applyFont="1">
      <alignment readingOrder="0"/>
    </xf>
    <xf borderId="5" fillId="5" fontId="7" numFmtId="0" xfId="0" applyAlignment="1" applyBorder="1" applyFont="1">
      <alignment readingOrder="0" vertical="bottom"/>
    </xf>
    <xf borderId="1" fillId="5" fontId="1" numFmtId="3" xfId="0" applyAlignment="1" applyBorder="1" applyFont="1" applyNumberFormat="1">
      <alignment horizontal="center" readingOrder="0"/>
    </xf>
    <xf borderId="1" fillId="5" fontId="1" numFmtId="166" xfId="0" applyAlignment="1" applyBorder="1" applyFont="1" applyNumberFormat="1">
      <alignment horizontal="right" readingOrder="0"/>
    </xf>
    <xf borderId="5" fillId="5" fontId="1" numFmtId="166" xfId="0" applyAlignment="1" applyBorder="1" applyFont="1" applyNumberFormat="1">
      <alignment readingOrder="0"/>
    </xf>
    <xf borderId="5" fillId="5" fontId="5" numFmtId="4" xfId="0" applyAlignment="1" applyBorder="1" applyFont="1" applyNumberFormat="1">
      <alignment readingOrder="0"/>
    </xf>
    <xf borderId="5" fillId="5" fontId="6" numFmtId="4" xfId="0" applyAlignment="1" applyBorder="1" applyFont="1" applyNumberFormat="1">
      <alignment readingOrder="0"/>
    </xf>
    <xf borderId="5" fillId="5" fontId="6" numFmtId="166" xfId="0" applyAlignment="1" applyBorder="1" applyFont="1" applyNumberFormat="1">
      <alignment readingOrder="0"/>
    </xf>
    <xf borderId="1" fillId="5" fontId="6" numFmtId="166" xfId="0" applyAlignment="1" applyBorder="1" applyFont="1" applyNumberFormat="1">
      <alignment readingOrder="0"/>
    </xf>
    <xf borderId="1" fillId="5" fontId="4" numFmtId="166" xfId="0" applyBorder="1" applyFont="1" applyNumberFormat="1"/>
    <xf borderId="1" fillId="5" fontId="4" numFmtId="3" xfId="0" applyAlignment="1" applyBorder="1" applyFont="1" applyNumberFormat="1">
      <alignment readingOrder="0"/>
    </xf>
    <xf borderId="5" fillId="3" fontId="7" numFmtId="0" xfId="0" applyAlignment="1" applyBorder="1" applyFont="1">
      <alignment readingOrder="0" vertical="bottom"/>
    </xf>
    <xf borderId="1" fillId="3" fontId="1" numFmtId="166" xfId="0" applyAlignment="1" applyBorder="1" applyFont="1" applyNumberFormat="1">
      <alignment readingOrder="0"/>
    </xf>
    <xf borderId="1" fillId="3" fontId="5" numFmtId="4" xfId="0" applyAlignment="1" applyBorder="1" applyFont="1" applyNumberFormat="1">
      <alignment readingOrder="0"/>
    </xf>
    <xf borderId="1" fillId="4" fontId="4" numFmtId="3" xfId="0" applyAlignment="1" applyBorder="1" applyFont="1" applyNumberFormat="1">
      <alignment readingOrder="0"/>
    </xf>
    <xf borderId="5" fillId="3" fontId="3" numFmtId="167" xfId="0" applyAlignment="1" applyBorder="1" applyFont="1" applyNumberFormat="1">
      <alignment readingOrder="0"/>
    </xf>
    <xf borderId="1" fillId="3" fontId="9" numFmtId="0" xfId="0" applyAlignment="1" applyBorder="1" applyFont="1">
      <alignment readingOrder="0" vertical="center"/>
    </xf>
    <xf borderId="1" fillId="3" fontId="4" numFmtId="166" xfId="0" applyAlignment="1" applyBorder="1" applyFont="1" applyNumberFormat="1">
      <alignment readingOrder="0"/>
    </xf>
    <xf borderId="1" fillId="3" fontId="8" numFmtId="0" xfId="0" applyAlignment="1" applyBorder="1" applyFont="1">
      <alignment readingOrder="0" vertical="bottom"/>
    </xf>
    <xf borderId="1" fillId="0" fontId="7" numFmtId="3" xfId="0" applyAlignment="1" applyBorder="1" applyFont="1" applyNumberFormat="1">
      <alignment horizontal="center" readingOrder="0" vertical="bottom"/>
    </xf>
    <xf borderId="1" fillId="0" fontId="7" numFmtId="166" xfId="0" applyAlignment="1" applyBorder="1" applyFont="1" applyNumberFormat="1">
      <alignment readingOrder="0" vertical="bottom"/>
    </xf>
    <xf borderId="5" fillId="0" fontId="1" numFmtId="166" xfId="0" applyAlignment="1" applyBorder="1" applyFont="1" applyNumberFormat="1">
      <alignment readingOrder="0"/>
    </xf>
    <xf borderId="1" fillId="5" fontId="10" numFmtId="0" xfId="0" applyAlignment="1" applyBorder="1" applyFont="1">
      <alignment readingOrder="0"/>
    </xf>
    <xf borderId="1" fillId="5" fontId="10" numFmtId="166" xfId="0" applyAlignment="1" applyBorder="1" applyFont="1" applyNumberFormat="1">
      <alignment horizontal="right" readingOrder="0"/>
    </xf>
    <xf borderId="1" fillId="5" fontId="10" numFmtId="4" xfId="0" applyBorder="1" applyFont="1" applyNumberFormat="1"/>
    <xf borderId="1" fillId="5" fontId="10" numFmtId="167" xfId="0" applyAlignment="1" applyBorder="1" applyFont="1" applyNumberFormat="1">
      <alignment horizontal="right" readingOrder="0"/>
    </xf>
    <xf borderId="1" fillId="5" fontId="4" numFmtId="3" xfId="0" applyBorder="1" applyFont="1" applyNumberFormat="1"/>
    <xf borderId="0" fillId="3" fontId="4" numFmtId="3" xfId="0" applyFont="1" applyNumberFormat="1"/>
    <xf borderId="0" fillId="0" fontId="1" numFmtId="4" xfId="0" applyFont="1" applyNumberFormat="1"/>
    <xf borderId="0" fillId="0" fontId="1" numFmtId="4" xfId="0" applyAlignment="1" applyFont="1" applyNumberFormat="1">
      <alignment readingOrder="0"/>
    </xf>
    <xf borderId="2" fillId="6" fontId="11" numFmtId="0" xfId="0" applyAlignment="1" applyBorder="1" applyFill="1" applyFont="1">
      <alignment readingOrder="0"/>
    </xf>
    <xf borderId="3" fillId="0" fontId="1" numFmtId="0" xfId="0" applyBorder="1" applyFont="1"/>
    <xf borderId="1" fillId="6" fontId="11" numFmtId="166" xfId="0" applyBorder="1" applyFont="1" applyNumberFormat="1"/>
    <xf borderId="0" fillId="3" fontId="1" numFmtId="0" xfId="0" applyAlignment="1" applyFont="1">
      <alignment readingOrder="0"/>
    </xf>
    <xf borderId="0" fillId="0" fontId="1" numFmtId="0" xfId="0" applyAlignment="1" applyFont="1">
      <alignment horizontal="left" readingOrder="0"/>
    </xf>
    <xf borderId="0" fillId="0" fontId="1" numFmtId="4" xfId="0" applyAlignment="1" applyFont="1" applyNumberFormat="1">
      <alignment horizontal="left" readingOrder="0"/>
    </xf>
    <xf borderId="0" fillId="3" fontId="1" numFmtId="4" xfId="0" applyAlignment="1" applyFont="1" applyNumberFormat="1">
      <alignment readingOrder="0"/>
    </xf>
    <xf borderId="0" fillId="0" fontId="1" numFmtId="4" xfId="0" applyAlignment="1" applyFont="1" applyNumberFormat="1">
      <alignment horizontal="left"/>
    </xf>
    <xf borderId="0" fillId="0" fontId="1" numFmtId="0" xfId="0" applyAlignment="1" applyFont="1">
      <alignment horizontal="left"/>
    </xf>
    <xf borderId="0" fillId="0" fontId="1" numFmtId="166" xfId="0" applyAlignment="1" applyFont="1" applyNumberFormat="1">
      <alignment readingOrder="0"/>
    </xf>
    <xf borderId="0" fillId="0" fontId="3" numFmtId="4" xfId="0" applyFont="1" applyNumberFormat="1"/>
    <xf borderId="1" fillId="0" fontId="3" numFmtId="4" xfId="0" applyAlignment="1" applyBorder="1" applyFont="1" applyNumberFormat="1">
      <alignment readingOrder="0"/>
    </xf>
    <xf borderId="1" fillId="0" fontId="3" numFmtId="4" xfId="0" applyBorder="1" applyFont="1" applyNumberFormat="1"/>
    <xf borderId="1" fillId="5" fontId="1" numFmtId="0" xfId="0" applyBorder="1" applyFont="1"/>
    <xf borderId="1" fillId="3" fontId="3" numFmtId="4" xfId="0" applyAlignment="1" applyBorder="1" applyFont="1" applyNumberFormat="1">
      <alignment readingOrder="0"/>
    </xf>
    <xf borderId="1" fillId="3" fontId="1" numFmtId="4" xfId="0" applyAlignment="1" applyBorder="1" applyFont="1" applyNumberFormat="1">
      <alignment readingOrder="0"/>
    </xf>
    <xf borderId="1" fillId="4" fontId="4" numFmtId="166" xfId="0" applyBorder="1" applyFont="1" applyNumberFormat="1"/>
    <xf borderId="1" fillId="3" fontId="3" numFmtId="167" xfId="0" applyAlignment="1" applyBorder="1" applyFont="1" applyNumberFormat="1">
      <alignment readingOrder="0"/>
    </xf>
    <xf borderId="6" fillId="4" fontId="4" numFmtId="166" xfId="0" applyAlignment="1" applyBorder="1" applyFont="1" applyNumberFormat="1">
      <alignment vertical="center"/>
    </xf>
    <xf borderId="0" fillId="3" fontId="4" numFmtId="3" xfId="0" applyAlignment="1" applyFont="1" applyNumberFormat="1">
      <alignment readingOrder="0" shrinkToFit="0" wrapText="1"/>
    </xf>
    <xf borderId="1" fillId="4" fontId="4" numFmtId="166" xfId="0" applyAlignment="1" applyBorder="1" applyFont="1" applyNumberFormat="1">
      <alignment readingOrder="0"/>
    </xf>
    <xf borderId="1" fillId="0" fontId="10" numFmtId="0" xfId="0" applyAlignment="1" applyBorder="1" applyFont="1">
      <alignment readingOrder="0"/>
    </xf>
    <xf borderId="1" fillId="0" fontId="10" numFmtId="166" xfId="0" applyAlignment="1" applyBorder="1" applyFont="1" applyNumberFormat="1">
      <alignment horizontal="right" readingOrder="0"/>
    </xf>
    <xf borderId="1" fillId="0" fontId="10" numFmtId="4" xfId="0" applyBorder="1" applyFont="1" applyNumberFormat="1"/>
    <xf borderId="1" fillId="0" fontId="10" numFmtId="167" xfId="0" applyAlignment="1" applyBorder="1" applyFont="1" applyNumberFormat="1">
      <alignment horizontal="right" readingOrder="0"/>
    </xf>
    <xf borderId="1" fillId="3" fontId="4" numFmtId="3" xfId="0" applyBorder="1" applyFont="1" applyNumberFormat="1"/>
    <xf borderId="0" fillId="0" fontId="1" numFmtId="0" xfId="0" applyAlignment="1" applyFont="1">
      <alignment horizontal="right"/>
    </xf>
    <xf borderId="0" fillId="3" fontId="1" numFmtId="3" xfId="0" applyAlignment="1" applyFont="1" applyNumberFormat="1">
      <alignment readingOrder="0"/>
    </xf>
    <xf borderId="0" fillId="3" fontId="1" numFmtId="166" xfId="0" applyFont="1" applyNumberFormat="1"/>
    <xf borderId="0" fillId="0" fontId="1" numFmtId="166" xfId="0" applyFont="1" applyNumberFormat="1"/>
    <xf borderId="0" fillId="0" fontId="1" numFmtId="3" xfId="0" applyAlignment="1" applyFont="1" applyNumberFormat="1">
      <alignment readingOrder="0"/>
    </xf>
    <xf borderId="0" fillId="7" fontId="1" numFmtId="166" xfId="0" applyFill="1" applyFont="1" applyNumberFormat="1"/>
    <xf borderId="1" fillId="8" fontId="4" numFmtId="3" xfId="0" applyAlignment="1" applyBorder="1" applyFill="1" applyFont="1" applyNumberFormat="1">
      <alignment readingOrder="0"/>
    </xf>
    <xf borderId="1" fillId="3" fontId="8" numFmtId="0" xfId="0" applyAlignment="1" applyBorder="1" applyFont="1">
      <alignment vertical="bottom"/>
    </xf>
    <xf borderId="6" fillId="3" fontId="8" numFmtId="0" xfId="0" applyAlignment="1" applyBorder="1" applyFont="1">
      <alignment readingOrder="0" vertical="center"/>
    </xf>
    <xf borderId="6" fillId="8" fontId="4" numFmtId="3" xfId="0" applyAlignment="1" applyBorder="1" applyFont="1" applyNumberFormat="1">
      <alignment readingOrder="0"/>
    </xf>
    <xf borderId="6" fillId="3" fontId="9" numFmtId="0" xfId="0" applyAlignment="1" applyBorder="1" applyFont="1">
      <alignment readingOrder="0" vertical="center"/>
    </xf>
    <xf borderId="0" fillId="4" fontId="4" numFmtId="3" xfId="0" applyAlignment="1" applyFont="1" applyNumberFormat="1">
      <alignment readingOrder="0"/>
    </xf>
    <xf borderId="0" fillId="4" fontId="4" numFmtId="3" xfId="0" applyAlignment="1" applyFont="1" applyNumberFormat="1">
      <alignment readingOrder="0" shrinkToFit="0" wrapText="1"/>
    </xf>
    <xf borderId="1" fillId="9" fontId="4" numFmtId="166" xfId="0" applyAlignment="1" applyBorder="1" applyFill="1" applyFont="1" applyNumberFormat="1">
      <alignment readingOrder="0"/>
    </xf>
    <xf borderId="1" fillId="9" fontId="4" numFmtId="166" xfId="0" applyBorder="1" applyFont="1" applyNumberFormat="1"/>
    <xf borderId="6" fillId="3" fontId="4" numFmtId="3" xfId="0" applyBorder="1" applyFont="1" applyNumberFormat="1"/>
    <xf borderId="6" fillId="4" fontId="4" numFmtId="3" xfId="0" applyBorder="1" applyFont="1" applyNumberFormat="1"/>
    <xf borderId="0" fillId="3" fontId="4" numFmtId="4" xfId="0" applyAlignment="1" applyFont="1" applyNumberFormat="1">
      <alignment horizontal="center" readingOrder="0" shrinkToFit="0" vertical="center" wrapText="1"/>
    </xf>
    <xf borderId="1" fillId="0" fontId="1" numFmtId="166" xfId="0" applyAlignment="1" applyBorder="1" applyFont="1" applyNumberFormat="1">
      <alignment horizontal="right" readingOrder="0"/>
    </xf>
    <xf borderId="1" fillId="0" fontId="1" numFmtId="166" xfId="0" applyAlignment="1" applyBorder="1" applyFont="1" applyNumberFormat="1">
      <alignment readingOrder="0"/>
    </xf>
    <xf borderId="7" fillId="0" fontId="1" numFmtId="166" xfId="0" applyAlignment="1" applyBorder="1" applyFont="1" applyNumberFormat="1">
      <alignment readingOrder="0" vertical="center"/>
    </xf>
    <xf borderId="1" fillId="3" fontId="1" numFmtId="167" xfId="0" applyAlignment="1" applyBorder="1" applyFont="1" applyNumberFormat="1">
      <alignment readingOrder="0"/>
    </xf>
    <xf borderId="7" fillId="3" fontId="1" numFmtId="167" xfId="0" applyAlignment="1" applyBorder="1" applyFont="1" applyNumberFormat="1">
      <alignment readingOrder="0" vertical="center"/>
    </xf>
    <xf borderId="1" fillId="10" fontId="4" numFmtId="166" xfId="0" applyBorder="1" applyFill="1" applyFont="1" applyNumberFormat="1"/>
    <xf borderId="1" fillId="8" fontId="1" numFmtId="0" xfId="0" applyAlignment="1" applyBorder="1" applyFont="1">
      <alignment readingOrder="0"/>
    </xf>
    <xf borderId="1" fillId="8" fontId="1" numFmtId="166" xfId="0" applyBorder="1" applyFont="1" applyNumberFormat="1"/>
    <xf borderId="1" fillId="8" fontId="1" numFmtId="4" xfId="0" applyBorder="1" applyFont="1" applyNumberFormat="1"/>
    <xf borderId="1" fillId="8" fontId="1" numFmtId="0" xfId="0" applyBorder="1" applyFont="1"/>
    <xf borderId="0" fillId="8" fontId="1" numFmtId="166" xfId="0" applyFont="1" applyNumberFormat="1"/>
    <xf borderId="0" fillId="8" fontId="1" numFmtId="0" xfId="0" applyAlignment="1" applyFont="1">
      <alignment readingOrder="0"/>
    </xf>
    <xf borderId="0" fillId="8" fontId="1" numFmtId="0" xfId="0" applyFont="1"/>
    <xf borderId="5" fillId="8" fontId="7" numFmtId="0" xfId="0" applyAlignment="1" applyBorder="1" applyFont="1">
      <alignment readingOrder="0" vertical="bottom"/>
    </xf>
    <xf borderId="1" fillId="8" fontId="7" numFmtId="0" xfId="0" applyAlignment="1" applyBorder="1" applyFont="1">
      <alignment readingOrder="0" vertical="bottom"/>
    </xf>
    <xf borderId="6" fillId="8" fontId="8" numFmtId="0" xfId="0" applyAlignment="1" applyBorder="1" applyFont="1">
      <alignment readingOrder="0" vertical="center"/>
    </xf>
    <xf borderId="1" fillId="8" fontId="9" numFmtId="0" xfId="0" applyAlignment="1" applyBorder="1" applyFont="1">
      <alignment readingOrder="0" vertical="center"/>
    </xf>
    <xf borderId="1" fillId="8" fontId="8" numFmtId="0" xfId="0" applyAlignment="1" applyBorder="1" applyFont="1">
      <alignment readingOrder="0" vertical="bottom"/>
    </xf>
    <xf borderId="0" fillId="0" fontId="1" numFmtId="0" xfId="0" applyAlignment="1" applyFont="1">
      <alignment horizontal="center" readingOrder="0"/>
    </xf>
    <xf borderId="2" fillId="0" fontId="1" numFmtId="0" xfId="0" applyAlignment="1" applyBorder="1" applyFont="1">
      <alignment horizontal="center" readingOrder="0"/>
    </xf>
    <xf borderId="1" fillId="0" fontId="1" numFmtId="3" xfId="0" applyBorder="1" applyFont="1" applyNumberFormat="1"/>
    <xf borderId="1" fillId="0" fontId="1" numFmtId="3" xfId="0" applyAlignment="1" applyBorder="1" applyFont="1" applyNumberFormat="1">
      <alignment readingOrder="0"/>
    </xf>
    <xf borderId="1" fillId="0" fontId="1" numFmtId="1" xfId="0" applyBorder="1" applyFont="1" applyNumberFormat="1"/>
    <xf borderId="0" fillId="0" fontId="1" numFmtId="1" xfId="0" applyFont="1" applyNumberFormat="1"/>
    <xf borderId="2" fillId="0" fontId="3" numFmtId="0" xfId="0" applyAlignment="1" applyBorder="1" applyFont="1">
      <alignment horizontal="center" readingOrder="0"/>
    </xf>
    <xf borderId="1" fillId="0" fontId="3" numFmtId="0" xfId="0" applyAlignment="1" applyBorder="1" applyFont="1">
      <alignment readingOrder="0"/>
    </xf>
    <xf borderId="1" fillId="0" fontId="7" numFmtId="0" xfId="0" applyAlignment="1" applyBorder="1" applyFont="1">
      <alignment vertical="bottom"/>
    </xf>
    <xf borderId="1" fillId="0" fontId="7" numFmtId="4" xfId="0" applyAlignment="1" applyBorder="1" applyFont="1" applyNumberFormat="1">
      <alignment horizontal="right" readingOrder="0" vertical="bottom"/>
    </xf>
    <xf borderId="1" fillId="6" fontId="3" numFmtId="0" xfId="0" applyAlignment="1" applyBorder="1" applyFont="1">
      <alignment readingOrder="0"/>
    </xf>
    <xf borderId="1" fillId="6" fontId="3" numFmtId="4" xfId="0" applyBorder="1" applyFont="1" applyNumberFormat="1"/>
    <xf borderId="0" fillId="5" fontId="1" numFmtId="4" xfId="0" applyFont="1" applyNumberFormat="1"/>
    <xf borderId="1" fillId="0" fontId="12" numFmtId="0" xfId="0" applyAlignment="1" applyBorder="1" applyFont="1">
      <alignment readingOrder="0"/>
    </xf>
    <xf borderId="1" fillId="0" fontId="12" numFmtId="4" xfId="0" applyAlignment="1" applyBorder="1" applyFont="1" applyNumberFormat="1">
      <alignment readingOrder="0"/>
    </xf>
    <xf borderId="1" fillId="6" fontId="3" numFmtId="4" xfId="0" applyAlignment="1" applyBorder="1" applyFont="1" applyNumberFormat="1">
      <alignment readingOrder="0"/>
    </xf>
    <xf borderId="0" fillId="3" fontId="3" numFmtId="0" xfId="0" applyAlignment="1" applyFont="1">
      <alignment readingOrder="0"/>
    </xf>
    <xf borderId="0" fillId="3" fontId="3" numFmtId="0" xfId="0" applyFont="1"/>
    <xf borderId="1" fillId="5" fontId="1" numFmtId="4" xfId="0" applyBorder="1" applyFont="1" applyNumberFormat="1"/>
    <xf borderId="1" fillId="10" fontId="1" numFmtId="4" xfId="0" applyAlignment="1" applyBorder="1" applyFont="1" applyNumberFormat="1">
      <alignment readingOrder="0"/>
    </xf>
    <xf borderId="0" fillId="11" fontId="1" numFmtId="4" xfId="0" applyFill="1" applyFont="1" applyNumberFormat="1"/>
    <xf borderId="0" fillId="3"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2.xml"/><Relationship Id="rId3"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3.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4.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8.xml"/><Relationship Id="rId3"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s>
  <sheetData>
    <row r="1">
      <c r="A1" s="1" t="s">
        <v>0</v>
      </c>
      <c r="B1" s="2" t="s">
        <v>1</v>
      </c>
      <c r="C1" s="2" t="s">
        <v>2</v>
      </c>
      <c r="D1" s="2" t="s">
        <v>3</v>
      </c>
      <c r="E1" s="2" t="s">
        <v>4</v>
      </c>
      <c r="F1" s="2" t="s">
        <v>5</v>
      </c>
    </row>
    <row r="2">
      <c r="A2" s="3" t="s">
        <v>6</v>
      </c>
      <c r="B2" s="4">
        <v>150.0</v>
      </c>
      <c r="C2" s="5">
        <v>9.0</v>
      </c>
      <c r="D2" s="6">
        <f t="shared" ref="D2:D6" si="1">B2*C2</f>
        <v>1350</v>
      </c>
      <c r="E2" s="2">
        <v>2.0</v>
      </c>
      <c r="F2" s="7">
        <f t="shared" ref="F2:F6" si="2">D2/E2</f>
        <v>675</v>
      </c>
    </row>
    <row r="3">
      <c r="A3" s="3" t="s">
        <v>7</v>
      </c>
      <c r="B3" s="4">
        <v>350.0</v>
      </c>
      <c r="C3" s="5"/>
      <c r="D3" s="6">
        <f t="shared" si="1"/>
        <v>0</v>
      </c>
      <c r="E3" s="2">
        <v>2.0</v>
      </c>
      <c r="F3" s="7">
        <f t="shared" si="2"/>
        <v>0</v>
      </c>
    </row>
    <row r="4">
      <c r="A4" s="3" t="s">
        <v>8</v>
      </c>
      <c r="B4" s="4">
        <v>400.0</v>
      </c>
      <c r="C4" s="5"/>
      <c r="D4" s="6">
        <f t="shared" si="1"/>
        <v>0</v>
      </c>
      <c r="E4" s="2">
        <v>2.0</v>
      </c>
      <c r="F4" s="7">
        <f t="shared" si="2"/>
        <v>0</v>
      </c>
    </row>
    <row r="5">
      <c r="A5" s="3" t="s">
        <v>9</v>
      </c>
      <c r="B5" s="4">
        <v>700.0</v>
      </c>
      <c r="C5" s="5"/>
      <c r="D5" s="6">
        <f t="shared" si="1"/>
        <v>0</v>
      </c>
      <c r="E5" s="2">
        <v>2.0</v>
      </c>
      <c r="F5" s="7">
        <f t="shared" si="2"/>
        <v>0</v>
      </c>
    </row>
    <row r="6">
      <c r="A6" s="3" t="s">
        <v>10</v>
      </c>
      <c r="B6" s="4">
        <v>100.0</v>
      </c>
      <c r="C6" s="5">
        <v>1.0</v>
      </c>
      <c r="D6" s="6">
        <f t="shared" si="1"/>
        <v>100</v>
      </c>
      <c r="E6" s="2">
        <v>2.0</v>
      </c>
      <c r="F6" s="7">
        <f t="shared" si="2"/>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03.88"/>
    <col customWidth="1" min="3" max="3" width="18.5"/>
  </cols>
  <sheetData>
    <row r="1">
      <c r="A1" s="8" t="s">
        <v>11</v>
      </c>
      <c r="B1" s="8" t="s">
        <v>12</v>
      </c>
    </row>
    <row r="2">
      <c r="A2" s="8" t="s">
        <v>13</v>
      </c>
      <c r="B2" s="8" t="s">
        <v>14</v>
      </c>
      <c r="D2" s="9" t="s">
        <v>15</v>
      </c>
    </row>
    <row r="3">
      <c r="A3" s="8" t="s">
        <v>16</v>
      </c>
      <c r="B3" s="8" t="s">
        <v>17</v>
      </c>
      <c r="D3" s="9" t="s">
        <v>15</v>
      </c>
    </row>
    <row r="4">
      <c r="A4" s="8" t="s">
        <v>16</v>
      </c>
      <c r="B4" s="8" t="s">
        <v>18</v>
      </c>
      <c r="D4" s="9" t="s">
        <v>15</v>
      </c>
    </row>
    <row r="5">
      <c r="A5" s="8" t="s">
        <v>16</v>
      </c>
      <c r="B5" s="8" t="s">
        <v>19</v>
      </c>
      <c r="D5" s="9" t="s">
        <v>15</v>
      </c>
    </row>
    <row r="6">
      <c r="A6" s="10"/>
      <c r="B6" s="10"/>
    </row>
    <row r="7">
      <c r="A7" s="8" t="s">
        <v>20</v>
      </c>
      <c r="B7" s="8" t="s">
        <v>21</v>
      </c>
      <c r="D7" s="9" t="s">
        <v>15</v>
      </c>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8" t="s">
        <v>22</v>
      </c>
      <c r="B9" s="8" t="s">
        <v>23</v>
      </c>
      <c r="D9" s="9" t="s">
        <v>15</v>
      </c>
    </row>
    <row r="10">
      <c r="A10" s="8" t="s">
        <v>24</v>
      </c>
      <c r="B10" s="8" t="s">
        <v>25</v>
      </c>
      <c r="D10" s="9" t="s">
        <v>15</v>
      </c>
    </row>
    <row r="11">
      <c r="A11" s="8" t="s">
        <v>26</v>
      </c>
      <c r="B11" s="8" t="s">
        <v>27</v>
      </c>
      <c r="D11" s="9" t="s">
        <v>15</v>
      </c>
    </row>
    <row r="12">
      <c r="A12" s="8" t="s">
        <v>24</v>
      </c>
      <c r="B12" s="8" t="s">
        <v>28</v>
      </c>
      <c r="D12" s="9" t="s">
        <v>15</v>
      </c>
    </row>
    <row r="13">
      <c r="A13" s="8" t="s">
        <v>20</v>
      </c>
      <c r="B13" s="8" t="s">
        <v>29</v>
      </c>
      <c r="D13" s="9"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30</v>
      </c>
      <c r="B1" s="3" t="s">
        <v>31</v>
      </c>
      <c r="C1" s="3" t="s">
        <v>32</v>
      </c>
      <c r="D1" s="11"/>
    </row>
    <row r="2">
      <c r="A2" s="3" t="s">
        <v>30</v>
      </c>
      <c r="B2" s="3">
        <v>238.0</v>
      </c>
      <c r="C2" s="3">
        <v>147.0</v>
      </c>
      <c r="D2" s="12">
        <f>B2*C2</f>
        <v>34986</v>
      </c>
    </row>
    <row r="3">
      <c r="A3" s="3" t="s">
        <v>33</v>
      </c>
      <c r="B3" s="3">
        <v>276.0</v>
      </c>
      <c r="C3" s="11"/>
      <c r="D3" s="13">
        <v>30000.0</v>
      </c>
    </row>
    <row r="4">
      <c r="A4" s="14" t="s">
        <v>34</v>
      </c>
      <c r="B4" s="3">
        <f>SUM(B2:B3)</f>
        <v>514</v>
      </c>
      <c r="C4" s="15"/>
      <c r="D4" s="12">
        <f>SUM(D2:D3)</f>
        <v>64986</v>
      </c>
    </row>
    <row r="6">
      <c r="A6" s="3" t="s">
        <v>30</v>
      </c>
      <c r="B6" s="3" t="s">
        <v>31</v>
      </c>
      <c r="C6" s="3" t="s">
        <v>32</v>
      </c>
      <c r="D6" s="11"/>
    </row>
    <row r="7">
      <c r="A7" s="3" t="s">
        <v>30</v>
      </c>
      <c r="B7" s="3">
        <v>238.0</v>
      </c>
      <c r="C7" s="3">
        <v>147.0</v>
      </c>
      <c r="D7" s="12">
        <f t="shared" ref="D7:D8" si="1">B7*C7</f>
        <v>34986</v>
      </c>
    </row>
    <row r="8">
      <c r="A8" s="3" t="s">
        <v>33</v>
      </c>
      <c r="B8" s="3">
        <v>276.0</v>
      </c>
      <c r="C8" s="3">
        <v>147.0</v>
      </c>
      <c r="D8" s="13">
        <f t="shared" si="1"/>
        <v>40572</v>
      </c>
    </row>
    <row r="9">
      <c r="A9" s="14" t="s">
        <v>34</v>
      </c>
      <c r="B9" s="16">
        <f>SUM(B7:B8)</f>
        <v>514</v>
      </c>
      <c r="C9" s="15"/>
      <c r="D9" s="12">
        <f>SUM(D7:D8)</f>
        <v>75558</v>
      </c>
    </row>
    <row r="11">
      <c r="A11" s="3" t="s">
        <v>30</v>
      </c>
      <c r="B11" s="3" t="s">
        <v>31</v>
      </c>
      <c r="C11" s="3" t="s">
        <v>32</v>
      </c>
      <c r="D11" s="11"/>
    </row>
    <row r="12">
      <c r="A12" s="3" t="s">
        <v>30</v>
      </c>
      <c r="B12" s="3">
        <v>238.0</v>
      </c>
      <c r="C12" s="3">
        <v>100.0</v>
      </c>
      <c r="D12" s="12">
        <f t="shared" ref="D12:D13" si="2">B12*C12</f>
        <v>23800</v>
      </c>
    </row>
    <row r="13">
      <c r="A13" s="3" t="s">
        <v>33</v>
      </c>
      <c r="B13" s="3">
        <v>276.0</v>
      </c>
      <c r="C13" s="3">
        <v>100.0</v>
      </c>
      <c r="D13" s="13">
        <f t="shared" si="2"/>
        <v>27600</v>
      </c>
    </row>
    <row r="14">
      <c r="A14" s="3" t="s">
        <v>34</v>
      </c>
      <c r="B14" s="3">
        <f>SUM(B12:B13)</f>
        <v>514</v>
      </c>
      <c r="C14" s="3"/>
      <c r="D14" s="12">
        <f>SUM(D12:D13)</f>
        <v>51400</v>
      </c>
    </row>
    <row r="16">
      <c r="A16" s="3" t="s">
        <v>30</v>
      </c>
      <c r="B16" s="3" t="s">
        <v>31</v>
      </c>
      <c r="C16" s="3" t="s">
        <v>32</v>
      </c>
      <c r="D16" s="11"/>
    </row>
    <row r="17">
      <c r="A17" s="3" t="s">
        <v>30</v>
      </c>
      <c r="B17" s="3">
        <v>238.0</v>
      </c>
      <c r="C17" s="3">
        <v>130.0</v>
      </c>
      <c r="D17" s="12">
        <f t="shared" ref="D17:D18" si="3">B17*C17</f>
        <v>30940</v>
      </c>
    </row>
    <row r="18">
      <c r="A18" s="3" t="s">
        <v>33</v>
      </c>
      <c r="B18" s="3">
        <v>276.0</v>
      </c>
      <c r="C18" s="3">
        <v>130.0</v>
      </c>
      <c r="D18" s="13">
        <f t="shared" si="3"/>
        <v>35880</v>
      </c>
    </row>
    <row r="19">
      <c r="A19" s="3" t="s">
        <v>34</v>
      </c>
      <c r="B19" s="3">
        <f>SUM(B17:B18)</f>
        <v>514</v>
      </c>
      <c r="C19" s="3"/>
      <c r="D19" s="12">
        <f>SUM(D17:D18)</f>
        <v>66820</v>
      </c>
    </row>
    <row r="21">
      <c r="A21" s="3" t="s">
        <v>30</v>
      </c>
      <c r="B21" s="3" t="s">
        <v>31</v>
      </c>
      <c r="C21" s="3" t="s">
        <v>32</v>
      </c>
      <c r="D21" s="11"/>
    </row>
    <row r="22">
      <c r="A22" s="3" t="s">
        <v>30</v>
      </c>
      <c r="B22" s="3">
        <v>238.0</v>
      </c>
      <c r="C22" s="3">
        <v>130.0</v>
      </c>
      <c r="D22" s="12">
        <f t="shared" ref="D22:D23" si="4">B22*C22</f>
        <v>30940</v>
      </c>
    </row>
    <row r="23">
      <c r="A23" s="3" t="s">
        <v>33</v>
      </c>
      <c r="B23" s="3">
        <v>276.0</v>
      </c>
      <c r="C23" s="3">
        <v>130.0</v>
      </c>
      <c r="D23" s="13">
        <f t="shared" si="4"/>
        <v>35880</v>
      </c>
    </row>
    <row r="24">
      <c r="A24" s="3" t="s">
        <v>34</v>
      </c>
      <c r="B24" s="3">
        <f>SUM(B22:B23)</f>
        <v>514</v>
      </c>
      <c r="C24" s="3"/>
      <c r="D24" s="12">
        <f>SUM(D22:D23)</f>
        <v>66820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10.13"/>
    <col customWidth="1" min="7" max="7" width="12.25"/>
    <col customWidth="1" min="8" max="12" width="11.13"/>
    <col customWidth="1" min="13" max="13" width="10.88"/>
    <col customWidth="1" min="14" max="14" width="10.63"/>
    <col customWidth="1" min="15" max="15" width="13.5"/>
    <col customWidth="1" min="16" max="16" width="16.88"/>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c r="B3" s="30" t="s">
        <v>52</v>
      </c>
      <c r="C3" s="31">
        <v>84.0</v>
      </c>
      <c r="D3" s="32">
        <v>100.0</v>
      </c>
      <c r="E3" s="32">
        <f>(C3*D3)+9600</f>
        <v>18000</v>
      </c>
      <c r="F3" s="33"/>
      <c r="G3" s="34">
        <v>1778.76</v>
      </c>
      <c r="H3" s="35"/>
      <c r="I3" s="36"/>
      <c r="J3" s="36"/>
      <c r="K3" s="36"/>
      <c r="L3" s="36"/>
      <c r="M3" s="37"/>
      <c r="N3" s="38"/>
      <c r="O3" s="39">
        <f t="shared" ref="O3:O5" si="1">E3+F3+G3+H3+L3+M3-N3+I3+J3+K3</f>
        <v>19778.76</v>
      </c>
      <c r="P3" s="40"/>
      <c r="Q3" s="40"/>
      <c r="R3" s="41" t="s">
        <v>53</v>
      </c>
      <c r="S3" s="42"/>
    </row>
    <row r="4">
      <c r="A4" s="29"/>
      <c r="B4" s="43" t="s">
        <v>54</v>
      </c>
      <c r="C4" s="31"/>
      <c r="D4" s="32"/>
      <c r="E4" s="32">
        <v>10000.0</v>
      </c>
      <c r="F4" s="33"/>
      <c r="G4" s="34">
        <v>638.28</v>
      </c>
      <c r="H4" s="35"/>
      <c r="I4" s="36"/>
      <c r="J4" s="36"/>
      <c r="K4" s="36"/>
      <c r="L4" s="36"/>
      <c r="M4" s="37"/>
      <c r="N4" s="38"/>
      <c r="O4" s="39">
        <f t="shared" si="1"/>
        <v>10638.28</v>
      </c>
      <c r="P4" s="40"/>
      <c r="Q4" s="40"/>
      <c r="R4" s="41" t="s">
        <v>53</v>
      </c>
      <c r="S4" s="42"/>
    </row>
    <row r="5">
      <c r="A5" s="29" t="s">
        <v>55</v>
      </c>
      <c r="B5" s="44" t="s">
        <v>56</v>
      </c>
      <c r="C5" s="31">
        <v>333.0</v>
      </c>
      <c r="D5" s="32">
        <v>120.0</v>
      </c>
      <c r="E5" s="32">
        <f>39960+2500</f>
        <v>42460</v>
      </c>
      <c r="F5" s="33"/>
      <c r="G5" s="34">
        <f>4793.52+2985.24</f>
        <v>7778.76</v>
      </c>
      <c r="H5" s="35">
        <v>2500.0</v>
      </c>
      <c r="I5" s="36"/>
      <c r="J5" s="36"/>
      <c r="K5" s="36"/>
      <c r="L5" s="36"/>
      <c r="M5" s="37"/>
      <c r="N5" s="38"/>
      <c r="O5" s="39">
        <f t="shared" si="1"/>
        <v>52738.76</v>
      </c>
      <c r="P5" s="40">
        <v>52739.0</v>
      </c>
      <c r="Q5" s="40">
        <v>0.0</v>
      </c>
      <c r="R5" s="41" t="s">
        <v>53</v>
      </c>
      <c r="S5" s="42"/>
    </row>
    <row r="6">
      <c r="A6" s="29" t="s">
        <v>55</v>
      </c>
      <c r="B6" s="45" t="s">
        <v>57</v>
      </c>
      <c r="C6" s="46"/>
      <c r="D6" s="47"/>
      <c r="E6" s="48">
        <f>16500+10400+2000+2418+2600</f>
        <v>33918</v>
      </c>
      <c r="F6" s="33"/>
      <c r="G6" s="49"/>
      <c r="H6" s="36"/>
      <c r="I6" s="36"/>
      <c r="J6" s="35"/>
      <c r="L6" s="36"/>
      <c r="M6" s="37"/>
      <c r="N6" s="38"/>
      <c r="O6" s="39"/>
      <c r="P6" s="40"/>
      <c r="Q6" s="40"/>
      <c r="R6" s="42"/>
      <c r="S6" s="42"/>
    </row>
    <row r="7">
      <c r="A7" s="29" t="s">
        <v>55</v>
      </c>
      <c r="B7" s="50" t="s">
        <v>58</v>
      </c>
      <c r="C7" s="51">
        <v>645.0</v>
      </c>
      <c r="D7" s="48">
        <v>100.11</v>
      </c>
      <c r="E7" s="48">
        <f>645*100</f>
        <v>64500</v>
      </c>
      <c r="F7" s="52">
        <v>5500.0</v>
      </c>
      <c r="G7" s="53">
        <f>8222.22+8894.4</f>
        <v>17116.62</v>
      </c>
      <c r="H7" s="54">
        <v>10000.0</v>
      </c>
      <c r="I7" s="55"/>
      <c r="J7" s="11"/>
      <c r="K7" s="56"/>
      <c r="L7" s="54">
        <f>12000+12000</f>
        <v>24000</v>
      </c>
      <c r="M7" s="57"/>
      <c r="N7" s="58"/>
      <c r="O7" s="59">
        <f>E7+F7+E8+G7+H7+M7+N7+E6+H6+L7+K7</f>
        <v>157134.62</v>
      </c>
      <c r="P7" s="60">
        <v>123135.0</v>
      </c>
      <c r="Q7" s="61">
        <v>34000.0</v>
      </c>
      <c r="R7" s="41" t="s">
        <v>53</v>
      </c>
      <c r="S7" s="42"/>
    </row>
    <row r="8" ht="17.25" customHeight="1">
      <c r="A8" s="29" t="s">
        <v>55</v>
      </c>
      <c r="B8" s="62"/>
      <c r="C8" s="51">
        <v>42.0</v>
      </c>
      <c r="D8" s="48">
        <v>50.0</v>
      </c>
      <c r="E8" s="48">
        <f t="shared" ref="E8:E10" si="2">C8*D8</f>
        <v>2100</v>
      </c>
      <c r="F8" s="62"/>
      <c r="G8" s="62"/>
      <c r="H8" s="62"/>
      <c r="I8" s="55"/>
      <c r="J8" s="56"/>
      <c r="K8" s="56"/>
      <c r="L8" s="62"/>
      <c r="M8" s="62"/>
      <c r="N8" s="62"/>
      <c r="O8" s="62"/>
      <c r="P8" s="62"/>
      <c r="Q8" s="62"/>
      <c r="S8" s="42"/>
    </row>
    <row r="9">
      <c r="A9" s="29" t="s">
        <v>55</v>
      </c>
      <c r="B9" s="63" t="s">
        <v>59</v>
      </c>
      <c r="C9" s="51">
        <f>351+16</f>
        <v>367</v>
      </c>
      <c r="D9" s="48">
        <v>100.0</v>
      </c>
      <c r="E9" s="48">
        <f t="shared" si="2"/>
        <v>36700</v>
      </c>
      <c r="F9" s="52">
        <v>10000.0</v>
      </c>
      <c r="G9" s="53">
        <f>3317.1+3266.46</f>
        <v>6583.56</v>
      </c>
      <c r="H9" s="64"/>
      <c r="I9" s="65"/>
      <c r="J9" s="65"/>
      <c r="K9" s="65"/>
      <c r="L9" s="64"/>
      <c r="M9" s="66"/>
      <c r="N9" s="58"/>
      <c r="O9" s="59">
        <f>E9+E10+F9+G9+L9+H9+M9-N9</f>
        <v>57707.56</v>
      </c>
      <c r="P9" s="60">
        <v>57708.0</v>
      </c>
      <c r="Q9" s="67">
        <v>0.0</v>
      </c>
      <c r="R9" s="41" t="s">
        <v>53</v>
      </c>
      <c r="S9" s="42"/>
    </row>
    <row r="10">
      <c r="A10" s="29" t="s">
        <v>55</v>
      </c>
      <c r="B10" s="62"/>
      <c r="C10" s="51">
        <v>28.0</v>
      </c>
      <c r="D10" s="48">
        <v>158.0</v>
      </c>
      <c r="E10" s="48">
        <f t="shared" si="2"/>
        <v>4424</v>
      </c>
      <c r="F10" s="62"/>
      <c r="G10" s="62"/>
      <c r="H10" s="62"/>
      <c r="I10" s="65"/>
      <c r="J10" s="65"/>
      <c r="K10" s="65"/>
      <c r="L10" s="62"/>
      <c r="M10" s="62"/>
      <c r="N10" s="62"/>
      <c r="O10" s="62"/>
      <c r="P10" s="62"/>
      <c r="Q10" s="62"/>
      <c r="S10" s="42"/>
    </row>
    <row r="11">
      <c r="A11" s="68"/>
      <c r="B11" s="69"/>
      <c r="C11" s="70"/>
      <c r="D11" s="71"/>
      <c r="E11" s="71"/>
      <c r="F11" s="72"/>
      <c r="G11" s="73"/>
      <c r="H11" s="74"/>
      <c r="I11" s="74"/>
      <c r="J11" s="74"/>
      <c r="K11" s="74"/>
      <c r="L11" s="74"/>
      <c r="M11" s="75"/>
      <c r="N11" s="76"/>
      <c r="O11" s="77">
        <f>SUM(O5:O10)</f>
        <v>267580.94</v>
      </c>
      <c r="P11" s="11"/>
      <c r="Q11" s="78"/>
      <c r="R11" s="78"/>
      <c r="S11" s="42"/>
    </row>
    <row r="12">
      <c r="A12" s="29" t="s">
        <v>55</v>
      </c>
      <c r="B12" s="79" t="s">
        <v>60</v>
      </c>
      <c r="C12" s="31">
        <v>499.0</v>
      </c>
      <c r="D12" s="32">
        <v>50.0</v>
      </c>
      <c r="E12" s="32">
        <f>24950+2500+4000</f>
        <v>31450</v>
      </c>
      <c r="F12" s="80"/>
      <c r="G12" s="81">
        <f>2007.48+5427.42</f>
        <v>7434.9</v>
      </c>
      <c r="H12" s="35"/>
      <c r="I12" s="35"/>
      <c r="J12" s="35"/>
      <c r="K12" s="35"/>
      <c r="L12" s="35">
        <f>27000+27000+3000</f>
        <v>57000</v>
      </c>
      <c r="M12" s="38"/>
      <c r="N12" s="38"/>
      <c r="O12" s="39">
        <f>E12+F12+G12+H12+L12+M12-N12+I12+J12+K12</f>
        <v>95884.9</v>
      </c>
      <c r="P12" s="3">
        <v>38885.0</v>
      </c>
      <c r="Q12" s="82">
        <v>57000.0</v>
      </c>
      <c r="R12" s="8" t="s">
        <v>61</v>
      </c>
      <c r="S12" s="42"/>
    </row>
    <row r="13">
      <c r="A13" s="29" t="s">
        <v>55</v>
      </c>
      <c r="B13" s="43" t="s">
        <v>62</v>
      </c>
      <c r="C13" s="31">
        <f>215+8+15</f>
        <v>238</v>
      </c>
      <c r="D13" s="32">
        <v>147.0</v>
      </c>
      <c r="E13" s="32">
        <f>C13*D13</f>
        <v>34986</v>
      </c>
      <c r="F13" s="33"/>
      <c r="G13" s="83">
        <f>2280.84+2236.02</f>
        <v>4516.86</v>
      </c>
      <c r="H13" s="35"/>
      <c r="I13" s="36"/>
      <c r="J13" s="36"/>
      <c r="K13" s="36"/>
      <c r="L13" s="36"/>
      <c r="M13" s="37"/>
      <c r="N13" s="38"/>
      <c r="O13" s="39">
        <f>E13+F13+G13+H13+L13+M13-N13+I13</f>
        <v>39502.86</v>
      </c>
      <c r="P13" s="3">
        <v>39503.0</v>
      </c>
      <c r="Q13" s="40">
        <v>0.0</v>
      </c>
      <c r="R13" s="41" t="s">
        <v>53</v>
      </c>
      <c r="S13" s="42"/>
    </row>
    <row r="14">
      <c r="A14" s="29" t="s">
        <v>55</v>
      </c>
      <c r="B14" s="84" t="s">
        <v>63</v>
      </c>
      <c r="C14" s="51">
        <v>26.0</v>
      </c>
      <c r="D14" s="48">
        <v>800.0</v>
      </c>
      <c r="E14" s="48">
        <f>D14*C14</f>
        <v>20800</v>
      </c>
      <c r="F14" s="33"/>
      <c r="G14" s="49">
        <v>8166.4</v>
      </c>
      <c r="H14" s="36">
        <v>800.0</v>
      </c>
      <c r="I14" s="36"/>
      <c r="J14" s="36">
        <f>9000+77000+20000</f>
        <v>106000</v>
      </c>
      <c r="K14" s="36"/>
      <c r="L14" s="36"/>
      <c r="M14" s="49"/>
      <c r="N14" s="38"/>
      <c r="O14" s="85">
        <f>E14+K14+G14+J14+H14</f>
        <v>135766.4</v>
      </c>
      <c r="P14" s="3"/>
      <c r="Q14" s="82">
        <v>135766.0</v>
      </c>
      <c r="R14" s="40"/>
      <c r="S14" s="42"/>
    </row>
    <row r="15">
      <c r="A15" s="29"/>
      <c r="B15" s="86" t="s">
        <v>64</v>
      </c>
      <c r="C15" s="51"/>
      <c r="D15" s="48"/>
      <c r="E15" s="48">
        <v>30000.0</v>
      </c>
      <c r="F15" s="33"/>
      <c r="G15" s="36"/>
      <c r="H15" s="36">
        <f>1200+2000+3000</f>
        <v>6200</v>
      </c>
      <c r="I15" s="36"/>
      <c r="J15" s="36"/>
      <c r="K15" s="36"/>
      <c r="L15" s="36"/>
      <c r="M15" s="37"/>
      <c r="N15" s="38"/>
      <c r="O15" s="39">
        <f>E15+F15+G15+H15+M15-N15+I15+J15</f>
        <v>36200</v>
      </c>
      <c r="P15" s="3">
        <v>36200.0</v>
      </c>
      <c r="Q15" s="40">
        <v>0.0</v>
      </c>
      <c r="R15" s="41" t="s">
        <v>53</v>
      </c>
      <c r="S15" s="42"/>
    </row>
    <row r="16">
      <c r="A16" s="29"/>
      <c r="B16" s="86" t="s">
        <v>65</v>
      </c>
      <c r="C16" s="51"/>
      <c r="D16" s="48"/>
      <c r="E16" s="48"/>
      <c r="F16" s="33"/>
      <c r="G16" s="49"/>
      <c r="H16" s="36"/>
      <c r="I16" s="36"/>
      <c r="J16" s="36"/>
      <c r="K16" s="36"/>
      <c r="L16" s="36"/>
      <c r="M16" s="37">
        <f t="shared" ref="M16:M17" si="3">62621.19</f>
        <v>62621.19</v>
      </c>
      <c r="N16" s="38"/>
      <c r="O16" s="39">
        <f t="shared" ref="O16:O17" si="4">M16+G16-N16</f>
        <v>62621.19</v>
      </c>
      <c r="P16" s="3">
        <v>62621.0</v>
      </c>
      <c r="Q16" s="40">
        <v>0.0</v>
      </c>
      <c r="R16" s="41" t="s">
        <v>53</v>
      </c>
      <c r="S16" s="42"/>
    </row>
    <row r="17">
      <c r="A17" s="29"/>
      <c r="B17" s="86" t="s">
        <v>66</v>
      </c>
      <c r="C17" s="51"/>
      <c r="D17" s="48"/>
      <c r="E17" s="48"/>
      <c r="F17" s="33"/>
      <c r="G17" s="36"/>
      <c r="H17" s="36"/>
      <c r="I17" s="11"/>
      <c r="J17" s="36"/>
      <c r="K17" s="36"/>
      <c r="L17" s="36"/>
      <c r="M17" s="37">
        <f t="shared" si="3"/>
        <v>62621.19</v>
      </c>
      <c r="N17" s="38"/>
      <c r="O17" s="39">
        <f t="shared" si="4"/>
        <v>62621.19</v>
      </c>
      <c r="P17" s="3">
        <v>62621.0</v>
      </c>
      <c r="Q17" s="40">
        <v>0.0</v>
      </c>
      <c r="R17" s="41" t="s">
        <v>53</v>
      </c>
      <c r="S17" s="42"/>
    </row>
    <row r="18">
      <c r="A18" s="3"/>
      <c r="B18" s="86" t="s">
        <v>67</v>
      </c>
      <c r="C18" s="87"/>
      <c r="D18" s="88"/>
      <c r="E18" s="88"/>
      <c r="F18" s="89"/>
      <c r="G18" s="36"/>
      <c r="H18" s="36"/>
      <c r="I18" s="35"/>
      <c r="J18" s="36"/>
      <c r="K18" s="36"/>
      <c r="L18" s="36"/>
      <c r="M18" s="37">
        <v>42800.0</v>
      </c>
      <c r="N18" s="38"/>
      <c r="O18" s="39">
        <f>M18+G18</f>
        <v>42800</v>
      </c>
      <c r="P18" s="3">
        <v>42800.0</v>
      </c>
      <c r="Q18" s="40">
        <v>0.0</v>
      </c>
      <c r="R18" s="41" t="s">
        <v>53</v>
      </c>
      <c r="S18" s="42"/>
    </row>
    <row r="19">
      <c r="A19" s="90" t="s">
        <v>68</v>
      </c>
      <c r="B19" s="90"/>
      <c r="C19" s="91">
        <f>SUM(C9:C13)</f>
        <v>1132</v>
      </c>
      <c r="D19" s="92"/>
      <c r="E19" s="91">
        <f>SUM(E9:E17)</f>
        <v>158360</v>
      </c>
      <c r="F19" s="91">
        <f>SUM(F9:F14)</f>
        <v>10000</v>
      </c>
      <c r="G19" s="93">
        <f t="shared" ref="G19:H19" si="5">SUM(G9:G17)</f>
        <v>26701.72</v>
      </c>
      <c r="H19" s="91">
        <f t="shared" si="5"/>
        <v>7000</v>
      </c>
      <c r="I19" s="91">
        <f t="shared" ref="I19:M19" si="6">SUM(I9:I18)</f>
        <v>0</v>
      </c>
      <c r="J19" s="91">
        <f t="shared" si="6"/>
        <v>106000</v>
      </c>
      <c r="K19" s="91">
        <f t="shared" si="6"/>
        <v>0</v>
      </c>
      <c r="L19" s="91">
        <f t="shared" si="6"/>
        <v>57000</v>
      </c>
      <c r="M19" s="91">
        <f t="shared" si="6"/>
        <v>168042.38</v>
      </c>
      <c r="N19" s="91">
        <f>SUM(N9:N14)</f>
        <v>0</v>
      </c>
      <c r="O19" s="77">
        <f>SUM(O12:O18)</f>
        <v>475396.54</v>
      </c>
      <c r="P19" s="94"/>
      <c r="Q19" s="78"/>
      <c r="R19" s="42"/>
      <c r="S19" s="95"/>
    </row>
    <row r="20">
      <c r="C20" s="8"/>
      <c r="D20" s="96"/>
      <c r="E20" s="97"/>
      <c r="M20" s="98" t="s">
        <v>69</v>
      </c>
      <c r="N20" s="99"/>
      <c r="O20" s="100">
        <f>SUM(O11+O19)</f>
        <v>742977.48</v>
      </c>
      <c r="P20" s="101"/>
      <c r="Q20" s="22"/>
      <c r="R20" s="22"/>
      <c r="S20" s="22"/>
    </row>
    <row r="21">
      <c r="C21" s="102"/>
      <c r="D21" s="103"/>
      <c r="E21" s="103">
        <f>E6+'ноябрь'!E8+'октябрь'!E8+'сентябрь'!E8+'август'!E8+'июль'!E8+'май'!E7+'июнь'!E7+'апрель'!E7+'март'!E7+'февраль'!E7+'январь'!E7</f>
        <v>389926</v>
      </c>
      <c r="F21" s="8">
        <v>12.0</v>
      </c>
      <c r="G21">
        <f>E21/F21</f>
        <v>32493.83333</v>
      </c>
      <c r="O21" s="22"/>
      <c r="P21" s="101"/>
      <c r="Q21" s="104"/>
      <c r="R21" s="22"/>
    </row>
    <row r="22">
      <c r="C22" s="102"/>
      <c r="D22" s="103"/>
      <c r="E22" s="103"/>
      <c r="O22" s="22"/>
      <c r="P22" s="101"/>
      <c r="Q22" s="97"/>
    </row>
    <row r="23">
      <c r="C23" s="102"/>
      <c r="D23" s="103"/>
      <c r="E23" s="103"/>
      <c r="Q23" s="97"/>
    </row>
    <row r="24">
      <c r="C24" s="102"/>
      <c r="D24" s="103"/>
      <c r="E24" s="105"/>
      <c r="G24" s="96"/>
      <c r="I24" s="22"/>
      <c r="P24" s="8"/>
      <c r="Q24" s="97"/>
    </row>
    <row r="25">
      <c r="C25" s="102"/>
      <c r="D25" s="103"/>
      <c r="E25" s="105"/>
      <c r="P25" s="8"/>
      <c r="Q25" s="97"/>
    </row>
    <row r="26">
      <c r="C26" s="102"/>
      <c r="D26" s="103"/>
      <c r="E26" s="103"/>
      <c r="P26" s="8"/>
      <c r="Q26" s="96"/>
    </row>
    <row r="27">
      <c r="C27" s="106"/>
      <c r="D27" s="105"/>
      <c r="E27" s="105"/>
      <c r="N27" s="107"/>
    </row>
    <row r="28">
      <c r="D28" s="97"/>
      <c r="E28" s="108"/>
      <c r="G28" s="96"/>
      <c r="P28" s="8"/>
      <c r="Q28" s="97"/>
    </row>
    <row r="29">
      <c r="D29" s="96"/>
      <c r="E29" s="96"/>
      <c r="P29" s="8"/>
      <c r="Q29" s="97"/>
    </row>
    <row r="30">
      <c r="D30" s="96"/>
      <c r="E30" s="96"/>
      <c r="P30" s="8"/>
      <c r="Q30" s="97"/>
    </row>
    <row r="31">
      <c r="D31" s="96"/>
      <c r="E31" s="96">
        <f>E22+E24+E26</f>
        <v>0</v>
      </c>
      <c r="F31" s="8">
        <v>6.0</v>
      </c>
      <c r="G31" s="96">
        <f>E31/F31</f>
        <v>0</v>
      </c>
      <c r="P31" s="8"/>
      <c r="Q31" s="97"/>
    </row>
    <row r="32">
      <c r="D32" s="96"/>
      <c r="E32" s="96"/>
      <c r="P32" s="8"/>
    </row>
    <row r="33">
      <c r="D33" s="96"/>
      <c r="E33" s="96"/>
    </row>
    <row r="34">
      <c r="D34" s="109" t="s">
        <v>20</v>
      </c>
      <c r="E34" s="110" t="str">
        <f>#REF!+'май'!E7+'апрель'!E7+'май'!H7+'март'!E7+'февраль'!E7+'январь'!E7</f>
        <v>#REF!</v>
      </c>
      <c r="F34" s="3">
        <v>6.0</v>
      </c>
      <c r="G34" s="12" t="str">
        <f>E34/F34</f>
        <v>#REF!</v>
      </c>
      <c r="H34" s="11"/>
    </row>
    <row r="35">
      <c r="D35" s="11"/>
      <c r="E35" s="11"/>
      <c r="F35" s="11"/>
      <c r="G35" s="11"/>
      <c r="H35" s="11"/>
    </row>
    <row r="36">
      <c r="D36" s="111"/>
      <c r="E36" s="68" t="s">
        <v>70</v>
      </c>
      <c r="F36" s="68" t="s">
        <v>71</v>
      </c>
      <c r="G36" s="68" t="s">
        <v>72</v>
      </c>
      <c r="H36" s="68" t="s">
        <v>73</v>
      </c>
    </row>
    <row r="37">
      <c r="D37" s="3" t="s">
        <v>74</v>
      </c>
      <c r="E37" s="12">
        <f>8000+8000+7200+7200+7200+72000</f>
        <v>109600</v>
      </c>
      <c r="F37" s="12">
        <f>840+840+840+840+840+840+6708</f>
        <v>11748</v>
      </c>
      <c r="G37" s="12">
        <f>G9+'май'!G3+'апрель'!G3+'март'!G3+'февраль'!G3+'январь'!G3/2</f>
        <v>12404.54</v>
      </c>
      <c r="H37" s="11"/>
    </row>
    <row r="38">
      <c r="D38" s="11"/>
      <c r="E38" s="13">
        <v>6.0</v>
      </c>
      <c r="F38" s="13">
        <v>6.0</v>
      </c>
      <c r="G38" s="13">
        <v>6.0</v>
      </c>
      <c r="H38" s="11"/>
    </row>
    <row r="39">
      <c r="D39" s="11"/>
      <c r="E39" s="12">
        <f>E37/E38+G39</f>
        <v>20334.09</v>
      </c>
      <c r="F39" s="12">
        <f t="shared" ref="F39:G39" si="7">F37/F38</f>
        <v>1958</v>
      </c>
      <c r="G39" s="12">
        <f t="shared" si="7"/>
        <v>2067.423333</v>
      </c>
      <c r="H39" s="11"/>
    </row>
    <row r="40">
      <c r="D40" s="11"/>
      <c r="E40" s="12"/>
      <c r="F40" s="12"/>
      <c r="G40" s="12"/>
      <c r="H40" s="11"/>
    </row>
    <row r="41">
      <c r="D41" s="3" t="s">
        <v>75</v>
      </c>
      <c r="E41" s="12">
        <f>E10+'май'!E4+'апрель'!E4+'март'!E4+'февраль'!E4+'январь'!E4</f>
        <v>54424</v>
      </c>
      <c r="F41" s="12"/>
      <c r="G41" s="12">
        <f>G10+'май'!G4+'апрель'!G4+'март'!G4+'февраль'!G4+'январь'!G4</f>
        <v>3191.58</v>
      </c>
      <c r="H41" s="11"/>
    </row>
    <row r="42">
      <c r="D42" s="11"/>
      <c r="E42" s="13">
        <v>6.0</v>
      </c>
      <c r="F42" s="12"/>
      <c r="G42" s="13">
        <v>6.0</v>
      </c>
      <c r="H42" s="11"/>
    </row>
    <row r="43">
      <c r="D43" s="11"/>
      <c r="E43" s="12">
        <f>E41/E42+G43</f>
        <v>9602.596667</v>
      </c>
      <c r="F43" s="12"/>
      <c r="G43" s="12">
        <f>G41/G42</f>
        <v>531.93</v>
      </c>
      <c r="H43" s="11"/>
    </row>
    <row r="44">
      <c r="D44" s="11"/>
      <c r="E44" s="12"/>
      <c r="F44" s="12"/>
      <c r="G44" s="12"/>
      <c r="H44" s="11"/>
      <c r="I44" s="8" t="s">
        <v>76</v>
      </c>
    </row>
    <row r="45">
      <c r="D45" s="3" t="s">
        <v>77</v>
      </c>
      <c r="E45" s="12">
        <f>22950+22950+23250+23250+24850+24850</f>
        <v>142100</v>
      </c>
      <c r="F45" s="12">
        <f>43800+43800+39960+39960+39960+39960</f>
        <v>247440</v>
      </c>
      <c r="G45" s="12">
        <f>(G12+'май'!G5+'апрель'!G5+'март'!G5+'февраль'!G5+'январь'!G5)/2</f>
        <v>18480.8</v>
      </c>
      <c r="H45" s="12"/>
      <c r="I45" s="97">
        <f>54000/2</f>
        <v>27000</v>
      </c>
    </row>
    <row r="46">
      <c r="D46" s="11"/>
      <c r="E46" s="13">
        <v>6.0</v>
      </c>
      <c r="F46" s="13">
        <v>6.0</v>
      </c>
      <c r="G46" s="13">
        <v>6.0</v>
      </c>
      <c r="H46" s="12"/>
      <c r="I46" s="97">
        <v>6.0</v>
      </c>
    </row>
    <row r="47">
      <c r="D47" s="11"/>
      <c r="E47" s="12">
        <f>E45/E46+G47+I47</f>
        <v>31263.46667</v>
      </c>
      <c r="F47" s="12">
        <f>F45/F46+G47+I47</f>
        <v>48820.13333</v>
      </c>
      <c r="G47" s="12">
        <f>G45/G46</f>
        <v>3080.133333</v>
      </c>
      <c r="H47" s="12"/>
      <c r="I47" s="12">
        <f>I45/I46</f>
        <v>4500</v>
      </c>
    </row>
    <row r="48">
      <c r="D48" s="11"/>
      <c r="E48" s="12"/>
      <c r="F48" s="12"/>
      <c r="G48" s="12"/>
      <c r="H48" s="12"/>
      <c r="I48" s="96"/>
    </row>
    <row r="49">
      <c r="D49" s="3" t="s">
        <v>78</v>
      </c>
      <c r="E49" s="12"/>
      <c r="F49" s="12">
        <f>'май'!O6+'апрель'!O6+'март'!O6+'февраль'!N6+'январь'!N6+O13</f>
        <v>229739.14</v>
      </c>
      <c r="G49" s="12"/>
      <c r="H49" s="12"/>
      <c r="I49" s="96"/>
    </row>
    <row r="50">
      <c r="D50" s="11"/>
      <c r="E50" s="12"/>
      <c r="F50" s="13">
        <v>6.0</v>
      </c>
      <c r="G50" s="12"/>
      <c r="H50" s="12"/>
      <c r="I50" s="96"/>
    </row>
    <row r="51">
      <c r="D51" s="3"/>
      <c r="E51" s="12"/>
      <c r="F51" s="12">
        <f>F49/F50</f>
        <v>38289.85667</v>
      </c>
      <c r="G51" s="12"/>
      <c r="H51" s="12"/>
      <c r="I51" s="96"/>
    </row>
    <row r="52">
      <c r="D52" s="11"/>
      <c r="E52" s="12"/>
      <c r="F52" s="12"/>
      <c r="G52" s="12"/>
      <c r="H52" s="12"/>
      <c r="I52" s="96"/>
    </row>
    <row r="53">
      <c r="D53" s="3" t="s">
        <v>79</v>
      </c>
      <c r="E53" s="13">
        <f>33000+3000</f>
        <v>36000</v>
      </c>
      <c r="F53" s="12" t="str">
        <f>#REF!+#REF!+'май'!E8+'май'!E9+'май'!H8+'апрель'!E8+'апрель'!E9+'апрель'!H8+'март'!E8+'март'!E9+'февраль'!E8+'февраль'!E9+'январь'!E8+'январь'!E9</f>
        <v>#REF!</v>
      </c>
      <c r="G53" s="12" t="str">
        <f>#REF!+'май'!G8+'апрель'!G8+'март'!G8+'февраль'!G8+'январь'!G8</f>
        <v>#REF!</v>
      </c>
      <c r="H53" s="12"/>
      <c r="I53" s="96"/>
    </row>
    <row r="54">
      <c r="D54" s="11"/>
      <c r="E54" s="13">
        <v>6.0</v>
      </c>
      <c r="F54" s="13">
        <v>6.0</v>
      </c>
      <c r="G54" s="13">
        <v>6.0</v>
      </c>
      <c r="H54" s="12"/>
      <c r="I54" s="96"/>
    </row>
    <row r="55">
      <c r="D55" s="11"/>
      <c r="E55" s="12">
        <f>E53/E54</f>
        <v>6000</v>
      </c>
      <c r="F55" s="12" t="str">
        <f>F53/F54+G55</f>
        <v>#REF!</v>
      </c>
      <c r="G55" s="12" t="str">
        <f>G53/G54</f>
        <v>#REF!</v>
      </c>
      <c r="H55" s="12"/>
      <c r="I55" s="96"/>
    </row>
    <row r="56">
      <c r="D56" s="11"/>
      <c r="E56" s="12"/>
      <c r="F56" s="12"/>
      <c r="G56" s="12"/>
      <c r="H56" s="12"/>
      <c r="I56" s="96"/>
    </row>
    <row r="57">
      <c r="D57" s="3" t="s">
        <v>80</v>
      </c>
      <c r="E57" s="12"/>
      <c r="F57" s="12" t="str">
        <f>#REF!+'май'!O10+'апрель'!O10+'март'!O10+'февраль'!N10+'январь'!N10</f>
        <v>#REF!</v>
      </c>
      <c r="G57" s="12"/>
      <c r="H57" s="12"/>
      <c r="I57" s="96"/>
    </row>
    <row r="58">
      <c r="D58" s="11"/>
      <c r="E58" s="12"/>
      <c r="F58" s="13">
        <v>6.0</v>
      </c>
      <c r="G58" s="12"/>
      <c r="H58" s="12"/>
      <c r="I58" s="96"/>
    </row>
    <row r="59">
      <c r="D59" s="11"/>
      <c r="E59" s="12"/>
      <c r="F59" s="12" t="str">
        <f>F57/F58</f>
        <v>#REF!</v>
      </c>
      <c r="G59" s="12"/>
      <c r="H59" s="12"/>
      <c r="I59" s="96"/>
    </row>
    <row r="60">
      <c r="D60" s="11"/>
      <c r="E60" s="12"/>
      <c r="F60" s="12"/>
      <c r="G60" s="12"/>
      <c r="H60" s="12"/>
      <c r="I60" s="96"/>
    </row>
    <row r="61">
      <c r="D61" s="3" t="s">
        <v>16</v>
      </c>
      <c r="E61" s="13">
        <f>12800+12800+13600+13600+13600+13600</f>
        <v>80000</v>
      </c>
      <c r="F61" s="13">
        <f>14800+1917+9200+12800+3700+23800+1800</f>
        <v>68017</v>
      </c>
      <c r="G61" s="13">
        <f>2083+1690+1396+3546/2</f>
        <v>6942</v>
      </c>
      <c r="H61" s="12"/>
      <c r="I61" s="96"/>
    </row>
    <row r="62">
      <c r="D62" s="11"/>
      <c r="E62" s="13">
        <v>6.0</v>
      </c>
      <c r="F62" s="13">
        <v>6.0</v>
      </c>
      <c r="G62" s="13">
        <v>6.0</v>
      </c>
      <c r="H62" s="12"/>
      <c r="I62" s="96"/>
    </row>
    <row r="63">
      <c r="D63" s="11"/>
      <c r="E63" s="12">
        <f>E61/E62+G63</f>
        <v>14490.33333</v>
      </c>
      <c r="F63" s="12">
        <f>F61/F62+G63</f>
        <v>12493.16667</v>
      </c>
      <c r="G63" s="12">
        <f>G61/G62</f>
        <v>1157</v>
      </c>
      <c r="H63" s="12"/>
      <c r="I63" s="96"/>
    </row>
    <row r="64">
      <c r="D64" s="11"/>
      <c r="E64" s="12"/>
      <c r="F64" s="12"/>
      <c r="G64" s="12"/>
      <c r="H64" s="12"/>
      <c r="I64" s="96"/>
    </row>
    <row r="65">
      <c r="D65" s="3" t="s">
        <v>81</v>
      </c>
      <c r="E65" s="12"/>
      <c r="F65" s="12">
        <f>'январь'!N13+'февраль'!N13+'март'!O13+'апрель'!O13+'май'!O13+O15</f>
        <v>195350</v>
      </c>
      <c r="G65" s="12"/>
      <c r="H65" s="12"/>
      <c r="I65" s="96"/>
    </row>
    <row r="66">
      <c r="D66" s="11"/>
      <c r="E66" s="12"/>
      <c r="F66" s="13">
        <v>6.0</v>
      </c>
      <c r="G66" s="12"/>
      <c r="H66" s="12"/>
      <c r="I66" s="96"/>
    </row>
    <row r="67">
      <c r="D67" s="11"/>
      <c r="E67" s="12"/>
      <c r="F67" s="12">
        <f>F65/F66</f>
        <v>32558.33333</v>
      </c>
      <c r="G67" s="12"/>
      <c r="H67" s="12"/>
      <c r="I67" s="96"/>
    </row>
    <row r="68">
      <c r="D68" s="11"/>
      <c r="E68" s="12"/>
      <c r="F68" s="12"/>
      <c r="G68" s="12"/>
      <c r="H68" s="12"/>
      <c r="I68" s="96"/>
    </row>
    <row r="69">
      <c r="D69" s="3" t="s">
        <v>82</v>
      </c>
      <c r="E69" s="12"/>
      <c r="F69" s="12">
        <f>O16+'май'!O14+'апрель'!O14+'март'!O14+'февраль'!N14+'январь'!N14</f>
        <v>396135.47</v>
      </c>
      <c r="G69" s="12"/>
      <c r="H69" s="12"/>
      <c r="I69" s="96"/>
    </row>
    <row r="70">
      <c r="D70" s="11"/>
      <c r="E70" s="12"/>
      <c r="F70" s="13">
        <v>6.0</v>
      </c>
      <c r="G70" s="12"/>
      <c r="H70" s="12"/>
      <c r="I70" s="96"/>
    </row>
    <row r="71">
      <c r="D71" s="11"/>
      <c r="E71" s="12"/>
      <c r="F71" s="12">
        <f>F69/F70</f>
        <v>66022.57833</v>
      </c>
      <c r="G71" s="12"/>
      <c r="H71" s="12"/>
      <c r="I71" s="96"/>
    </row>
    <row r="72">
      <c r="D72" s="11"/>
      <c r="E72" s="12"/>
      <c r="F72" s="12"/>
      <c r="G72" s="12"/>
      <c r="H72" s="12"/>
      <c r="I72" s="96"/>
    </row>
    <row r="73">
      <c r="D73" s="3" t="s">
        <v>83</v>
      </c>
      <c r="E73" s="12"/>
      <c r="F73" s="13">
        <v>256800.0</v>
      </c>
      <c r="G73" s="12"/>
      <c r="H73" s="12"/>
      <c r="I73" s="96"/>
    </row>
    <row r="74">
      <c r="D74" s="11"/>
      <c r="E74" s="11"/>
      <c r="F74" s="3">
        <v>6.0</v>
      </c>
      <c r="G74" s="11"/>
      <c r="H74" s="11"/>
    </row>
    <row r="75">
      <c r="D75" s="11"/>
      <c r="E75" s="11"/>
      <c r="F75" s="3">
        <v>42800.0</v>
      </c>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row r="81">
      <c r="D81" s="11"/>
      <c r="E81" s="11"/>
      <c r="F81" s="11"/>
      <c r="G81" s="11"/>
      <c r="H81" s="11"/>
    </row>
    <row r="82">
      <c r="D82" s="11"/>
      <c r="E82" s="11"/>
      <c r="F82" s="11"/>
      <c r="G82" s="11"/>
      <c r="H82" s="11"/>
    </row>
  </sheetData>
  <mergeCells count="23">
    <mergeCell ref="O7:O8"/>
    <mergeCell ref="P7:P8"/>
    <mergeCell ref="Q7:Q8"/>
    <mergeCell ref="R7:R8"/>
    <mergeCell ref="F7:F8"/>
    <mergeCell ref="F9:F10"/>
    <mergeCell ref="G9:G10"/>
    <mergeCell ref="H9:H10"/>
    <mergeCell ref="L9:L10"/>
    <mergeCell ref="M9:M10"/>
    <mergeCell ref="M20:N20"/>
    <mergeCell ref="N9:N10"/>
    <mergeCell ref="O9:O10"/>
    <mergeCell ref="P9:P10"/>
    <mergeCell ref="Q9:Q10"/>
    <mergeCell ref="R9:R10"/>
    <mergeCell ref="B7:B8"/>
    <mergeCell ref="G7:G8"/>
    <mergeCell ref="H7:H8"/>
    <mergeCell ref="L7:L8"/>
    <mergeCell ref="M7:M8"/>
    <mergeCell ref="N7:N8"/>
    <mergeCell ref="B9:B10"/>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10.13"/>
    <col customWidth="1" min="7" max="7" width="12.25"/>
    <col customWidth="1" min="8" max="12" width="11.13"/>
    <col customWidth="1" min="13" max="13" width="10.88"/>
    <col customWidth="1" min="14" max="14" width="10.63"/>
    <col customWidth="1" min="15" max="15" width="13.5"/>
    <col customWidth="1" min="16" max="16" width="16.88"/>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(C3*D3)+9600</f>
        <v>18000</v>
      </c>
      <c r="F3" s="80"/>
      <c r="G3" s="112">
        <v>1145.94</v>
      </c>
      <c r="H3" s="113">
        <f>500+10000</f>
        <v>10500</v>
      </c>
      <c r="I3" s="113"/>
      <c r="J3" s="113"/>
      <c r="K3" s="113"/>
      <c r="L3" s="113"/>
      <c r="M3" s="80"/>
      <c r="N3" s="80"/>
      <c r="O3" s="114">
        <f t="shared" ref="O3:O4" si="1">E3+F3+G3+H3+L3+M3-N3</f>
        <v>29645.94</v>
      </c>
      <c r="P3" s="40"/>
      <c r="Q3" s="40"/>
      <c r="R3" s="42"/>
      <c r="S3" s="42"/>
    </row>
    <row r="4">
      <c r="A4" s="29" t="s">
        <v>55</v>
      </c>
      <c r="B4" s="43" t="s">
        <v>54</v>
      </c>
      <c r="C4" s="31"/>
      <c r="D4" s="32"/>
      <c r="E4" s="32">
        <v>10000.0</v>
      </c>
      <c r="F4" s="80"/>
      <c r="G4" s="115">
        <v>638.28</v>
      </c>
      <c r="H4" s="35"/>
      <c r="I4" s="35"/>
      <c r="J4" s="35"/>
      <c r="K4" s="35"/>
      <c r="L4" s="35"/>
      <c r="M4" s="38"/>
      <c r="N4" s="38"/>
      <c r="O4" s="114">
        <f t="shared" si="1"/>
        <v>10638.28</v>
      </c>
      <c r="P4" s="40"/>
      <c r="Q4" s="40"/>
      <c r="R4" s="42"/>
      <c r="S4" s="42"/>
    </row>
    <row r="5">
      <c r="A5" s="29" t="s">
        <v>55</v>
      </c>
      <c r="B5" s="79" t="s">
        <v>60</v>
      </c>
      <c r="C5" s="31">
        <v>499.0</v>
      </c>
      <c r="D5" s="32">
        <v>50.0</v>
      </c>
      <c r="E5" s="32">
        <f>24950+2500+4000</f>
        <v>31450</v>
      </c>
      <c r="F5" s="80"/>
      <c r="G5" s="81">
        <v>2008.2</v>
      </c>
      <c r="H5" s="35"/>
      <c r="I5" s="35"/>
      <c r="J5" s="35"/>
      <c r="K5" s="35"/>
      <c r="L5" s="35"/>
      <c r="M5" s="38"/>
      <c r="N5" s="38"/>
      <c r="O5" s="114">
        <f t="shared" ref="O5:O6" si="2">E5+F5+G5+H5+L5+M5-N5+I5+J5+K5</f>
        <v>33458.2</v>
      </c>
      <c r="P5" s="40"/>
      <c r="Q5" s="40"/>
      <c r="R5" s="42"/>
      <c r="S5" s="42"/>
    </row>
    <row r="6">
      <c r="A6" s="29" t="s">
        <v>55</v>
      </c>
      <c r="B6" s="44" t="s">
        <v>56</v>
      </c>
      <c r="C6" s="31">
        <v>333.0</v>
      </c>
      <c r="D6" s="32">
        <v>120.0</v>
      </c>
      <c r="E6" s="32">
        <f>39960+2500</f>
        <v>42460</v>
      </c>
      <c r="F6" s="33"/>
      <c r="G6" s="34">
        <v>2931.54</v>
      </c>
      <c r="H6" s="35"/>
      <c r="I6" s="36"/>
      <c r="J6" s="36"/>
      <c r="K6" s="36"/>
      <c r="L6" s="36">
        <f>30000+4500</f>
        <v>34500</v>
      </c>
      <c r="M6" s="37"/>
      <c r="N6" s="38"/>
      <c r="O6" s="114">
        <f t="shared" si="2"/>
        <v>79891.54</v>
      </c>
      <c r="P6" s="40"/>
      <c r="Q6" s="40"/>
      <c r="R6" s="42"/>
      <c r="S6" s="42"/>
    </row>
    <row r="7">
      <c r="A7" s="29" t="s">
        <v>55</v>
      </c>
      <c r="B7" s="43" t="s">
        <v>62</v>
      </c>
      <c r="C7" s="31">
        <f>184+8+8+8+2+5</f>
        <v>215</v>
      </c>
      <c r="D7" s="32">
        <v>147.0</v>
      </c>
      <c r="E7" s="32">
        <f>C7*D7</f>
        <v>31605</v>
      </c>
      <c r="F7" s="33"/>
      <c r="G7" s="83">
        <v>4509.48</v>
      </c>
      <c r="H7" s="35">
        <f>900+1000</f>
        <v>1900</v>
      </c>
      <c r="I7" s="36"/>
      <c r="J7" s="36"/>
      <c r="K7" s="36"/>
      <c r="L7" s="36"/>
      <c r="M7" s="37"/>
      <c r="N7" s="38"/>
      <c r="O7" s="114">
        <f>E7+F7+G7+H7+L7+M7-N7+I7</f>
        <v>38014.48</v>
      </c>
      <c r="P7" s="40"/>
      <c r="Q7" s="40"/>
      <c r="R7" s="42"/>
      <c r="S7" s="42"/>
    </row>
    <row r="8">
      <c r="A8" s="29" t="s">
        <v>55</v>
      </c>
      <c r="B8" s="45" t="s">
        <v>57</v>
      </c>
      <c r="C8" s="46"/>
      <c r="D8" s="47"/>
      <c r="E8" s="48">
        <f>34190</f>
        <v>34190</v>
      </c>
      <c r="F8" s="33"/>
      <c r="G8" s="49"/>
      <c r="H8" s="36"/>
      <c r="I8" s="36"/>
      <c r="J8" s="35"/>
      <c r="L8" s="36"/>
      <c r="M8" s="37"/>
      <c r="N8" s="38"/>
      <c r="O8" s="39"/>
      <c r="P8" s="40"/>
      <c r="Q8" s="40"/>
      <c r="R8" s="42"/>
      <c r="S8" s="42"/>
    </row>
    <row r="9">
      <c r="A9" s="29" t="s">
        <v>55</v>
      </c>
      <c r="B9" s="50" t="s">
        <v>58</v>
      </c>
      <c r="C9" s="51">
        <v>645.0</v>
      </c>
      <c r="D9" s="48">
        <v>100.11</v>
      </c>
      <c r="E9" s="48">
        <f>645*100</f>
        <v>64500</v>
      </c>
      <c r="F9" s="52">
        <v>5500.0</v>
      </c>
      <c r="G9" s="53">
        <v>6747.36</v>
      </c>
      <c r="H9" s="54"/>
      <c r="I9" s="55"/>
      <c r="J9" s="11"/>
      <c r="K9" s="56"/>
      <c r="L9" s="54">
        <f>12000+12000</f>
        <v>24000</v>
      </c>
      <c r="M9" s="57"/>
      <c r="N9" s="58"/>
      <c r="O9" s="116">
        <f>E9+F9+E10+G9+H9+M9+N9+E8+H8+L9+K9</f>
        <v>137037.36</v>
      </c>
      <c r="P9" s="67"/>
      <c r="Q9" s="67"/>
      <c r="R9" s="117"/>
      <c r="S9" s="42"/>
    </row>
    <row r="10" ht="17.25" customHeight="1">
      <c r="A10" s="29" t="s">
        <v>55</v>
      </c>
      <c r="B10" s="62"/>
      <c r="C10" s="51">
        <v>42.0</v>
      </c>
      <c r="D10" s="48">
        <v>50.0</v>
      </c>
      <c r="E10" s="48">
        <f t="shared" ref="E10:E13" si="3">C10*D10</f>
        <v>2100</v>
      </c>
      <c r="F10" s="62"/>
      <c r="G10" s="62"/>
      <c r="H10" s="62"/>
      <c r="I10" s="55"/>
      <c r="J10" s="56"/>
      <c r="K10" s="56"/>
      <c r="L10" s="62"/>
      <c r="M10" s="62"/>
      <c r="N10" s="62"/>
      <c r="O10" s="62"/>
      <c r="P10" s="62"/>
      <c r="Q10" s="62"/>
      <c r="R10" s="42"/>
      <c r="S10" s="42"/>
    </row>
    <row r="11">
      <c r="A11" s="29" t="s">
        <v>55</v>
      </c>
      <c r="B11" s="63" t="s">
        <v>59</v>
      </c>
      <c r="C11" s="51">
        <f>351+16</f>
        <v>367</v>
      </c>
      <c r="D11" s="48">
        <v>100.0</v>
      </c>
      <c r="E11" s="48">
        <f t="shared" si="3"/>
        <v>36700</v>
      </c>
      <c r="F11" s="52">
        <v>10000.0</v>
      </c>
      <c r="G11" s="53">
        <v>3161.1</v>
      </c>
      <c r="H11" s="64">
        <v>1000.0</v>
      </c>
      <c r="I11" s="65"/>
      <c r="J11" s="65"/>
      <c r="K11" s="65"/>
      <c r="L11" s="64"/>
      <c r="M11" s="66"/>
      <c r="N11" s="58"/>
      <c r="O11" s="116">
        <f>E11+E12+F11+G11+L11+H11+M11-N11</f>
        <v>55285.1</v>
      </c>
      <c r="P11" s="67"/>
      <c r="Q11" s="67"/>
      <c r="R11" s="42"/>
      <c r="S11" s="42"/>
    </row>
    <row r="12">
      <c r="A12" s="29" t="s">
        <v>55</v>
      </c>
      <c r="B12" s="62"/>
      <c r="C12" s="51">
        <v>28.0</v>
      </c>
      <c r="D12" s="48">
        <v>158.0</v>
      </c>
      <c r="E12" s="48">
        <f t="shared" si="3"/>
        <v>4424</v>
      </c>
      <c r="F12" s="62"/>
      <c r="G12" s="62"/>
      <c r="H12" s="62"/>
      <c r="I12" s="65"/>
      <c r="J12" s="65"/>
      <c r="K12" s="65"/>
      <c r="L12" s="62"/>
      <c r="M12" s="62"/>
      <c r="N12" s="62"/>
      <c r="O12" s="62"/>
      <c r="P12" s="62"/>
      <c r="Q12" s="62"/>
      <c r="R12" s="42"/>
      <c r="S12" s="42"/>
    </row>
    <row r="13">
      <c r="A13" s="29" t="s">
        <v>55</v>
      </c>
      <c r="B13" s="84" t="s">
        <v>63</v>
      </c>
      <c r="C13" s="51">
        <v>23.0</v>
      </c>
      <c r="D13" s="48">
        <v>800.0</v>
      </c>
      <c r="E13" s="48">
        <f t="shared" si="3"/>
        <v>18400</v>
      </c>
      <c r="F13" s="33"/>
      <c r="G13" s="49"/>
      <c r="H13" s="36">
        <v>1000.0</v>
      </c>
      <c r="I13" s="36"/>
      <c r="J13" s="36">
        <f>3500+85500+16500</f>
        <v>105500</v>
      </c>
      <c r="K13" s="36"/>
      <c r="L13" s="36"/>
      <c r="M13" s="49"/>
      <c r="N13" s="38"/>
      <c r="O13" s="118">
        <f>E13+K13+G13+J13+H13</f>
        <v>124900</v>
      </c>
      <c r="P13" s="40"/>
      <c r="Q13" s="40"/>
      <c r="R13" s="42"/>
      <c r="S13" s="42"/>
    </row>
    <row r="14">
      <c r="A14" s="29"/>
      <c r="B14" s="86" t="s">
        <v>81</v>
      </c>
      <c r="C14" s="51"/>
      <c r="D14" s="48"/>
      <c r="E14" s="48">
        <v>30000.0</v>
      </c>
      <c r="F14" s="33"/>
      <c r="G14" s="36"/>
      <c r="H14" s="36"/>
      <c r="I14" s="36"/>
      <c r="J14" s="36"/>
      <c r="K14" s="36"/>
      <c r="L14" s="36"/>
      <c r="M14" s="37"/>
      <c r="N14" s="38"/>
      <c r="O14" s="114">
        <f>E14+F14+G14+H14+M14-N14+I14+J14</f>
        <v>30000</v>
      </c>
      <c r="P14" s="40"/>
      <c r="Q14" s="40"/>
      <c r="R14" s="42"/>
      <c r="S14" s="42"/>
    </row>
    <row r="15">
      <c r="A15" s="29"/>
      <c r="B15" s="86" t="s">
        <v>65</v>
      </c>
      <c r="C15" s="51"/>
      <c r="D15" s="48"/>
      <c r="E15" s="48"/>
      <c r="F15" s="33"/>
      <c r="G15" s="49"/>
      <c r="H15" s="36"/>
      <c r="I15" s="36"/>
      <c r="J15" s="36"/>
      <c r="K15" s="36"/>
      <c r="L15" s="36"/>
      <c r="M15" s="37">
        <f t="shared" ref="M15:M16" si="4">62822.6</f>
        <v>62822.6</v>
      </c>
      <c r="N15" s="38"/>
      <c r="O15" s="114">
        <f t="shared" ref="O15:O16" si="5">M15+G15-N15</f>
        <v>62822.6</v>
      </c>
      <c r="P15" s="40"/>
      <c r="Q15" s="40"/>
      <c r="R15" s="42"/>
      <c r="S15" s="42"/>
    </row>
    <row r="16">
      <c r="A16" s="29"/>
      <c r="B16" s="86" t="s">
        <v>66</v>
      </c>
      <c r="C16" s="51"/>
      <c r="D16" s="48"/>
      <c r="E16" s="48"/>
      <c r="F16" s="33"/>
      <c r="G16" s="36"/>
      <c r="H16" s="36"/>
      <c r="I16" s="11"/>
      <c r="J16" s="36"/>
      <c r="K16" s="36"/>
      <c r="L16" s="36"/>
      <c r="M16" s="37">
        <f t="shared" si="4"/>
        <v>62822.6</v>
      </c>
      <c r="N16" s="38"/>
      <c r="O16" s="39">
        <f t="shared" si="5"/>
        <v>62822.6</v>
      </c>
      <c r="P16" s="40"/>
      <c r="Q16" s="40"/>
      <c r="R16" s="42"/>
      <c r="S16" s="42"/>
    </row>
    <row r="17">
      <c r="A17" s="3"/>
      <c r="B17" s="86" t="s">
        <v>67</v>
      </c>
      <c r="C17" s="87"/>
      <c r="D17" s="88"/>
      <c r="E17" s="88"/>
      <c r="F17" s="89"/>
      <c r="G17" s="36"/>
      <c r="H17" s="36"/>
      <c r="I17" s="35"/>
      <c r="J17" s="36"/>
      <c r="K17" s="36"/>
      <c r="L17" s="36"/>
      <c r="M17" s="37">
        <v>42800.0</v>
      </c>
      <c r="N17" s="38"/>
      <c r="O17" s="114">
        <f>M17+G17</f>
        <v>42800</v>
      </c>
      <c r="P17" s="40"/>
      <c r="Q17" s="40"/>
      <c r="R17" s="42"/>
      <c r="S17" s="42"/>
    </row>
    <row r="18">
      <c r="A18" s="119" t="s">
        <v>68</v>
      </c>
      <c r="B18" s="119"/>
      <c r="C18" s="120">
        <f>SUM(C3:C9)</f>
        <v>1776</v>
      </c>
      <c r="D18" s="121"/>
      <c r="E18" s="120">
        <f>SUM(E3:E16)</f>
        <v>323829</v>
      </c>
      <c r="F18" s="120">
        <f>SUM(F3:F13)</f>
        <v>15500</v>
      </c>
      <c r="G18" s="122">
        <f t="shared" ref="G18:H18" si="6">SUM(G3:G16)</f>
        <v>21141.9</v>
      </c>
      <c r="H18" s="120">
        <f t="shared" si="6"/>
        <v>14400</v>
      </c>
      <c r="I18" s="120">
        <f t="shared" ref="I18:M18" si="7">SUM(I3:I17)</f>
        <v>0</v>
      </c>
      <c r="J18" s="120">
        <f t="shared" si="7"/>
        <v>105500</v>
      </c>
      <c r="K18" s="120">
        <f t="shared" si="7"/>
        <v>0</v>
      </c>
      <c r="L18" s="120">
        <f t="shared" si="7"/>
        <v>58500</v>
      </c>
      <c r="M18" s="120">
        <f t="shared" si="7"/>
        <v>168445.2</v>
      </c>
      <c r="N18" s="120">
        <f>SUM(N3:N13)</f>
        <v>0</v>
      </c>
      <c r="O18" s="39">
        <f>SUM(O3:O17)</f>
        <v>707316.1</v>
      </c>
      <c r="P18" s="123"/>
      <c r="Q18" s="40"/>
      <c r="R18" s="42"/>
      <c r="S18" s="95"/>
    </row>
    <row r="19">
      <c r="C19" s="8"/>
      <c r="D19" s="96"/>
      <c r="E19" s="97"/>
      <c r="N19" s="124"/>
      <c r="O19" s="22"/>
      <c r="P19" s="101"/>
      <c r="Q19" s="22"/>
      <c r="R19" s="22"/>
      <c r="S19" s="22"/>
    </row>
    <row r="20">
      <c r="C20" s="102"/>
      <c r="D20" s="103"/>
      <c r="E20" s="103"/>
      <c r="O20" s="22"/>
      <c r="P20" s="125">
        <f t="shared" ref="P20:Q20" si="8">SUM(P3:P17)</f>
        <v>0</v>
      </c>
      <c r="Q20" s="104">
        <f t="shared" si="8"/>
        <v>0</v>
      </c>
      <c r="R20" s="22"/>
    </row>
    <row r="21">
      <c r="C21" s="102"/>
      <c r="D21" s="103" t="s">
        <v>84</v>
      </c>
      <c r="E21" s="103">
        <f>O18+'май'!O17+'апрель'!O17+'март'!O17+'февраль'!N17+'январь'!N17</f>
        <v>3824782.82</v>
      </c>
      <c r="O21" s="126">
        <f>O16+O14+O13</f>
        <v>217722.6</v>
      </c>
      <c r="P21" s="101"/>
      <c r="Q21" s="97"/>
    </row>
    <row r="22">
      <c r="C22" s="102"/>
      <c r="D22" s="103"/>
      <c r="E22" s="103"/>
      <c r="O22" s="127">
        <f>O4+O5+O7+O9+O3+O17+O15</f>
        <v>354416.86</v>
      </c>
      <c r="P22" s="128">
        <f>Q13+O14</f>
        <v>30000</v>
      </c>
      <c r="Q22" s="97"/>
    </row>
    <row r="23">
      <c r="C23" s="102"/>
      <c r="D23" s="103" t="s">
        <v>85</v>
      </c>
      <c r="E23" s="105">
        <f>J18+K18+L18+'май'!J17+'май'!K17+'май'!L17+'апрель'!L17+'март'!J17+'март'!L17+'февраль'!I17+'февраль'!J17+'февраль'!K17+'январь'!K17</f>
        <v>555700</v>
      </c>
      <c r="F23" s="8">
        <v>6.0</v>
      </c>
      <c r="G23" s="96">
        <f>E23/F23</f>
        <v>92616.66667</v>
      </c>
      <c r="I23" s="129">
        <f>E8+'август'!E8+'июль'!E8+'июнь'!E7+'май'!E7+'апрель'!E7+'март'!E7+'февраль'!E7+'январь'!E7</f>
        <v>292700</v>
      </c>
      <c r="P23" s="8"/>
      <c r="Q23" s="97"/>
    </row>
    <row r="24">
      <c r="C24" s="102"/>
      <c r="D24" s="103"/>
      <c r="E24" s="105"/>
      <c r="P24" s="8"/>
      <c r="Q24" s="97"/>
    </row>
    <row r="25">
      <c r="C25" s="102"/>
      <c r="D25" s="103" t="s">
        <v>86</v>
      </c>
      <c r="E25" s="103">
        <f>I18+'март'!I17</f>
        <v>21500</v>
      </c>
      <c r="O25" s="127">
        <f>O18+'октябрь'!O18+'сентябрь'!O19+'август'!O19+'июль'!O18+'июнь'!O17+'май'!O17+'апрель'!O17+'март'!O17+'февраль'!N17+'январь'!N17</f>
        <v>7627780.84</v>
      </c>
      <c r="P25" s="8"/>
      <c r="Q25" s="96"/>
    </row>
    <row r="26">
      <c r="C26" s="106"/>
      <c r="D26" s="105"/>
      <c r="E26" s="105"/>
      <c r="N26" s="107"/>
    </row>
    <row r="27">
      <c r="D27" s="97" t="s">
        <v>87</v>
      </c>
      <c r="E27" s="108">
        <f>E21-E23-E25</f>
        <v>3247582.82</v>
      </c>
      <c r="F27" s="8">
        <v>6.0</v>
      </c>
      <c r="G27" s="96">
        <f>E27/F27</f>
        <v>541263.8033</v>
      </c>
      <c r="O27" s="127">
        <f>O7+O11+O13+O14+'октябрь'!O7+'октябрь'!O11+'октябрь'!O13+'октябрь'!O14+'сентябрь'!O7+'сентябрь'!O11+'сентябрь'!O13+'сентябрь'!O14+'август'!O7+'август'!O11+'август'!O13+'август'!O14+'июль'!O7+'июль'!O11+'июль'!O13+'июль'!O14+'июнь'!O6+'июнь'!O10+'июнь'!O12+'июнь'!O13+'май'!O6+'май'!O10+'май'!O12+'май'!O13+'апрель'!O6+'апрель'!O10+'апрель'!O12+'апрель'!O13+'март'!O6+'март'!O10+'март'!O12+'март'!O13+'февраль'!N6+'февраль'!N10+'февраль'!N12+'февраль'!N13+'январь'!N6+'январь'!N10+'январь'!N12+'январь'!N13</f>
        <v>2585039.08</v>
      </c>
      <c r="P27" s="8"/>
      <c r="Q27" s="97"/>
    </row>
    <row r="28">
      <c r="D28" s="96"/>
      <c r="E28" s="96"/>
      <c r="P28" s="8"/>
      <c r="Q28" s="97"/>
    </row>
    <row r="29">
      <c r="D29" s="96"/>
      <c r="E29" s="96"/>
      <c r="P29" s="8"/>
      <c r="Q29" s="97"/>
    </row>
    <row r="30">
      <c r="D30" s="96"/>
      <c r="E30" s="96">
        <f>E21+E23+E25</f>
        <v>4401982.82</v>
      </c>
      <c r="F30" s="8">
        <v>6.0</v>
      </c>
      <c r="G30" s="96">
        <f>E30/F30</f>
        <v>733663.8033</v>
      </c>
      <c r="P30" s="8"/>
      <c r="Q30" s="97"/>
    </row>
    <row r="31">
      <c r="D31" s="96"/>
      <c r="E31" s="96"/>
      <c r="P31" s="8"/>
    </row>
    <row r="32">
      <c r="D32" s="96"/>
      <c r="E32" s="96"/>
    </row>
    <row r="33">
      <c r="D33" s="109" t="s">
        <v>20</v>
      </c>
      <c r="E33" s="110">
        <f>E8+'май'!E7+'апрель'!E7+'май'!H7+'март'!E7+'февраль'!E7+'январь'!E7</f>
        <v>200414</v>
      </c>
      <c r="F33" s="3">
        <v>6.0</v>
      </c>
      <c r="G33" s="12">
        <f>E33/F33</f>
        <v>33402.33333</v>
      </c>
      <c r="H33" s="11"/>
    </row>
    <row r="34">
      <c r="D34" s="11"/>
      <c r="E34" s="11"/>
      <c r="F34" s="11"/>
      <c r="G34" s="11"/>
      <c r="H34" s="11"/>
    </row>
    <row r="35">
      <c r="D35" s="111"/>
      <c r="E35" s="68" t="s">
        <v>70</v>
      </c>
      <c r="F35" s="68" t="s">
        <v>71</v>
      </c>
      <c r="G35" s="68" t="s">
        <v>72</v>
      </c>
      <c r="H35" s="68" t="s">
        <v>73</v>
      </c>
    </row>
    <row r="36">
      <c r="D36" s="3" t="s">
        <v>74</v>
      </c>
      <c r="E36" s="12">
        <f>8000+8000+7200+7200+7200+72000</f>
        <v>109600</v>
      </c>
      <c r="F36" s="12">
        <f>840+840+840+840+840+840+6708</f>
        <v>11748</v>
      </c>
      <c r="G36" s="12">
        <f>G3+'май'!G3+'апрель'!G3+'март'!G3+'февраль'!G3+'январь'!G3/2</f>
        <v>6966.92</v>
      </c>
      <c r="H36" s="11"/>
    </row>
    <row r="37">
      <c r="D37" s="11"/>
      <c r="E37" s="13">
        <v>6.0</v>
      </c>
      <c r="F37" s="13">
        <v>6.0</v>
      </c>
      <c r="G37" s="13">
        <v>6.0</v>
      </c>
      <c r="H37" s="11"/>
    </row>
    <row r="38">
      <c r="D38" s="11"/>
      <c r="E38" s="12">
        <f>E36/E37+G38</f>
        <v>19427.82</v>
      </c>
      <c r="F38" s="12">
        <f t="shared" ref="F38:G38" si="9">F36/F37</f>
        <v>1958</v>
      </c>
      <c r="G38" s="12">
        <f t="shared" si="9"/>
        <v>1161.153333</v>
      </c>
      <c r="H38" s="11"/>
    </row>
    <row r="39">
      <c r="D39" s="11"/>
      <c r="E39" s="12"/>
      <c r="F39" s="12"/>
      <c r="G39" s="12"/>
      <c r="H39" s="11"/>
    </row>
    <row r="40">
      <c r="D40" s="3" t="s">
        <v>75</v>
      </c>
      <c r="E40" s="12">
        <f>E4+'май'!E4+'апрель'!E4+'март'!E4+'февраль'!E4+'январь'!E4</f>
        <v>60000</v>
      </c>
      <c r="F40" s="12"/>
      <c r="G40" s="12">
        <f>G4+'май'!G4+'апрель'!G4+'март'!G4+'февраль'!G4+'январь'!G4</f>
        <v>3829.86</v>
      </c>
      <c r="H40" s="11"/>
    </row>
    <row r="41">
      <c r="D41" s="11"/>
      <c r="E41" s="13">
        <v>6.0</v>
      </c>
      <c r="F41" s="12"/>
      <c r="G41" s="13">
        <v>6.0</v>
      </c>
      <c r="H41" s="11"/>
    </row>
    <row r="42">
      <c r="D42" s="11"/>
      <c r="E42" s="12">
        <f>E40/E41+G42</f>
        <v>10638.31</v>
      </c>
      <c r="F42" s="12"/>
      <c r="G42" s="12">
        <f>G40/G41</f>
        <v>638.31</v>
      </c>
      <c r="H42" s="11"/>
    </row>
    <row r="43">
      <c r="D43" s="11"/>
      <c r="E43" s="12"/>
      <c r="F43" s="12"/>
      <c r="G43" s="12"/>
      <c r="H43" s="11"/>
      <c r="I43" s="8" t="s">
        <v>76</v>
      </c>
    </row>
    <row r="44">
      <c r="D44" s="3" t="s">
        <v>77</v>
      </c>
      <c r="E44" s="12">
        <f>22950+22950+23250+23250+24850+24850</f>
        <v>142100</v>
      </c>
      <c r="F44" s="12">
        <f>43800+43800+39960+39960+39960+39960</f>
        <v>247440</v>
      </c>
      <c r="G44" s="12">
        <f>(G5+'май'!G5+'апрель'!G5+'март'!G5+'февраль'!G5+'январь'!G5)/2</f>
        <v>15767.45</v>
      </c>
      <c r="H44" s="12"/>
      <c r="I44" s="97">
        <f>54000/2</f>
        <v>27000</v>
      </c>
    </row>
    <row r="45">
      <c r="D45" s="11"/>
      <c r="E45" s="13">
        <v>6.0</v>
      </c>
      <c r="F45" s="13">
        <v>6.0</v>
      </c>
      <c r="G45" s="13">
        <v>6.0</v>
      </c>
      <c r="H45" s="12"/>
      <c r="I45" s="97">
        <v>6.0</v>
      </c>
    </row>
    <row r="46">
      <c r="D46" s="11"/>
      <c r="E46" s="12">
        <f>E44/E45+G46+I46</f>
        <v>30811.24167</v>
      </c>
      <c r="F46" s="12">
        <f>F44/F45+G46+I46</f>
        <v>48367.90833</v>
      </c>
      <c r="G46" s="12">
        <f>G44/G45</f>
        <v>2627.908333</v>
      </c>
      <c r="H46" s="12"/>
      <c r="I46" s="12">
        <f>I44/I45</f>
        <v>4500</v>
      </c>
    </row>
    <row r="47">
      <c r="D47" s="11"/>
      <c r="E47" s="12"/>
      <c r="F47" s="12"/>
      <c r="G47" s="12"/>
      <c r="H47" s="12"/>
      <c r="I47" s="96"/>
    </row>
    <row r="48">
      <c r="D48" s="3" t="s">
        <v>78</v>
      </c>
      <c r="E48" s="12"/>
      <c r="F48" s="12">
        <f>'май'!O6+'апрель'!O6+'март'!O6+'февраль'!N6+'январь'!N6+O7</f>
        <v>228250.76</v>
      </c>
      <c r="G48" s="12"/>
      <c r="H48" s="12"/>
      <c r="I48" s="96"/>
    </row>
    <row r="49">
      <c r="D49" s="11"/>
      <c r="E49" s="12"/>
      <c r="F49" s="13">
        <v>6.0</v>
      </c>
      <c r="G49" s="12"/>
      <c r="H49" s="12"/>
      <c r="I49" s="96"/>
    </row>
    <row r="50">
      <c r="D50" s="3"/>
      <c r="E50" s="12"/>
      <c r="F50" s="12">
        <f>F48/F49</f>
        <v>38041.79333</v>
      </c>
      <c r="G50" s="12"/>
      <c r="H50" s="12"/>
      <c r="I50" s="96"/>
    </row>
    <row r="51">
      <c r="D51" s="11"/>
      <c r="E51" s="12"/>
      <c r="F51" s="12"/>
      <c r="G51" s="12"/>
      <c r="H51" s="12"/>
      <c r="I51" s="96"/>
    </row>
    <row r="52">
      <c r="D52" s="3" t="s">
        <v>79</v>
      </c>
      <c r="E52" s="13">
        <f>33000+3000</f>
        <v>36000</v>
      </c>
      <c r="F52" s="12">
        <f>E9+E10+'май'!E8+'май'!E9+'май'!H8+'апрель'!E8+'апрель'!E9+'апрель'!H8+'март'!E8+'март'!E9+'февраль'!E8+'февраль'!E9+'январь'!E8+'январь'!E9</f>
        <v>407440</v>
      </c>
      <c r="G52" s="12">
        <f>G9+'май'!G8+'апрель'!G8+'март'!G8+'февраль'!G8+'январь'!G8</f>
        <v>44964.56</v>
      </c>
      <c r="H52" s="12"/>
      <c r="I52" s="96"/>
    </row>
    <row r="53">
      <c r="D53" s="11"/>
      <c r="E53" s="13">
        <v>6.0</v>
      </c>
      <c r="F53" s="13">
        <v>6.0</v>
      </c>
      <c r="G53" s="13">
        <v>6.0</v>
      </c>
      <c r="H53" s="12"/>
      <c r="I53" s="96"/>
    </row>
    <row r="54">
      <c r="D54" s="11"/>
      <c r="E54" s="12">
        <f>E52/E53</f>
        <v>6000</v>
      </c>
      <c r="F54" s="12">
        <f>F52/F53+G54</f>
        <v>75400.76</v>
      </c>
      <c r="G54" s="12">
        <f>G52/G53</f>
        <v>7494.093333</v>
      </c>
      <c r="H54" s="12"/>
      <c r="I54" s="96"/>
    </row>
    <row r="55">
      <c r="D55" s="11"/>
      <c r="E55" s="12"/>
      <c r="F55" s="12"/>
      <c r="G55" s="12"/>
      <c r="H55" s="12"/>
      <c r="I55" s="96"/>
    </row>
    <row r="56">
      <c r="D56" s="3" t="s">
        <v>80</v>
      </c>
      <c r="E56" s="12"/>
      <c r="F56" s="12">
        <f>O11+'май'!O10+'апрель'!O10+'март'!O10+'февраль'!N10+'январь'!N10</f>
        <v>317249.7</v>
      </c>
      <c r="G56" s="12"/>
      <c r="H56" s="12"/>
      <c r="I56" s="96"/>
    </row>
    <row r="57">
      <c r="D57" s="11"/>
      <c r="E57" s="12"/>
      <c r="F57" s="13">
        <v>6.0</v>
      </c>
      <c r="G57" s="12"/>
      <c r="H57" s="12"/>
      <c r="I57" s="96"/>
    </row>
    <row r="58">
      <c r="D58" s="11"/>
      <c r="E58" s="12"/>
      <c r="F58" s="12">
        <f>F56/F57</f>
        <v>52874.95</v>
      </c>
      <c r="G58" s="12"/>
      <c r="H58" s="12"/>
      <c r="I58" s="96"/>
    </row>
    <row r="59">
      <c r="D59" s="11"/>
      <c r="E59" s="12"/>
      <c r="F59" s="12"/>
      <c r="G59" s="12"/>
      <c r="H59" s="12"/>
      <c r="I59" s="96"/>
    </row>
    <row r="60">
      <c r="D60" s="3" t="s">
        <v>16</v>
      </c>
      <c r="E60" s="13">
        <f>12800+12800+13600+13600+13600+13600</f>
        <v>80000</v>
      </c>
      <c r="F60" s="13">
        <f>14800+1917+9200+12800+3700+23800+1800</f>
        <v>68017</v>
      </c>
      <c r="G60" s="13">
        <f>2083+1690+1396+3546/2</f>
        <v>6942</v>
      </c>
      <c r="H60" s="12"/>
      <c r="I60" s="96"/>
    </row>
    <row r="61">
      <c r="D61" s="11"/>
      <c r="E61" s="13">
        <v>6.0</v>
      </c>
      <c r="F61" s="13">
        <v>6.0</v>
      </c>
      <c r="G61" s="13">
        <v>6.0</v>
      </c>
      <c r="H61" s="12"/>
      <c r="I61" s="96"/>
    </row>
    <row r="62">
      <c r="D62" s="11"/>
      <c r="E62" s="12">
        <f>E60/E61+G62</f>
        <v>14490.33333</v>
      </c>
      <c r="F62" s="12">
        <f>F60/F61+G62</f>
        <v>12493.16667</v>
      </c>
      <c r="G62" s="12">
        <f>G60/G61</f>
        <v>1157</v>
      </c>
      <c r="H62" s="12"/>
      <c r="I62" s="96"/>
    </row>
    <row r="63">
      <c r="D63" s="11"/>
      <c r="E63" s="12"/>
      <c r="F63" s="12"/>
      <c r="G63" s="12"/>
      <c r="H63" s="12"/>
      <c r="I63" s="96"/>
    </row>
    <row r="64">
      <c r="D64" s="3" t="s">
        <v>81</v>
      </c>
      <c r="E64" s="12"/>
      <c r="F64" s="12">
        <f>'январь'!N13+'февраль'!N13+'март'!O13+'апрель'!O13+'май'!O13+O14</f>
        <v>189150</v>
      </c>
      <c r="G64" s="12"/>
      <c r="H64" s="12"/>
      <c r="I64" s="96"/>
    </row>
    <row r="65">
      <c r="D65" s="11"/>
      <c r="E65" s="12"/>
      <c r="F65" s="13">
        <v>6.0</v>
      </c>
      <c r="G65" s="12"/>
      <c r="H65" s="12"/>
      <c r="I65" s="96"/>
    </row>
    <row r="66">
      <c r="D66" s="11"/>
      <c r="E66" s="12"/>
      <c r="F66" s="12">
        <f>F64/F65</f>
        <v>31525</v>
      </c>
      <c r="G66" s="12"/>
      <c r="H66" s="12"/>
      <c r="I66" s="96"/>
    </row>
    <row r="67">
      <c r="D67" s="11"/>
      <c r="E67" s="12"/>
      <c r="F67" s="12"/>
      <c r="G67" s="12"/>
      <c r="H67" s="12"/>
      <c r="I67" s="96"/>
    </row>
    <row r="68">
      <c r="D68" s="3" t="s">
        <v>82</v>
      </c>
      <c r="E68" s="12"/>
      <c r="F68" s="12">
        <f>O15+'май'!O14+'апрель'!O14+'март'!O14+'февраль'!N14+'январь'!N14</f>
        <v>396336.88</v>
      </c>
      <c r="G68" s="12"/>
      <c r="H68" s="12"/>
      <c r="I68" s="96"/>
    </row>
    <row r="69">
      <c r="D69" s="11"/>
      <c r="E69" s="12"/>
      <c r="F69" s="13">
        <v>6.0</v>
      </c>
      <c r="G69" s="12"/>
      <c r="H69" s="12"/>
      <c r="I69" s="96"/>
    </row>
    <row r="70">
      <c r="D70" s="11"/>
      <c r="E70" s="12"/>
      <c r="F70" s="12">
        <f>F68/F69</f>
        <v>66056.14667</v>
      </c>
      <c r="G70" s="12"/>
      <c r="H70" s="12"/>
      <c r="I70" s="96"/>
    </row>
    <row r="71">
      <c r="D71" s="11"/>
      <c r="E71" s="12"/>
      <c r="F71" s="12"/>
      <c r="G71" s="12"/>
      <c r="H71" s="12"/>
      <c r="I71" s="96"/>
    </row>
    <row r="72">
      <c r="D72" s="3" t="s">
        <v>83</v>
      </c>
      <c r="E72" s="12"/>
      <c r="F72" s="13">
        <v>256800.0</v>
      </c>
      <c r="G72" s="12"/>
      <c r="H72" s="12"/>
      <c r="I72" s="96"/>
    </row>
    <row r="73">
      <c r="D73" s="11"/>
      <c r="E73" s="11"/>
      <c r="F73" s="3">
        <v>6.0</v>
      </c>
      <c r="G73" s="11"/>
      <c r="H73" s="11"/>
    </row>
    <row r="74">
      <c r="D74" s="11"/>
      <c r="E74" s="11"/>
      <c r="F74" s="3">
        <v>42800.0</v>
      </c>
      <c r="G74" s="11"/>
      <c r="H74" s="11"/>
    </row>
    <row r="75">
      <c r="D75" s="11"/>
      <c r="E75" s="11"/>
      <c r="F75" s="11"/>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row r="81">
      <c r="D81" s="11"/>
      <c r="E81" s="11"/>
      <c r="F81" s="11"/>
      <c r="G81" s="11"/>
      <c r="H81" s="11"/>
    </row>
  </sheetData>
  <mergeCells count="20">
    <mergeCell ref="O9:O10"/>
    <mergeCell ref="P9:P10"/>
    <mergeCell ref="Q9:Q10"/>
    <mergeCell ref="F9:F10"/>
    <mergeCell ref="F11:F12"/>
    <mergeCell ref="G11:G12"/>
    <mergeCell ref="H11:H12"/>
    <mergeCell ref="L11:L12"/>
    <mergeCell ref="M11:M12"/>
    <mergeCell ref="N11:N12"/>
    <mergeCell ref="O11:O12"/>
    <mergeCell ref="P11:P12"/>
    <mergeCell ref="Q11:Q12"/>
    <mergeCell ref="B9:B10"/>
    <mergeCell ref="G9:G10"/>
    <mergeCell ref="H9:H10"/>
    <mergeCell ref="L9:L10"/>
    <mergeCell ref="M9:M10"/>
    <mergeCell ref="N9:N10"/>
    <mergeCell ref="B11:B12"/>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10.13"/>
    <col customWidth="1" min="7" max="7" width="12.25"/>
    <col customWidth="1" min="8" max="12" width="11.13"/>
    <col customWidth="1" min="13" max="13" width="10.88"/>
    <col customWidth="1" min="14" max="14" width="10.63"/>
    <col customWidth="1" min="15" max="15" width="13.5"/>
    <col customWidth="1" min="16" max="16" width="16.88"/>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(C3*D3)+9600</f>
        <v>18000</v>
      </c>
      <c r="F3" s="80"/>
      <c r="G3" s="112">
        <v>1098.54</v>
      </c>
      <c r="H3" s="113"/>
      <c r="I3" s="113"/>
      <c r="J3" s="113"/>
      <c r="K3" s="113"/>
      <c r="L3" s="113"/>
      <c r="M3" s="80"/>
      <c r="N3" s="80"/>
      <c r="O3" s="39">
        <f t="shared" ref="O3:O4" si="1">E3+F3+G3+H3+L3+M3-N3</f>
        <v>19098.54</v>
      </c>
      <c r="P3" s="40">
        <v>19099.0</v>
      </c>
      <c r="Q3" s="40"/>
      <c r="R3" s="42"/>
      <c r="S3" s="42"/>
    </row>
    <row r="4">
      <c r="A4" s="29" t="s">
        <v>55</v>
      </c>
      <c r="B4" s="43" t="s">
        <v>54</v>
      </c>
      <c r="C4" s="31"/>
      <c r="D4" s="32"/>
      <c r="E4" s="32">
        <v>10000.0</v>
      </c>
      <c r="F4" s="80"/>
      <c r="G4" s="115">
        <v>638.28</v>
      </c>
      <c r="H4" s="35"/>
      <c r="I4" s="35"/>
      <c r="J4" s="35"/>
      <c r="K4" s="35"/>
      <c r="L4" s="35"/>
      <c r="M4" s="38"/>
      <c r="N4" s="38"/>
      <c r="O4" s="39">
        <f t="shared" si="1"/>
        <v>10638.28</v>
      </c>
      <c r="P4" s="130">
        <v>10638.0</v>
      </c>
      <c r="Q4" s="40"/>
      <c r="R4" s="42"/>
      <c r="S4" s="42"/>
    </row>
    <row r="5">
      <c r="A5" s="29" t="s">
        <v>55</v>
      </c>
      <c r="B5" s="79" t="s">
        <v>60</v>
      </c>
      <c r="C5" s="31">
        <v>499.0</v>
      </c>
      <c r="D5" s="32">
        <v>50.0</v>
      </c>
      <c r="E5" s="32">
        <f>24950+2500+4000</f>
        <v>31450</v>
      </c>
      <c r="F5" s="80"/>
      <c r="G5" s="81">
        <v>2020.32</v>
      </c>
      <c r="H5" s="35"/>
      <c r="I5" s="35"/>
      <c r="J5" s="35"/>
      <c r="K5" s="35"/>
      <c r="L5" s="35"/>
      <c r="M5" s="38"/>
      <c r="N5" s="38"/>
      <c r="O5" s="39">
        <f t="shared" ref="O5:O6" si="2">E5+F5+G5+H5+L5+M5-N5+I5+J5+K5</f>
        <v>33470.32</v>
      </c>
      <c r="P5" s="130">
        <v>33470.0</v>
      </c>
      <c r="Q5" s="40"/>
      <c r="R5" s="42"/>
      <c r="S5" s="42"/>
    </row>
    <row r="6">
      <c r="A6" s="29" t="s">
        <v>55</v>
      </c>
      <c r="B6" s="79" t="s">
        <v>56</v>
      </c>
      <c r="C6" s="31">
        <v>333.0</v>
      </c>
      <c r="D6" s="32">
        <v>120.0</v>
      </c>
      <c r="E6" s="32">
        <f>39960+2500</f>
        <v>42460</v>
      </c>
      <c r="F6" s="33"/>
      <c r="G6" s="34">
        <v>3399.0</v>
      </c>
      <c r="H6" s="35"/>
      <c r="I6" s="36"/>
      <c r="J6" s="36"/>
      <c r="K6" s="36">
        <v>3000.0</v>
      </c>
      <c r="L6" s="36"/>
      <c r="M6" s="37"/>
      <c r="N6" s="38"/>
      <c r="O6" s="39">
        <f t="shared" si="2"/>
        <v>48859</v>
      </c>
      <c r="P6" s="130">
        <v>48859.0</v>
      </c>
      <c r="Q6" s="40"/>
      <c r="R6" s="42"/>
      <c r="S6" s="42"/>
    </row>
    <row r="7">
      <c r="A7" s="29" t="s">
        <v>55</v>
      </c>
      <c r="B7" s="43" t="s">
        <v>62</v>
      </c>
      <c r="C7" s="31">
        <v>215.0</v>
      </c>
      <c r="D7" s="32">
        <v>147.0</v>
      </c>
      <c r="E7" s="32">
        <f>C7*D7</f>
        <v>31605</v>
      </c>
      <c r="F7" s="33"/>
      <c r="G7" s="83">
        <v>3053.4</v>
      </c>
      <c r="H7" s="35"/>
      <c r="I7" s="36">
        <v>500.0</v>
      </c>
      <c r="J7" s="36"/>
      <c r="K7" s="36"/>
      <c r="L7" s="36">
        <f>5000+5000</f>
        <v>10000</v>
      </c>
      <c r="M7" s="37"/>
      <c r="N7" s="38"/>
      <c r="O7" s="39">
        <f>E7+F7+G7+H7+L7+M7-N7+I7</f>
        <v>45158.4</v>
      </c>
      <c r="P7" s="40">
        <v>45158.0</v>
      </c>
      <c r="Q7" s="40"/>
      <c r="R7" s="42"/>
      <c r="S7" s="42"/>
    </row>
    <row r="8">
      <c r="A8" s="29" t="s">
        <v>55</v>
      </c>
      <c r="B8" s="131" t="s">
        <v>57</v>
      </c>
      <c r="C8" s="46"/>
      <c r="D8" s="47"/>
      <c r="E8" s="48">
        <f>17250+10400+2000+2418</f>
        <v>32068</v>
      </c>
      <c r="F8" s="33"/>
      <c r="G8" s="49"/>
      <c r="H8" s="36"/>
      <c r="I8" s="36"/>
      <c r="J8" s="35"/>
      <c r="L8" s="36"/>
      <c r="M8" s="37"/>
      <c r="N8" s="38"/>
      <c r="O8" s="39"/>
      <c r="P8" s="40"/>
      <c r="Q8" s="40"/>
      <c r="R8" s="42"/>
      <c r="S8" s="42"/>
    </row>
    <row r="9">
      <c r="A9" s="29" t="s">
        <v>55</v>
      </c>
      <c r="B9" s="132" t="s">
        <v>58</v>
      </c>
      <c r="C9" s="51">
        <v>645.0</v>
      </c>
      <c r="D9" s="48">
        <v>100.11</v>
      </c>
      <c r="E9" s="48">
        <f>645*100</f>
        <v>64500</v>
      </c>
      <c r="F9" s="52">
        <v>5500.0</v>
      </c>
      <c r="G9" s="53">
        <v>8288.4</v>
      </c>
      <c r="H9" s="54"/>
      <c r="I9" s="55"/>
      <c r="J9" s="11"/>
      <c r="K9" s="56"/>
      <c r="L9" s="54"/>
      <c r="M9" s="57"/>
      <c r="N9" s="58"/>
      <c r="O9" s="59">
        <f>E9+F9+E10+G9+H9+M9+N9+E8+H8+L9+K9</f>
        <v>112456.4</v>
      </c>
      <c r="P9" s="133">
        <v>112456.0</v>
      </c>
      <c r="Q9" s="67"/>
      <c r="R9" s="117"/>
      <c r="S9" s="42"/>
    </row>
    <row r="10" ht="17.25" customHeight="1">
      <c r="A10" s="29" t="s">
        <v>55</v>
      </c>
      <c r="B10" s="62"/>
      <c r="C10" s="51">
        <v>42.0</v>
      </c>
      <c r="D10" s="48">
        <v>50.0</v>
      </c>
      <c r="E10" s="48">
        <f t="shared" ref="E10:E13" si="3">C10*D10</f>
        <v>2100</v>
      </c>
      <c r="F10" s="62"/>
      <c r="G10" s="62"/>
      <c r="H10" s="62"/>
      <c r="I10" s="55"/>
      <c r="J10" s="56"/>
      <c r="K10" s="56"/>
      <c r="L10" s="62"/>
      <c r="M10" s="62"/>
      <c r="N10" s="62"/>
      <c r="O10" s="62"/>
      <c r="P10" s="62"/>
      <c r="Q10" s="62"/>
      <c r="R10" s="42"/>
      <c r="S10" s="42"/>
    </row>
    <row r="11">
      <c r="A11" s="29" t="s">
        <v>55</v>
      </c>
      <c r="B11" s="134" t="s">
        <v>59</v>
      </c>
      <c r="C11" s="51">
        <v>351.0</v>
      </c>
      <c r="D11" s="48">
        <v>100.0</v>
      </c>
      <c r="E11" s="48">
        <f t="shared" si="3"/>
        <v>35100</v>
      </c>
      <c r="F11" s="52">
        <v>10000.0</v>
      </c>
      <c r="G11" s="53">
        <v>3161.1</v>
      </c>
      <c r="H11" s="64"/>
      <c r="I11" s="65"/>
      <c r="J11" s="65"/>
      <c r="K11" s="65"/>
      <c r="L11" s="64"/>
      <c r="M11" s="66"/>
      <c r="N11" s="58"/>
      <c r="O11" s="59">
        <f>E11+E12+F11+G11+L11+H11+M11-N11</f>
        <v>52685.1</v>
      </c>
      <c r="P11" s="133">
        <v>52685.0</v>
      </c>
      <c r="Q11" s="67"/>
      <c r="R11" s="42"/>
      <c r="S11" s="42"/>
    </row>
    <row r="12">
      <c r="A12" s="29" t="s">
        <v>55</v>
      </c>
      <c r="B12" s="62"/>
      <c r="C12" s="51">
        <v>28.0</v>
      </c>
      <c r="D12" s="48">
        <v>158.0</v>
      </c>
      <c r="E12" s="48">
        <f t="shared" si="3"/>
        <v>4424</v>
      </c>
      <c r="F12" s="62"/>
      <c r="G12" s="62"/>
      <c r="H12" s="62"/>
      <c r="I12" s="65"/>
      <c r="J12" s="65"/>
      <c r="K12" s="65"/>
      <c r="L12" s="62"/>
      <c r="M12" s="62"/>
      <c r="N12" s="62"/>
      <c r="O12" s="62"/>
      <c r="P12" s="62"/>
      <c r="Q12" s="62"/>
      <c r="R12" s="42"/>
      <c r="S12" s="42"/>
    </row>
    <row r="13">
      <c r="A13" s="29" t="s">
        <v>55</v>
      </c>
      <c r="B13" s="84" t="s">
        <v>63</v>
      </c>
      <c r="C13" s="51">
        <v>22.0</v>
      </c>
      <c r="D13" s="48">
        <v>800.0</v>
      </c>
      <c r="E13" s="48">
        <f t="shared" si="3"/>
        <v>17600</v>
      </c>
      <c r="F13" s="33"/>
      <c r="G13" s="49">
        <v>12582.4</v>
      </c>
      <c r="H13" s="36"/>
      <c r="I13" s="36"/>
      <c r="J13" s="36">
        <f>8000+24000+139000</f>
        <v>171000</v>
      </c>
      <c r="K13" s="36">
        <f>4600+2000+1000+400</f>
        <v>8000</v>
      </c>
      <c r="L13" s="36"/>
      <c r="M13" s="49"/>
      <c r="N13" s="38"/>
      <c r="O13" s="85">
        <f>E13+K13+G13+J13+H13</f>
        <v>209182.4</v>
      </c>
      <c r="P13" s="40"/>
      <c r="Q13" s="40">
        <v>208565.0</v>
      </c>
      <c r="R13" s="42"/>
      <c r="S13" s="42"/>
    </row>
    <row r="14">
      <c r="A14" s="29"/>
      <c r="B14" s="86" t="s">
        <v>81</v>
      </c>
      <c r="C14" s="51"/>
      <c r="D14" s="48"/>
      <c r="E14" s="48">
        <v>30000.0</v>
      </c>
      <c r="F14" s="33"/>
      <c r="G14" s="36"/>
      <c r="H14" s="36"/>
      <c r="I14" s="36"/>
      <c r="J14" s="36"/>
      <c r="K14" s="36"/>
      <c r="L14" s="36"/>
      <c r="M14" s="37"/>
      <c r="N14" s="38"/>
      <c r="O14" s="39">
        <f>E14+F14+G14+H14+M14-N14+I14+J14</f>
        <v>30000</v>
      </c>
      <c r="P14" s="40">
        <v>30000.0</v>
      </c>
      <c r="Q14" s="40"/>
      <c r="R14" s="42"/>
      <c r="S14" s="42"/>
    </row>
    <row r="15">
      <c r="A15" s="29"/>
      <c r="B15" s="86" t="s">
        <v>65</v>
      </c>
      <c r="C15" s="51"/>
      <c r="D15" s="48"/>
      <c r="E15" s="48"/>
      <c r="F15" s="33"/>
      <c r="G15" s="49"/>
      <c r="H15" s="36"/>
      <c r="I15" s="36"/>
      <c r="J15" s="36"/>
      <c r="K15" s="36"/>
      <c r="L15" s="36"/>
      <c r="M15" s="37">
        <f t="shared" ref="M15:M16" si="4">59865.19</f>
        <v>59865.19</v>
      </c>
      <c r="N15" s="38"/>
      <c r="O15" s="39">
        <f t="shared" ref="O15:O16" si="5">M15+G15-N15</f>
        <v>59865.19</v>
      </c>
      <c r="P15" s="40"/>
      <c r="Q15" s="40">
        <v>59865.0</v>
      </c>
      <c r="R15" s="42"/>
      <c r="S15" s="42"/>
    </row>
    <row r="16">
      <c r="A16" s="29"/>
      <c r="B16" s="86" t="s">
        <v>66</v>
      </c>
      <c r="C16" s="51"/>
      <c r="D16" s="48"/>
      <c r="E16" s="48"/>
      <c r="F16" s="33"/>
      <c r="G16" s="36"/>
      <c r="H16" s="36"/>
      <c r="I16" s="11"/>
      <c r="J16" s="36"/>
      <c r="K16" s="36"/>
      <c r="L16" s="36"/>
      <c r="M16" s="37">
        <f t="shared" si="4"/>
        <v>59865.19</v>
      </c>
      <c r="N16" s="38"/>
      <c r="O16" s="39">
        <f t="shared" si="5"/>
        <v>59865.19</v>
      </c>
      <c r="P16" s="40"/>
      <c r="Q16" s="40">
        <v>59865.0</v>
      </c>
      <c r="R16" s="42"/>
      <c r="S16" s="42"/>
    </row>
    <row r="17">
      <c r="A17" s="3"/>
      <c r="B17" s="86" t="s">
        <v>67</v>
      </c>
      <c r="C17" s="87"/>
      <c r="D17" s="88"/>
      <c r="E17" s="88"/>
      <c r="F17" s="89"/>
      <c r="G17" s="36"/>
      <c r="H17" s="36"/>
      <c r="I17" s="35"/>
      <c r="J17" s="36"/>
      <c r="K17" s="36"/>
      <c r="L17" s="36"/>
      <c r="M17" s="37">
        <v>42800.0</v>
      </c>
      <c r="N17" s="38"/>
      <c r="O17" s="39">
        <f>M17+G17</f>
        <v>42800</v>
      </c>
      <c r="P17" s="130">
        <v>42800.0</v>
      </c>
      <c r="Q17" s="40"/>
      <c r="R17" s="42"/>
      <c r="S17" s="42"/>
    </row>
    <row r="18">
      <c r="A18" s="119" t="s">
        <v>68</v>
      </c>
      <c r="B18" s="119"/>
      <c r="C18" s="120">
        <f>SUM(C3:C9)</f>
        <v>1776</v>
      </c>
      <c r="D18" s="121"/>
      <c r="E18" s="120">
        <f>SUM(E3:E16)</f>
        <v>319307</v>
      </c>
      <c r="F18" s="120">
        <f>SUM(F3:F13)</f>
        <v>15500</v>
      </c>
      <c r="G18" s="122">
        <f t="shared" ref="G18:H18" si="6">SUM(G3:G16)</f>
        <v>34241.44</v>
      </c>
      <c r="H18" s="120">
        <f t="shared" si="6"/>
        <v>0</v>
      </c>
      <c r="I18" s="120">
        <f t="shared" ref="I18:M18" si="7">SUM(I3:I17)</f>
        <v>500</v>
      </c>
      <c r="J18" s="120">
        <f t="shared" si="7"/>
        <v>171000</v>
      </c>
      <c r="K18" s="120">
        <f t="shared" si="7"/>
        <v>11000</v>
      </c>
      <c r="L18" s="120">
        <f t="shared" si="7"/>
        <v>10000</v>
      </c>
      <c r="M18" s="120">
        <f t="shared" si="7"/>
        <v>162530.38</v>
      </c>
      <c r="N18" s="120">
        <f>SUM(N3:N13)</f>
        <v>0</v>
      </c>
      <c r="O18" s="39">
        <f>SUM(O3:O17)</f>
        <v>724078.82</v>
      </c>
      <c r="P18" s="123"/>
      <c r="Q18" s="40"/>
      <c r="R18" s="42"/>
      <c r="S18" s="95"/>
    </row>
    <row r="19">
      <c r="C19" s="8"/>
      <c r="D19" s="96"/>
      <c r="E19" s="97"/>
      <c r="N19" s="124"/>
      <c r="O19" s="22"/>
      <c r="P19" s="101"/>
      <c r="Q19" s="22"/>
      <c r="R19" s="22"/>
      <c r="S19" s="22"/>
    </row>
    <row r="20">
      <c r="C20" s="102"/>
      <c r="D20" s="103"/>
      <c r="E20" s="103"/>
      <c r="O20" s="22"/>
      <c r="P20" s="125">
        <f t="shared" ref="P20:Q20" si="8">SUM(P3:P17)</f>
        <v>395165</v>
      </c>
      <c r="Q20" s="104">
        <f t="shared" si="8"/>
        <v>328295</v>
      </c>
      <c r="R20" s="22"/>
    </row>
    <row r="21">
      <c r="C21" s="102"/>
      <c r="D21" s="103" t="s">
        <v>84</v>
      </c>
      <c r="E21" s="103">
        <f>O18+'май'!O17+'апрель'!O17+'март'!O17+'февраль'!N17+'январь'!N17</f>
        <v>3841545.54</v>
      </c>
      <c r="O21" s="126">
        <f>O16+O14+O13</f>
        <v>299047.59</v>
      </c>
      <c r="P21" s="101"/>
      <c r="Q21" s="97"/>
    </row>
    <row r="22">
      <c r="C22" s="102"/>
      <c r="D22" s="103"/>
      <c r="E22" s="103"/>
      <c r="O22" s="127">
        <f>O4+O5+O7+O9+O3+O17+O15</f>
        <v>323487.13</v>
      </c>
      <c r="P22" s="128">
        <f>Q13+O14</f>
        <v>238565</v>
      </c>
      <c r="Q22" s="97"/>
    </row>
    <row r="23">
      <c r="C23" s="102"/>
      <c r="D23" s="103" t="s">
        <v>85</v>
      </c>
      <c r="E23" s="105">
        <f>J18+K18+L18+'май'!J17+'май'!K17+'май'!L17+'апрель'!L17+'март'!J17+'март'!L17+'февраль'!I17+'февраль'!J17+'февраль'!K17+'январь'!K17</f>
        <v>583700</v>
      </c>
      <c r="F23" s="8">
        <v>6.0</v>
      </c>
      <c r="G23" s="96">
        <f>E23/F23</f>
        <v>97283.33333</v>
      </c>
      <c r="I23" s="129">
        <f>E8+'август'!E8+'июль'!E8+'июнь'!E7+'май'!E7+'апрель'!E7+'март'!E7+'февраль'!E7+'январь'!E7</f>
        <v>290578</v>
      </c>
      <c r="P23" s="8"/>
      <c r="Q23" s="97"/>
    </row>
    <row r="24">
      <c r="C24" s="102"/>
      <c r="D24" s="103"/>
      <c r="E24" s="105"/>
      <c r="P24" s="8"/>
      <c r="Q24" s="97"/>
    </row>
    <row r="25">
      <c r="C25" s="102"/>
      <c r="D25" s="103" t="s">
        <v>86</v>
      </c>
      <c r="E25" s="103">
        <f>I18+'март'!I17</f>
        <v>22000</v>
      </c>
      <c r="P25" s="8"/>
      <c r="Q25" s="96"/>
    </row>
    <row r="26">
      <c r="C26" s="106"/>
      <c r="D26" s="105"/>
      <c r="E26" s="105"/>
      <c r="N26" s="107"/>
    </row>
    <row r="27">
      <c r="D27" s="97" t="s">
        <v>87</v>
      </c>
      <c r="E27" s="108">
        <f>E21-E23-E25</f>
        <v>3235845.54</v>
      </c>
      <c r="F27" s="8">
        <v>6.0</v>
      </c>
      <c r="G27" s="96">
        <f>E27/F27</f>
        <v>539307.59</v>
      </c>
      <c r="P27" s="8"/>
      <c r="Q27" s="97"/>
    </row>
    <row r="28">
      <c r="D28" s="96"/>
      <c r="E28" s="96"/>
      <c r="P28" s="8"/>
      <c r="Q28" s="97"/>
    </row>
    <row r="29">
      <c r="D29" s="96"/>
      <c r="E29" s="96"/>
      <c r="P29" s="8"/>
      <c r="Q29" s="97"/>
    </row>
    <row r="30">
      <c r="D30" s="96"/>
      <c r="E30" s="96">
        <f>E21+E23+E25</f>
        <v>4447245.54</v>
      </c>
      <c r="F30" s="8">
        <v>6.0</v>
      </c>
      <c r="G30" s="96">
        <f>E30/F30</f>
        <v>741207.59</v>
      </c>
      <c r="P30" s="8"/>
      <c r="Q30" s="97"/>
    </row>
    <row r="31">
      <c r="D31" s="96"/>
      <c r="E31" s="96"/>
      <c r="P31" s="8"/>
    </row>
    <row r="32">
      <c r="D32" s="96"/>
      <c r="E32" s="96"/>
    </row>
    <row r="33">
      <c r="D33" s="109" t="s">
        <v>20</v>
      </c>
      <c r="E33" s="110">
        <f>E8+'май'!E7+'апрель'!E7+'май'!H7+'март'!E7+'февраль'!E7+'январь'!E7</f>
        <v>198292</v>
      </c>
      <c r="F33" s="3">
        <v>6.0</v>
      </c>
      <c r="G33" s="12">
        <f>E33/F33</f>
        <v>33048.66667</v>
      </c>
      <c r="H33" s="11"/>
    </row>
    <row r="34">
      <c r="D34" s="11"/>
      <c r="E34" s="11"/>
      <c r="F34" s="11"/>
      <c r="G34" s="11"/>
      <c r="H34" s="11"/>
    </row>
    <row r="35">
      <c r="D35" s="111"/>
      <c r="E35" s="68" t="s">
        <v>70</v>
      </c>
      <c r="F35" s="68" t="s">
        <v>71</v>
      </c>
      <c r="G35" s="68" t="s">
        <v>72</v>
      </c>
      <c r="H35" s="68" t="s">
        <v>73</v>
      </c>
    </row>
    <row r="36">
      <c r="D36" s="3" t="s">
        <v>74</v>
      </c>
      <c r="E36" s="12">
        <f>8000+8000+7200+7200+7200+72000</f>
        <v>109600</v>
      </c>
      <c r="F36" s="12">
        <f>840+840+840+840+840+840+6708</f>
        <v>11748</v>
      </c>
      <c r="G36" s="12">
        <f>G3+'май'!G3+'апрель'!G3+'март'!G3+'февраль'!G3+'январь'!G3/2</f>
        <v>6919.52</v>
      </c>
      <c r="H36" s="11"/>
    </row>
    <row r="37">
      <c r="D37" s="11"/>
      <c r="E37" s="13">
        <v>6.0</v>
      </c>
      <c r="F37" s="13">
        <v>6.0</v>
      </c>
      <c r="G37" s="13">
        <v>6.0</v>
      </c>
      <c r="H37" s="11"/>
    </row>
    <row r="38">
      <c r="D38" s="11"/>
      <c r="E38" s="12">
        <f>E36/E37+G38</f>
        <v>19419.92</v>
      </c>
      <c r="F38" s="12">
        <f t="shared" ref="F38:G38" si="9">F36/F37</f>
        <v>1958</v>
      </c>
      <c r="G38" s="12">
        <f t="shared" si="9"/>
        <v>1153.253333</v>
      </c>
      <c r="H38" s="11"/>
    </row>
    <row r="39">
      <c r="D39" s="11"/>
      <c r="E39" s="12"/>
      <c r="F39" s="12"/>
      <c r="G39" s="12"/>
      <c r="H39" s="11"/>
    </row>
    <row r="40">
      <c r="D40" s="3" t="s">
        <v>75</v>
      </c>
      <c r="E40" s="12">
        <f>E4+'май'!E4+'апрель'!E4+'март'!E4+'февраль'!E4+'январь'!E4</f>
        <v>60000</v>
      </c>
      <c r="F40" s="12"/>
      <c r="G40" s="12">
        <f>G4+'май'!G4+'апрель'!G4+'март'!G4+'февраль'!G4+'январь'!G4</f>
        <v>3829.86</v>
      </c>
      <c r="H40" s="11"/>
    </row>
    <row r="41">
      <c r="D41" s="11"/>
      <c r="E41" s="13">
        <v>6.0</v>
      </c>
      <c r="F41" s="12"/>
      <c r="G41" s="13">
        <v>6.0</v>
      </c>
      <c r="H41" s="11"/>
    </row>
    <row r="42">
      <c r="D42" s="11"/>
      <c r="E42" s="12">
        <f>E40/E41+G42</f>
        <v>10638.31</v>
      </c>
      <c r="F42" s="12"/>
      <c r="G42" s="12">
        <f>G40/G41</f>
        <v>638.31</v>
      </c>
      <c r="H42" s="11"/>
    </row>
    <row r="43">
      <c r="D43" s="11"/>
      <c r="E43" s="12"/>
      <c r="F43" s="12"/>
      <c r="G43" s="12"/>
      <c r="H43" s="11"/>
      <c r="I43" s="8" t="s">
        <v>76</v>
      </c>
    </row>
    <row r="44">
      <c r="D44" s="3" t="s">
        <v>77</v>
      </c>
      <c r="E44" s="12">
        <f>22950+22950+23250+23250+24850+24850</f>
        <v>142100</v>
      </c>
      <c r="F44" s="12">
        <f>43800+43800+39960+39960+39960+39960</f>
        <v>247440</v>
      </c>
      <c r="G44" s="12">
        <f>(G5+'май'!G5+'апрель'!G5+'март'!G5+'февраль'!G5+'январь'!G5)/2</f>
        <v>15773.51</v>
      </c>
      <c r="H44" s="12"/>
      <c r="I44" s="97">
        <f>54000/2</f>
        <v>27000</v>
      </c>
    </row>
    <row r="45">
      <c r="D45" s="11"/>
      <c r="E45" s="13">
        <v>6.0</v>
      </c>
      <c r="F45" s="13">
        <v>6.0</v>
      </c>
      <c r="G45" s="13">
        <v>6.0</v>
      </c>
      <c r="H45" s="12"/>
      <c r="I45" s="97">
        <v>6.0</v>
      </c>
    </row>
    <row r="46">
      <c r="D46" s="11"/>
      <c r="E46" s="12">
        <f>E44/E45+G46+I46</f>
        <v>30812.25167</v>
      </c>
      <c r="F46" s="12">
        <f>F44/F45+G46+I46</f>
        <v>48368.91833</v>
      </c>
      <c r="G46" s="12">
        <f>G44/G45</f>
        <v>2628.918333</v>
      </c>
      <c r="H46" s="12"/>
      <c r="I46" s="12">
        <f>I44/I45</f>
        <v>4500</v>
      </c>
    </row>
    <row r="47">
      <c r="D47" s="11"/>
      <c r="E47" s="12"/>
      <c r="F47" s="12"/>
      <c r="G47" s="12"/>
      <c r="H47" s="12"/>
      <c r="I47" s="96"/>
    </row>
    <row r="48">
      <c r="D48" s="3" t="s">
        <v>78</v>
      </c>
      <c r="E48" s="12"/>
      <c r="F48" s="12">
        <f>'май'!O6+'апрель'!O6+'март'!O6+'февраль'!N6+'январь'!N6+O7</f>
        <v>235394.68</v>
      </c>
      <c r="G48" s="12"/>
      <c r="H48" s="12"/>
      <c r="I48" s="96"/>
    </row>
    <row r="49">
      <c r="D49" s="11"/>
      <c r="E49" s="12"/>
      <c r="F49" s="13">
        <v>6.0</v>
      </c>
      <c r="G49" s="12"/>
      <c r="H49" s="12"/>
      <c r="I49" s="96"/>
    </row>
    <row r="50">
      <c r="D50" s="3"/>
      <c r="E50" s="12"/>
      <c r="F50" s="12">
        <f>F48/F49</f>
        <v>39232.44667</v>
      </c>
      <c r="G50" s="12"/>
      <c r="H50" s="12"/>
      <c r="I50" s="96"/>
    </row>
    <row r="51">
      <c r="D51" s="11"/>
      <c r="E51" s="12"/>
      <c r="F51" s="12"/>
      <c r="G51" s="12"/>
      <c r="H51" s="12"/>
      <c r="I51" s="96"/>
    </row>
    <row r="52">
      <c r="D52" s="3" t="s">
        <v>79</v>
      </c>
      <c r="E52" s="13">
        <f>33000+3000</f>
        <v>36000</v>
      </c>
      <c r="F52" s="12">
        <f>E9+E10+'май'!E8+'май'!E9+'май'!H8+'апрель'!E8+'апрель'!E9+'апрель'!H8+'март'!E8+'март'!E9+'февраль'!E8+'февраль'!E9+'январь'!E8+'январь'!E9</f>
        <v>407440</v>
      </c>
      <c r="G52" s="12">
        <f>G9+'май'!G8+'апрель'!G8+'март'!G8+'февраль'!G8+'январь'!G8</f>
        <v>46505.6</v>
      </c>
      <c r="H52" s="12"/>
      <c r="I52" s="96"/>
    </row>
    <row r="53">
      <c r="D53" s="11"/>
      <c r="E53" s="13">
        <v>6.0</v>
      </c>
      <c r="F53" s="13">
        <v>6.0</v>
      </c>
      <c r="G53" s="13">
        <v>6.0</v>
      </c>
      <c r="H53" s="12"/>
      <c r="I53" s="96"/>
    </row>
    <row r="54">
      <c r="D54" s="11"/>
      <c r="E54" s="12">
        <f>E52/E53</f>
        <v>6000</v>
      </c>
      <c r="F54" s="12">
        <f>F52/F53+G54</f>
        <v>75657.6</v>
      </c>
      <c r="G54" s="12">
        <f>G52/G53</f>
        <v>7750.933333</v>
      </c>
      <c r="H54" s="12"/>
      <c r="I54" s="96"/>
    </row>
    <row r="55">
      <c r="D55" s="11"/>
      <c r="E55" s="12"/>
      <c r="F55" s="12"/>
      <c r="G55" s="12"/>
      <c r="H55" s="12"/>
      <c r="I55" s="96"/>
    </row>
    <row r="56">
      <c r="D56" s="3" t="s">
        <v>80</v>
      </c>
      <c r="E56" s="12"/>
      <c r="F56" s="12">
        <f>O11+'май'!O10+'апрель'!O10+'март'!O10+'февраль'!N10+'январь'!N10</f>
        <v>314649.7</v>
      </c>
      <c r="G56" s="12"/>
      <c r="H56" s="12"/>
      <c r="I56" s="96"/>
    </row>
    <row r="57">
      <c r="D57" s="11"/>
      <c r="E57" s="12"/>
      <c r="F57" s="13">
        <v>6.0</v>
      </c>
      <c r="G57" s="12"/>
      <c r="H57" s="12"/>
      <c r="I57" s="96"/>
    </row>
    <row r="58">
      <c r="D58" s="11"/>
      <c r="E58" s="12"/>
      <c r="F58" s="12">
        <f>F56/F57</f>
        <v>52441.61667</v>
      </c>
      <c r="G58" s="12"/>
      <c r="H58" s="12"/>
      <c r="I58" s="96"/>
    </row>
    <row r="59">
      <c r="D59" s="11"/>
      <c r="E59" s="12"/>
      <c r="F59" s="12"/>
      <c r="G59" s="12"/>
      <c r="H59" s="12"/>
      <c r="I59" s="96"/>
    </row>
    <row r="60">
      <c r="D60" s="3" t="s">
        <v>16</v>
      </c>
      <c r="E60" s="13">
        <f>12800+12800+13600+13600+13600+13600</f>
        <v>80000</v>
      </c>
      <c r="F60" s="13">
        <f>14800+1917+9200+12800+3700+23800+1800</f>
        <v>68017</v>
      </c>
      <c r="G60" s="13">
        <f>2083+1690+1396+3546/2</f>
        <v>6942</v>
      </c>
      <c r="H60" s="12"/>
      <c r="I60" s="96"/>
    </row>
    <row r="61">
      <c r="D61" s="11"/>
      <c r="E61" s="13">
        <v>6.0</v>
      </c>
      <c r="F61" s="13">
        <v>6.0</v>
      </c>
      <c r="G61" s="13">
        <v>6.0</v>
      </c>
      <c r="H61" s="12"/>
      <c r="I61" s="96"/>
    </row>
    <row r="62">
      <c r="D62" s="11"/>
      <c r="E62" s="12">
        <f>E60/E61+G62</f>
        <v>14490.33333</v>
      </c>
      <c r="F62" s="12">
        <f>F60/F61+G62</f>
        <v>12493.16667</v>
      </c>
      <c r="G62" s="12">
        <f>G60/G61</f>
        <v>1157</v>
      </c>
      <c r="H62" s="12"/>
      <c r="I62" s="96"/>
    </row>
    <row r="63">
      <c r="D63" s="11"/>
      <c r="E63" s="12"/>
      <c r="F63" s="12"/>
      <c r="G63" s="12"/>
      <c r="H63" s="12"/>
      <c r="I63" s="96"/>
    </row>
    <row r="64">
      <c r="D64" s="3" t="s">
        <v>81</v>
      </c>
      <c r="E64" s="12"/>
      <c r="F64" s="12">
        <f>'январь'!N13+'февраль'!N13+'март'!O13+'апрель'!O13+'май'!O13+O14</f>
        <v>189150</v>
      </c>
      <c r="G64" s="12"/>
      <c r="H64" s="12"/>
      <c r="I64" s="96"/>
    </row>
    <row r="65">
      <c r="D65" s="11"/>
      <c r="E65" s="12"/>
      <c r="F65" s="13">
        <v>6.0</v>
      </c>
      <c r="G65" s="12"/>
      <c r="H65" s="12"/>
      <c r="I65" s="96"/>
    </row>
    <row r="66">
      <c r="D66" s="11"/>
      <c r="E66" s="12"/>
      <c r="F66" s="12">
        <f>F64/F65</f>
        <v>31525</v>
      </c>
      <c r="G66" s="12"/>
      <c r="H66" s="12"/>
      <c r="I66" s="96"/>
    </row>
    <row r="67">
      <c r="D67" s="11"/>
      <c r="E67" s="12"/>
      <c r="F67" s="12"/>
      <c r="G67" s="12"/>
      <c r="H67" s="12"/>
      <c r="I67" s="96"/>
    </row>
    <row r="68">
      <c r="D68" s="3" t="s">
        <v>82</v>
      </c>
      <c r="E68" s="12"/>
      <c r="F68" s="12">
        <f>O15+'май'!O14+'апрель'!O14+'март'!O14+'февраль'!N14+'январь'!N14</f>
        <v>393379.47</v>
      </c>
      <c r="G68" s="12"/>
      <c r="H68" s="12"/>
      <c r="I68" s="96"/>
    </row>
    <row r="69">
      <c r="D69" s="11"/>
      <c r="E69" s="12"/>
      <c r="F69" s="13">
        <v>6.0</v>
      </c>
      <c r="G69" s="12"/>
      <c r="H69" s="12"/>
      <c r="I69" s="96"/>
    </row>
    <row r="70">
      <c r="D70" s="11"/>
      <c r="E70" s="12"/>
      <c r="F70" s="12">
        <f>F68/F69</f>
        <v>65563.245</v>
      </c>
      <c r="G70" s="12"/>
      <c r="H70" s="12"/>
      <c r="I70" s="96"/>
    </row>
    <row r="71">
      <c r="D71" s="11"/>
      <c r="E71" s="12"/>
      <c r="F71" s="12"/>
      <c r="G71" s="12"/>
      <c r="H71" s="12"/>
      <c r="I71" s="96"/>
    </row>
    <row r="72">
      <c r="D72" s="3" t="s">
        <v>83</v>
      </c>
      <c r="E72" s="12"/>
      <c r="F72" s="13">
        <v>256800.0</v>
      </c>
      <c r="G72" s="12"/>
      <c r="H72" s="12"/>
      <c r="I72" s="96"/>
    </row>
    <row r="73">
      <c r="D73" s="11"/>
      <c r="E73" s="11"/>
      <c r="F73" s="3">
        <v>6.0</v>
      </c>
      <c r="G73" s="11"/>
      <c r="H73" s="11"/>
    </row>
    <row r="74">
      <c r="D74" s="11"/>
      <c r="E74" s="11"/>
      <c r="F74" s="3">
        <v>42800.0</v>
      </c>
      <c r="G74" s="11"/>
      <c r="H74" s="11"/>
    </row>
    <row r="75">
      <c r="D75" s="11"/>
      <c r="E75" s="11"/>
      <c r="F75" s="11"/>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row r="81">
      <c r="D81" s="11"/>
      <c r="E81" s="11"/>
      <c r="F81" s="11"/>
      <c r="G81" s="11"/>
      <c r="H81" s="11"/>
    </row>
  </sheetData>
  <mergeCells count="20">
    <mergeCell ref="O9:O10"/>
    <mergeCell ref="P9:P10"/>
    <mergeCell ref="Q9:Q10"/>
    <mergeCell ref="F9:F10"/>
    <mergeCell ref="F11:F12"/>
    <mergeCell ref="G11:G12"/>
    <mergeCell ref="H11:H12"/>
    <mergeCell ref="L11:L12"/>
    <mergeCell ref="M11:M12"/>
    <mergeCell ref="N11:N12"/>
    <mergeCell ref="O11:O12"/>
    <mergeCell ref="P11:P12"/>
    <mergeCell ref="Q11:Q12"/>
    <mergeCell ref="B9:B10"/>
    <mergeCell ref="G9:G10"/>
    <mergeCell ref="H9:H10"/>
    <mergeCell ref="L9:L10"/>
    <mergeCell ref="M9:M10"/>
    <mergeCell ref="N9:N10"/>
    <mergeCell ref="B11:B12"/>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10.13"/>
    <col customWidth="1" min="7" max="7" width="12.25"/>
    <col customWidth="1" min="8" max="12" width="11.13"/>
    <col customWidth="1" min="13" max="13" width="10.88"/>
    <col customWidth="1" min="14" max="14" width="10.63"/>
    <col customWidth="1" min="15" max="15" width="13.5"/>
    <col customWidth="1" min="16" max="16" width="16.88"/>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(C3*D3)+8800 </f>
        <v>17200</v>
      </c>
      <c r="F3" s="80"/>
      <c r="G3" s="112">
        <v>1108.92</v>
      </c>
      <c r="H3" s="113"/>
      <c r="I3" s="113"/>
      <c r="J3" s="113"/>
      <c r="K3" s="113"/>
      <c r="L3" s="113"/>
      <c r="M3" s="80"/>
      <c r="N3" s="80"/>
      <c r="O3" s="114">
        <f t="shared" ref="O3:O4" si="1">E3+F3+G3+H3+L3+M3-N3</f>
        <v>18308.92</v>
      </c>
      <c r="P3" s="40"/>
      <c r="Q3" s="40"/>
      <c r="R3" s="42"/>
      <c r="S3" s="42"/>
    </row>
    <row r="4">
      <c r="A4" s="29" t="s">
        <v>55</v>
      </c>
      <c r="B4" s="43" t="s">
        <v>54</v>
      </c>
      <c r="C4" s="31"/>
      <c r="D4" s="32"/>
      <c r="E4" s="32">
        <v>10000.0</v>
      </c>
      <c r="F4" s="80"/>
      <c r="G4" s="115">
        <v>638.28</v>
      </c>
      <c r="H4" s="35"/>
      <c r="I4" s="35"/>
      <c r="J4" s="35"/>
      <c r="K4" s="35"/>
      <c r="L4" s="35"/>
      <c r="M4" s="38"/>
      <c r="N4" s="38"/>
      <c r="O4" s="114">
        <f t="shared" si="1"/>
        <v>10638.28</v>
      </c>
      <c r="P4" s="40"/>
      <c r="Q4" s="40"/>
      <c r="R4" s="42"/>
      <c r="S4" s="42"/>
    </row>
    <row r="5">
      <c r="A5" s="29" t="s">
        <v>55</v>
      </c>
      <c r="B5" s="79" t="s">
        <v>60</v>
      </c>
      <c r="C5" s="31">
        <v>499.0</v>
      </c>
      <c r="D5" s="32">
        <v>50.0</v>
      </c>
      <c r="E5" s="32">
        <f>24950+2500+4000</f>
        <v>31450</v>
      </c>
      <c r="F5" s="80"/>
      <c r="G5" s="81">
        <v>2221.92</v>
      </c>
      <c r="H5" s="35"/>
      <c r="I5" s="35"/>
      <c r="J5" s="35"/>
      <c r="K5" s="35"/>
      <c r="L5" s="35"/>
      <c r="M5" s="38"/>
      <c r="N5" s="38"/>
      <c r="O5" s="114">
        <f t="shared" ref="O5:O6" si="2">E5+F5+G5+H5+L5+M5-N5+I5+J5+K5</f>
        <v>33671.92</v>
      </c>
      <c r="P5" s="40"/>
      <c r="Q5" s="40"/>
      <c r="R5" s="42"/>
      <c r="S5" s="42"/>
    </row>
    <row r="6">
      <c r="A6" s="29" t="s">
        <v>55</v>
      </c>
      <c r="B6" s="79" t="s">
        <v>56</v>
      </c>
      <c r="C6" s="31">
        <v>333.0</v>
      </c>
      <c r="D6" s="32">
        <v>120.0</v>
      </c>
      <c r="E6" s="32">
        <f>39960+2500</f>
        <v>42460</v>
      </c>
      <c r="F6" s="33"/>
      <c r="G6" s="34">
        <v>3989.88</v>
      </c>
      <c r="H6" s="35"/>
      <c r="I6" s="36"/>
      <c r="J6" s="36"/>
      <c r="K6" s="36">
        <v>10200.0</v>
      </c>
      <c r="L6" s="36"/>
      <c r="M6" s="37"/>
      <c r="N6" s="38"/>
      <c r="O6" s="114">
        <f t="shared" si="2"/>
        <v>56649.88</v>
      </c>
      <c r="P6" s="82"/>
      <c r="Q6" s="40"/>
      <c r="R6" s="42"/>
      <c r="S6" s="42"/>
    </row>
    <row r="7">
      <c r="A7" s="29" t="s">
        <v>55</v>
      </c>
      <c r="B7" s="43" t="s">
        <v>62</v>
      </c>
      <c r="C7" s="31">
        <v>215.0</v>
      </c>
      <c r="D7" s="32">
        <v>147.0</v>
      </c>
      <c r="E7" s="32">
        <f>C7*D7</f>
        <v>31605</v>
      </c>
      <c r="F7" s="33"/>
      <c r="G7" s="83">
        <v>3285.42</v>
      </c>
      <c r="H7" s="35">
        <f>5000+9000</f>
        <v>14000</v>
      </c>
      <c r="I7" s="36">
        <f>4*500</f>
        <v>2000</v>
      </c>
      <c r="J7" s="36"/>
      <c r="K7" s="36"/>
      <c r="L7" s="36"/>
      <c r="M7" s="37"/>
      <c r="N7" s="38"/>
      <c r="O7" s="114">
        <f>E7+F7+G7+H7+L7+M7-N7+I7</f>
        <v>50890.42</v>
      </c>
      <c r="P7" s="40"/>
      <c r="Q7" s="40"/>
      <c r="R7" s="42"/>
      <c r="S7" s="42"/>
    </row>
    <row r="8">
      <c r="A8" s="29" t="s">
        <v>55</v>
      </c>
      <c r="B8" s="131" t="s">
        <v>57</v>
      </c>
      <c r="C8" s="46"/>
      <c r="D8" s="47"/>
      <c r="E8" s="48">
        <f>16500+10400+2000+2340</f>
        <v>31240</v>
      </c>
      <c r="F8" s="33"/>
      <c r="G8" s="49"/>
      <c r="H8" s="36"/>
      <c r="I8" s="36"/>
      <c r="J8" s="35"/>
      <c r="L8" s="36"/>
      <c r="M8" s="37"/>
      <c r="N8" s="38"/>
      <c r="O8" s="39"/>
      <c r="P8" s="40"/>
      <c r="Q8" s="40"/>
      <c r="R8" s="42"/>
      <c r="S8" s="42"/>
    </row>
    <row r="9">
      <c r="A9" s="29" t="s">
        <v>55</v>
      </c>
      <c r="B9" s="132" t="s">
        <v>58</v>
      </c>
      <c r="C9" s="51">
        <v>645.0</v>
      </c>
      <c r="D9" s="48">
        <v>100.11</v>
      </c>
      <c r="E9" s="48">
        <f>645*100</f>
        <v>64500</v>
      </c>
      <c r="F9" s="52">
        <v>5500.0</v>
      </c>
      <c r="G9" s="53">
        <v>9799.62</v>
      </c>
      <c r="H9" s="54">
        <v>1000.0</v>
      </c>
      <c r="I9" s="55"/>
      <c r="J9" s="11"/>
      <c r="K9" s="56"/>
      <c r="L9" s="54">
        <v>24000.0</v>
      </c>
      <c r="M9" s="57"/>
      <c r="N9" s="58"/>
      <c r="O9" s="116">
        <f>E9+F9+E10+G9+H9+M9+N9+E8+H8+L9+K9</f>
        <v>138139.62</v>
      </c>
      <c r="P9" s="67"/>
      <c r="Q9" s="67"/>
      <c r="R9" s="117"/>
      <c r="S9" s="42"/>
    </row>
    <row r="10" ht="17.25" customHeight="1">
      <c r="A10" s="29" t="s">
        <v>55</v>
      </c>
      <c r="B10" s="62"/>
      <c r="C10" s="51">
        <v>42.0</v>
      </c>
      <c r="D10" s="48">
        <v>50.0</v>
      </c>
      <c r="E10" s="48">
        <f t="shared" ref="E10:E13" si="3">C10*D10</f>
        <v>2100</v>
      </c>
      <c r="F10" s="62"/>
      <c r="G10" s="62"/>
      <c r="H10" s="62"/>
      <c r="I10" s="55"/>
      <c r="J10" s="56"/>
      <c r="K10" s="56"/>
      <c r="L10" s="62"/>
      <c r="M10" s="62"/>
      <c r="N10" s="62"/>
      <c r="O10" s="62"/>
      <c r="P10" s="62"/>
      <c r="Q10" s="62"/>
      <c r="R10" s="42"/>
      <c r="S10" s="42"/>
    </row>
    <row r="11">
      <c r="A11" s="29" t="s">
        <v>55</v>
      </c>
      <c r="B11" s="134" t="s">
        <v>59</v>
      </c>
      <c r="C11" s="51">
        <v>351.0</v>
      </c>
      <c r="D11" s="48">
        <v>100.0</v>
      </c>
      <c r="E11" s="48">
        <f t="shared" si="3"/>
        <v>35100</v>
      </c>
      <c r="F11" s="52">
        <v>10000.0</v>
      </c>
      <c r="G11" s="53">
        <v>3160.98</v>
      </c>
      <c r="H11" s="64"/>
      <c r="I11" s="65"/>
      <c r="J11" s="65"/>
      <c r="K11" s="65"/>
      <c r="L11" s="64"/>
      <c r="M11" s="66"/>
      <c r="N11" s="58"/>
      <c r="O11" s="116">
        <f>E11+E12+F11+G11+L11+H11+M11-N11</f>
        <v>52684.98</v>
      </c>
      <c r="P11" s="61"/>
      <c r="Q11" s="67"/>
      <c r="R11" s="42"/>
      <c r="S11" s="42"/>
    </row>
    <row r="12">
      <c r="A12" s="29" t="s">
        <v>55</v>
      </c>
      <c r="B12" s="62"/>
      <c r="C12" s="51">
        <v>28.0</v>
      </c>
      <c r="D12" s="48">
        <v>158.0</v>
      </c>
      <c r="E12" s="48">
        <f t="shared" si="3"/>
        <v>4424</v>
      </c>
      <c r="F12" s="62"/>
      <c r="G12" s="62"/>
      <c r="H12" s="62"/>
      <c r="I12" s="65"/>
      <c r="J12" s="65"/>
      <c r="K12" s="65"/>
      <c r="L12" s="62"/>
      <c r="M12" s="62"/>
      <c r="N12" s="62"/>
      <c r="O12" s="62"/>
      <c r="P12" s="62"/>
      <c r="Q12" s="62"/>
      <c r="R12" s="42"/>
      <c r="S12" s="42"/>
    </row>
    <row r="13">
      <c r="A13" s="29" t="s">
        <v>55</v>
      </c>
      <c r="B13" s="84" t="s">
        <v>63</v>
      </c>
      <c r="C13" s="51">
        <v>22.0</v>
      </c>
      <c r="D13" s="48">
        <v>800.0</v>
      </c>
      <c r="E13" s="48">
        <f t="shared" si="3"/>
        <v>17600</v>
      </c>
      <c r="F13" s="33"/>
      <c r="G13" s="49">
        <v>9945.6</v>
      </c>
      <c r="H13" s="36"/>
      <c r="I13" s="36"/>
      <c r="J13" s="36">
        <f>38000+85000+3500</f>
        <v>126500</v>
      </c>
      <c r="K13" s="36">
        <f>14800-3500</f>
        <v>11300</v>
      </c>
      <c r="L13" s="36"/>
      <c r="M13" s="49"/>
      <c r="N13" s="38"/>
      <c r="O13" s="85">
        <f>E13+K13+G13+J13+H13</f>
        <v>165345.6</v>
      </c>
      <c r="P13" s="40">
        <v>69000.0</v>
      </c>
      <c r="Q13" s="40">
        <f>O13-P13</f>
        <v>96345.6</v>
      </c>
      <c r="R13" s="42"/>
      <c r="S13" s="42"/>
    </row>
    <row r="14">
      <c r="A14" s="29"/>
      <c r="B14" s="86" t="s">
        <v>81</v>
      </c>
      <c r="C14" s="51"/>
      <c r="D14" s="48"/>
      <c r="E14" s="48">
        <v>30000.0</v>
      </c>
      <c r="F14" s="33"/>
      <c r="G14" s="36"/>
      <c r="H14" s="36">
        <f>500+130+500+500+130</f>
        <v>1760</v>
      </c>
      <c r="I14" s="36"/>
      <c r="J14" s="36"/>
      <c r="K14" s="36"/>
      <c r="L14" s="36"/>
      <c r="M14" s="37"/>
      <c r="N14" s="38"/>
      <c r="O14" s="39">
        <f>E14+F14+G14+H14+M14-N14+I14+J14</f>
        <v>31760</v>
      </c>
      <c r="P14" s="40"/>
      <c r="Q14" s="40"/>
      <c r="R14" s="42"/>
      <c r="S14" s="42"/>
    </row>
    <row r="15">
      <c r="A15" s="29"/>
      <c r="B15" s="86"/>
      <c r="C15" s="51"/>
      <c r="D15" s="48"/>
      <c r="E15" s="48"/>
      <c r="F15" s="33"/>
      <c r="G15" s="36"/>
      <c r="H15" s="36"/>
      <c r="I15" s="36">
        <v>22000.0</v>
      </c>
      <c r="J15" s="36">
        <v>34000.0</v>
      </c>
      <c r="K15" s="36"/>
      <c r="L15" s="36"/>
      <c r="M15" s="37"/>
      <c r="N15" s="38"/>
      <c r="O15" s="39"/>
      <c r="P15" s="40"/>
      <c r="Q15" s="40"/>
      <c r="R15" s="42"/>
      <c r="S15" s="42"/>
    </row>
    <row r="16">
      <c r="A16" s="29"/>
      <c r="B16" s="86" t="s">
        <v>65</v>
      </c>
      <c r="C16" s="51"/>
      <c r="D16" s="48"/>
      <c r="E16" s="48"/>
      <c r="F16" s="33"/>
      <c r="G16" s="36"/>
      <c r="H16" s="36"/>
      <c r="I16" s="36"/>
      <c r="J16" s="36"/>
      <c r="K16" s="36"/>
      <c r="L16" s="36"/>
      <c r="M16" s="37">
        <f t="shared" ref="M16:M17" si="4">62621.91</f>
        <v>62621.91</v>
      </c>
      <c r="N16" s="38"/>
      <c r="O16" s="114">
        <f t="shared" ref="O16:O18" si="5">M16+G16</f>
        <v>62621.91</v>
      </c>
      <c r="P16" s="40"/>
      <c r="Q16" s="40"/>
      <c r="R16" s="42"/>
      <c r="S16" s="42"/>
    </row>
    <row r="17">
      <c r="A17" s="29"/>
      <c r="B17" s="86" t="s">
        <v>66</v>
      </c>
      <c r="C17" s="51"/>
      <c r="D17" s="48"/>
      <c r="E17" s="48"/>
      <c r="F17" s="33"/>
      <c r="G17" s="36"/>
      <c r="H17" s="36"/>
      <c r="I17" s="11"/>
      <c r="J17" s="36"/>
      <c r="K17" s="36"/>
      <c r="L17" s="36"/>
      <c r="M17" s="37">
        <f t="shared" si="4"/>
        <v>62621.91</v>
      </c>
      <c r="N17" s="38"/>
      <c r="O17" s="114">
        <f t="shared" si="5"/>
        <v>62621.91</v>
      </c>
      <c r="P17" s="40"/>
      <c r="Q17" s="40"/>
      <c r="R17" s="42"/>
      <c r="S17" s="42"/>
    </row>
    <row r="18">
      <c r="A18" s="3"/>
      <c r="B18" s="86" t="s">
        <v>67</v>
      </c>
      <c r="C18" s="87"/>
      <c r="D18" s="88"/>
      <c r="E18" s="88"/>
      <c r="F18" s="89"/>
      <c r="G18" s="36"/>
      <c r="H18" s="36"/>
      <c r="I18" s="35"/>
      <c r="J18" s="36"/>
      <c r="K18" s="36"/>
      <c r="L18" s="36"/>
      <c r="M18" s="37">
        <v>42800.0</v>
      </c>
      <c r="N18" s="38"/>
      <c r="O18" s="114">
        <f t="shared" si="5"/>
        <v>42800</v>
      </c>
      <c r="P18" s="40"/>
      <c r="Q18" s="40"/>
      <c r="R18" s="42"/>
      <c r="S18" s="42"/>
    </row>
    <row r="19">
      <c r="A19" s="119" t="s">
        <v>68</v>
      </c>
      <c r="B19" s="119"/>
      <c r="C19" s="120">
        <f>SUM(C3:C9)</f>
        <v>1776</v>
      </c>
      <c r="D19" s="121"/>
      <c r="E19" s="120">
        <f>SUM(E3:E17)</f>
        <v>317679</v>
      </c>
      <c r="F19" s="120">
        <f>SUM(F3:F13)</f>
        <v>15500</v>
      </c>
      <c r="G19" s="122">
        <f t="shared" ref="G19:H19" si="6">SUM(G3:G17)</f>
        <v>34150.62</v>
      </c>
      <c r="H19" s="120">
        <f t="shared" si="6"/>
        <v>16760</v>
      </c>
      <c r="I19" s="120">
        <f t="shared" ref="I19:M19" si="7">SUM(I3:I18)</f>
        <v>24000</v>
      </c>
      <c r="J19" s="120">
        <f t="shared" si="7"/>
        <v>160500</v>
      </c>
      <c r="K19" s="120">
        <f t="shared" si="7"/>
        <v>21500</v>
      </c>
      <c r="L19" s="120">
        <f t="shared" si="7"/>
        <v>24000</v>
      </c>
      <c r="M19" s="120">
        <f t="shared" si="7"/>
        <v>168043.82</v>
      </c>
      <c r="N19" s="120">
        <f>SUM(N3:N13)</f>
        <v>0</v>
      </c>
      <c r="O19" s="39">
        <f>SUM(O3:O18)</f>
        <v>726133.44</v>
      </c>
      <c r="P19" s="123"/>
      <c r="Q19" s="40"/>
      <c r="R19" s="42"/>
      <c r="S19" s="95"/>
    </row>
    <row r="20">
      <c r="C20" s="8"/>
      <c r="D20" s="96"/>
      <c r="E20" s="97"/>
      <c r="N20" s="124"/>
      <c r="O20" s="22"/>
      <c r="P20" s="101"/>
      <c r="Q20" s="22"/>
      <c r="R20" s="22"/>
      <c r="S20" s="22"/>
    </row>
    <row r="21">
      <c r="C21" s="102"/>
      <c r="D21" s="103"/>
      <c r="E21" s="103"/>
      <c r="O21" s="22"/>
      <c r="P21" s="101"/>
      <c r="Q21" s="104"/>
      <c r="R21" s="22"/>
    </row>
    <row r="22">
      <c r="C22" s="102"/>
      <c r="D22" s="103" t="s">
        <v>84</v>
      </c>
      <c r="E22" s="103">
        <f>O19+'май'!O17+'апрель'!O17+'март'!O17+'февраль'!N17+'январь'!N17</f>
        <v>3843600.16</v>
      </c>
      <c r="O22" s="126">
        <f>O17+O14+O13</f>
        <v>259727.51</v>
      </c>
      <c r="P22" s="101"/>
      <c r="Q22" s="97"/>
    </row>
    <row r="23">
      <c r="C23" s="102"/>
      <c r="D23" s="103"/>
      <c r="E23" s="103"/>
      <c r="O23" s="127">
        <f>O4+O5+O7+O9+O3+O18+O16</f>
        <v>357071.07</v>
      </c>
      <c r="P23" s="128">
        <f>Q13+O14</f>
        <v>128105.6</v>
      </c>
      <c r="Q23" s="97"/>
    </row>
    <row r="24">
      <c r="C24" s="102"/>
      <c r="D24" s="103" t="s">
        <v>85</v>
      </c>
      <c r="E24" s="105">
        <f>J19+K19+L19+'май'!J17+'май'!K17+'май'!L17+'апрель'!L17+'март'!J17+'март'!L17+'февраль'!I17+'февраль'!J17+'февраль'!K17+'январь'!K17</f>
        <v>597700</v>
      </c>
      <c r="F24" s="8">
        <v>6.0</v>
      </c>
      <c r="G24" s="96">
        <f>E24/F24</f>
        <v>99616.66667</v>
      </c>
      <c r="I24" s="129">
        <f>E8+'август'!E8+'июль'!E8+'июнь'!E7+'май'!E7+'апрель'!E7+'март'!E7+'февраль'!E7+'январь'!E7</f>
        <v>289750</v>
      </c>
      <c r="P24" s="8"/>
      <c r="Q24" s="97"/>
    </row>
    <row r="25">
      <c r="C25" s="102"/>
      <c r="D25" s="103"/>
      <c r="E25" s="105"/>
      <c r="P25" s="8"/>
      <c r="Q25" s="97"/>
    </row>
    <row r="26">
      <c r="C26" s="102"/>
      <c r="D26" s="103" t="s">
        <v>86</v>
      </c>
      <c r="E26" s="103">
        <f>I19+'март'!I17</f>
        <v>45500</v>
      </c>
      <c r="P26" s="8"/>
      <c r="Q26" s="96"/>
    </row>
    <row r="27">
      <c r="C27" s="106"/>
      <c r="D27" s="105"/>
      <c r="E27" s="105"/>
      <c r="N27" s="107"/>
    </row>
    <row r="28">
      <c r="D28" s="97" t="s">
        <v>87</v>
      </c>
      <c r="E28" s="108">
        <f>E22-E24-E26</f>
        <v>3200400.16</v>
      </c>
      <c r="F28" s="8">
        <v>6.0</v>
      </c>
      <c r="G28" s="96">
        <f>E28/F28</f>
        <v>533400.0267</v>
      </c>
      <c r="P28" s="8"/>
      <c r="Q28" s="97"/>
    </row>
    <row r="29">
      <c r="D29" s="96"/>
      <c r="E29" s="96"/>
      <c r="P29" s="8"/>
      <c r="Q29" s="97"/>
    </row>
    <row r="30">
      <c r="D30" s="96"/>
      <c r="E30" s="96"/>
      <c r="P30" s="8"/>
      <c r="Q30" s="97"/>
    </row>
    <row r="31">
      <c r="D31" s="96"/>
      <c r="E31" s="96">
        <f>E22+E24+E26</f>
        <v>4486800.16</v>
      </c>
      <c r="F31" s="8">
        <v>6.0</v>
      </c>
      <c r="G31" s="96">
        <f>E31/F31</f>
        <v>747800.0267</v>
      </c>
      <c r="P31" s="8"/>
      <c r="Q31" s="97"/>
    </row>
    <row r="32">
      <c r="D32" s="96"/>
      <c r="E32" s="96"/>
      <c r="P32" s="8"/>
    </row>
    <row r="33">
      <c r="D33" s="96"/>
      <c r="E33" s="96"/>
    </row>
    <row r="34">
      <c r="D34" s="109" t="s">
        <v>20</v>
      </c>
      <c r="E34" s="110">
        <f>E8+'май'!E7+'апрель'!E7+'май'!H7+'март'!E7+'февраль'!E7+'январь'!E7</f>
        <v>197464</v>
      </c>
      <c r="F34" s="3">
        <v>6.0</v>
      </c>
      <c r="G34" s="12">
        <f>E34/F34</f>
        <v>32910.66667</v>
      </c>
      <c r="H34" s="11"/>
    </row>
    <row r="35">
      <c r="D35" s="11"/>
      <c r="E35" s="11"/>
      <c r="F35" s="11"/>
      <c r="G35" s="11"/>
      <c r="H35" s="11"/>
    </row>
    <row r="36">
      <c r="D36" s="111"/>
      <c r="E36" s="68" t="s">
        <v>70</v>
      </c>
      <c r="F36" s="68" t="s">
        <v>71</v>
      </c>
      <c r="G36" s="68" t="s">
        <v>72</v>
      </c>
      <c r="H36" s="68" t="s">
        <v>73</v>
      </c>
    </row>
    <row r="37">
      <c r="D37" s="3" t="s">
        <v>74</v>
      </c>
      <c r="E37" s="12">
        <f>8000+8000+7200+7200+7200+72000</f>
        <v>109600</v>
      </c>
      <c r="F37" s="12">
        <f>840+840+840+840+840+840+6708</f>
        <v>11748</v>
      </c>
      <c r="G37" s="12">
        <f>G3+'май'!G3+'апрель'!G3+'март'!G3+'февраль'!G3+'январь'!G3/2</f>
        <v>6929.9</v>
      </c>
      <c r="H37" s="11"/>
    </row>
    <row r="38">
      <c r="D38" s="11"/>
      <c r="E38" s="13">
        <v>6.0</v>
      </c>
      <c r="F38" s="13">
        <v>6.0</v>
      </c>
      <c r="G38" s="13">
        <v>6.0</v>
      </c>
      <c r="H38" s="11"/>
    </row>
    <row r="39">
      <c r="D39" s="11"/>
      <c r="E39" s="12">
        <f>E37/E38+G39</f>
        <v>19421.65</v>
      </c>
      <c r="F39" s="12">
        <f t="shared" ref="F39:G39" si="8">F37/F38</f>
        <v>1958</v>
      </c>
      <c r="G39" s="12">
        <f t="shared" si="8"/>
        <v>1154.983333</v>
      </c>
      <c r="H39" s="11"/>
    </row>
    <row r="40">
      <c r="D40" s="11"/>
      <c r="E40" s="12"/>
      <c r="F40" s="12"/>
      <c r="G40" s="12"/>
      <c r="H40" s="11"/>
    </row>
    <row r="41">
      <c r="D41" s="3" t="s">
        <v>75</v>
      </c>
      <c r="E41" s="12">
        <f>E4+'май'!E4+'апрель'!E4+'март'!E4+'февраль'!E4+'январь'!E4</f>
        <v>60000</v>
      </c>
      <c r="F41" s="12"/>
      <c r="G41" s="12">
        <f>G4+'май'!G4+'апрель'!G4+'март'!G4+'февраль'!G4+'январь'!G4</f>
        <v>3829.86</v>
      </c>
      <c r="H41" s="11"/>
    </row>
    <row r="42">
      <c r="D42" s="11"/>
      <c r="E42" s="13">
        <v>6.0</v>
      </c>
      <c r="F42" s="12"/>
      <c r="G42" s="13">
        <v>6.0</v>
      </c>
      <c r="H42" s="11"/>
    </row>
    <row r="43">
      <c r="D43" s="11"/>
      <c r="E43" s="12">
        <f>E41/E42+G43</f>
        <v>10638.31</v>
      </c>
      <c r="F43" s="12"/>
      <c r="G43" s="12">
        <f>G41/G42</f>
        <v>638.31</v>
      </c>
      <c r="H43" s="11"/>
    </row>
    <row r="44">
      <c r="D44" s="11"/>
      <c r="E44" s="12"/>
      <c r="F44" s="12"/>
      <c r="G44" s="12"/>
      <c r="H44" s="11"/>
      <c r="I44" s="8" t="s">
        <v>76</v>
      </c>
    </row>
    <row r="45">
      <c r="D45" s="3" t="s">
        <v>77</v>
      </c>
      <c r="E45" s="12">
        <f>22950+22950+23250+23250+24850+24850</f>
        <v>142100</v>
      </c>
      <c r="F45" s="12">
        <f>43800+43800+39960+39960+39960+39960</f>
        <v>247440</v>
      </c>
      <c r="G45" s="12">
        <f>(G5+'май'!G5+'апрель'!G5+'март'!G5+'февраль'!G5+'январь'!G5)/2</f>
        <v>15874.31</v>
      </c>
      <c r="H45" s="12"/>
      <c r="I45" s="97">
        <f>54000/2</f>
        <v>27000</v>
      </c>
    </row>
    <row r="46">
      <c r="D46" s="11"/>
      <c r="E46" s="13">
        <v>6.0</v>
      </c>
      <c r="F46" s="13">
        <v>6.0</v>
      </c>
      <c r="G46" s="13">
        <v>6.0</v>
      </c>
      <c r="H46" s="12"/>
      <c r="I46" s="97">
        <v>6.0</v>
      </c>
    </row>
    <row r="47">
      <c r="D47" s="11"/>
      <c r="E47" s="12">
        <f>E45/E46+G47+I47</f>
        <v>30829.05167</v>
      </c>
      <c r="F47" s="12">
        <f>F45/F46+G47+I47</f>
        <v>48385.71833</v>
      </c>
      <c r="G47" s="12">
        <f>G45/G46</f>
        <v>2645.718333</v>
      </c>
      <c r="H47" s="12"/>
      <c r="I47" s="12">
        <f>I45/I46</f>
        <v>4500</v>
      </c>
    </row>
    <row r="48">
      <c r="D48" s="11"/>
      <c r="E48" s="12"/>
      <c r="F48" s="12"/>
      <c r="G48" s="12"/>
      <c r="H48" s="12"/>
      <c r="I48" s="96"/>
    </row>
    <row r="49">
      <c r="D49" s="3" t="s">
        <v>78</v>
      </c>
      <c r="E49" s="12"/>
      <c r="F49" s="12">
        <f>'май'!O6+'апрель'!O6+'март'!O6+'февраль'!N6+'январь'!N6+O7</f>
        <v>241126.7</v>
      </c>
      <c r="G49" s="12"/>
      <c r="H49" s="12"/>
      <c r="I49" s="96"/>
    </row>
    <row r="50">
      <c r="D50" s="11"/>
      <c r="E50" s="12"/>
      <c r="F50" s="13">
        <v>6.0</v>
      </c>
      <c r="G50" s="12"/>
      <c r="H50" s="12"/>
      <c r="I50" s="96"/>
    </row>
    <row r="51">
      <c r="D51" s="3"/>
      <c r="E51" s="12"/>
      <c r="F51" s="12">
        <f>F49/F50</f>
        <v>40187.78333</v>
      </c>
      <c r="G51" s="12"/>
      <c r="H51" s="12"/>
      <c r="I51" s="96"/>
    </row>
    <row r="52">
      <c r="D52" s="11"/>
      <c r="E52" s="12"/>
      <c r="F52" s="12"/>
      <c r="G52" s="12"/>
      <c r="H52" s="12"/>
      <c r="I52" s="96"/>
    </row>
    <row r="53">
      <c r="D53" s="3" t="s">
        <v>79</v>
      </c>
      <c r="E53" s="13">
        <f>33000+3000</f>
        <v>36000</v>
      </c>
      <c r="F53" s="12">
        <f>E9+E10+'май'!E8+'май'!E9+'май'!H8+'апрель'!E8+'апрель'!E9+'апрель'!H8+'март'!E8+'март'!E9+'февраль'!E8+'февраль'!E9+'январь'!E8+'январь'!E9</f>
        <v>407440</v>
      </c>
      <c r="G53" s="12">
        <f>G9+'май'!G8+'апрель'!G8+'март'!G8+'февраль'!G8+'январь'!G8</f>
        <v>48016.82</v>
      </c>
      <c r="H53" s="12"/>
      <c r="I53" s="96"/>
    </row>
    <row r="54">
      <c r="D54" s="11"/>
      <c r="E54" s="13">
        <v>6.0</v>
      </c>
      <c r="F54" s="13">
        <v>6.0</v>
      </c>
      <c r="G54" s="13">
        <v>6.0</v>
      </c>
      <c r="H54" s="12"/>
      <c r="I54" s="96"/>
    </row>
    <row r="55">
      <c r="D55" s="11"/>
      <c r="E55" s="12">
        <f>E53/E54</f>
        <v>6000</v>
      </c>
      <c r="F55" s="12">
        <f>F53/F54+G55</f>
        <v>75909.47</v>
      </c>
      <c r="G55" s="12">
        <f>G53/G54</f>
        <v>8002.803333</v>
      </c>
      <c r="H55" s="12"/>
      <c r="I55" s="96"/>
    </row>
    <row r="56">
      <c r="D56" s="11"/>
      <c r="E56" s="12"/>
      <c r="F56" s="12"/>
      <c r="G56" s="12"/>
      <c r="H56" s="12"/>
      <c r="I56" s="96"/>
    </row>
    <row r="57">
      <c r="D57" s="3" t="s">
        <v>80</v>
      </c>
      <c r="E57" s="12"/>
      <c r="F57" s="12">
        <f>O11+'май'!O10+'апрель'!O10+'март'!O10+'февраль'!N10+'январь'!N10</f>
        <v>314649.58</v>
      </c>
      <c r="G57" s="12"/>
      <c r="H57" s="12"/>
      <c r="I57" s="96"/>
    </row>
    <row r="58">
      <c r="D58" s="11"/>
      <c r="E58" s="12"/>
      <c r="F58" s="13">
        <v>6.0</v>
      </c>
      <c r="G58" s="12"/>
      <c r="H58" s="12"/>
      <c r="I58" s="96"/>
    </row>
    <row r="59">
      <c r="D59" s="11"/>
      <c r="E59" s="12"/>
      <c r="F59" s="12">
        <f>F57/F58</f>
        <v>52441.59667</v>
      </c>
      <c r="G59" s="12"/>
      <c r="H59" s="12"/>
      <c r="I59" s="96"/>
    </row>
    <row r="60">
      <c r="D60" s="11"/>
      <c r="E60" s="12"/>
      <c r="F60" s="12"/>
      <c r="G60" s="12"/>
      <c r="H60" s="12"/>
      <c r="I60" s="96"/>
    </row>
    <row r="61">
      <c r="D61" s="3" t="s">
        <v>16</v>
      </c>
      <c r="E61" s="13">
        <f>12800+12800+13600+13600+13600+13600</f>
        <v>80000</v>
      </c>
      <c r="F61" s="13">
        <f>14800+1917+9200+12800+3700+23800+1800</f>
        <v>68017</v>
      </c>
      <c r="G61" s="13">
        <f>2083+1690+1396+3546/2</f>
        <v>6942</v>
      </c>
      <c r="H61" s="12"/>
      <c r="I61" s="96"/>
    </row>
    <row r="62">
      <c r="D62" s="11"/>
      <c r="E62" s="13">
        <v>6.0</v>
      </c>
      <c r="F62" s="13">
        <v>6.0</v>
      </c>
      <c r="G62" s="13">
        <v>6.0</v>
      </c>
      <c r="H62" s="12"/>
      <c r="I62" s="96"/>
    </row>
    <row r="63">
      <c r="D63" s="11"/>
      <c r="E63" s="12">
        <f>E61/E62+G63</f>
        <v>14490.33333</v>
      </c>
      <c r="F63" s="12">
        <f>F61/F62+G63</f>
        <v>12493.16667</v>
      </c>
      <c r="G63" s="12">
        <f>G61/G62</f>
        <v>1157</v>
      </c>
      <c r="H63" s="12"/>
      <c r="I63" s="96"/>
    </row>
    <row r="64">
      <c r="D64" s="11"/>
      <c r="E64" s="12"/>
      <c r="F64" s="12"/>
      <c r="G64" s="12"/>
      <c r="H64" s="12"/>
      <c r="I64" s="96"/>
    </row>
    <row r="65">
      <c r="D65" s="3" t="s">
        <v>81</v>
      </c>
      <c r="E65" s="12"/>
      <c r="F65" s="12">
        <f>'январь'!N13+'февраль'!N13+'март'!O13+'апрель'!O13+'май'!O13+O14</f>
        <v>190910</v>
      </c>
      <c r="G65" s="12"/>
      <c r="H65" s="12"/>
      <c r="I65" s="96"/>
    </row>
    <row r="66">
      <c r="D66" s="11"/>
      <c r="E66" s="12"/>
      <c r="F66" s="13">
        <v>6.0</v>
      </c>
      <c r="G66" s="12"/>
      <c r="H66" s="12"/>
      <c r="I66" s="96"/>
    </row>
    <row r="67">
      <c r="D67" s="11"/>
      <c r="E67" s="12"/>
      <c r="F67" s="12">
        <f>F65/F66</f>
        <v>31818.33333</v>
      </c>
      <c r="G67" s="12"/>
      <c r="H67" s="12"/>
      <c r="I67" s="96"/>
    </row>
    <row r="68">
      <c r="D68" s="11"/>
      <c r="E68" s="12"/>
      <c r="F68" s="12"/>
      <c r="G68" s="12"/>
      <c r="H68" s="12"/>
      <c r="I68" s="96"/>
    </row>
    <row r="69">
      <c r="D69" s="3" t="s">
        <v>82</v>
      </c>
      <c r="E69" s="12"/>
      <c r="F69" s="12">
        <f>O16+'май'!O14+'апрель'!O14+'март'!O14+'февраль'!N14+'январь'!N14</f>
        <v>396136.19</v>
      </c>
      <c r="G69" s="12"/>
      <c r="H69" s="12"/>
      <c r="I69" s="96"/>
    </row>
    <row r="70">
      <c r="D70" s="11"/>
      <c r="E70" s="12"/>
      <c r="F70" s="13">
        <v>6.0</v>
      </c>
      <c r="G70" s="12"/>
      <c r="H70" s="12"/>
      <c r="I70" s="96"/>
    </row>
    <row r="71">
      <c r="D71" s="11"/>
      <c r="E71" s="12"/>
      <c r="F71" s="12">
        <f>F69/F70</f>
        <v>66022.69833</v>
      </c>
      <c r="G71" s="12"/>
      <c r="H71" s="12"/>
      <c r="I71" s="96"/>
    </row>
    <row r="72">
      <c r="D72" s="11"/>
      <c r="E72" s="12"/>
      <c r="F72" s="12"/>
      <c r="G72" s="12"/>
      <c r="H72" s="12"/>
      <c r="I72" s="96"/>
    </row>
    <row r="73">
      <c r="D73" s="3" t="s">
        <v>83</v>
      </c>
      <c r="E73" s="12"/>
      <c r="F73" s="13">
        <v>256800.0</v>
      </c>
      <c r="G73" s="12"/>
      <c r="H73" s="12"/>
      <c r="I73" s="96"/>
    </row>
    <row r="74">
      <c r="D74" s="11"/>
      <c r="E74" s="11"/>
      <c r="F74" s="3">
        <v>6.0</v>
      </c>
      <c r="G74" s="11"/>
      <c r="H74" s="11"/>
    </row>
    <row r="75">
      <c r="D75" s="11"/>
      <c r="E75" s="11"/>
      <c r="F75" s="3">
        <v>42800.0</v>
      </c>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row r="81">
      <c r="D81" s="11"/>
      <c r="E81" s="11"/>
      <c r="F81" s="11"/>
      <c r="G81" s="11"/>
      <c r="H81" s="11"/>
    </row>
    <row r="82">
      <c r="D82" s="11"/>
      <c r="E82" s="11"/>
      <c r="F82" s="11"/>
      <c r="G82" s="11"/>
      <c r="H82" s="11"/>
    </row>
  </sheetData>
  <mergeCells count="20">
    <mergeCell ref="O9:O10"/>
    <mergeCell ref="P9:P10"/>
    <mergeCell ref="Q9:Q10"/>
    <mergeCell ref="F9:F10"/>
    <mergeCell ref="F11:F12"/>
    <mergeCell ref="G11:G12"/>
    <mergeCell ref="H11:H12"/>
    <mergeCell ref="L11:L12"/>
    <mergeCell ref="M11:M12"/>
    <mergeCell ref="N11:N12"/>
    <mergeCell ref="O11:O12"/>
    <mergeCell ref="P11:P12"/>
    <mergeCell ref="Q11:Q12"/>
    <mergeCell ref="B9:B10"/>
    <mergeCell ref="G9:G10"/>
    <mergeCell ref="H9:H10"/>
    <mergeCell ref="L9:L10"/>
    <mergeCell ref="M9:M10"/>
    <mergeCell ref="N9:N10"/>
    <mergeCell ref="B11:B12"/>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10.13"/>
    <col customWidth="1" min="7" max="7" width="12.25"/>
    <col customWidth="1" min="8" max="12" width="11.13"/>
    <col customWidth="1" min="13" max="13" width="10.88"/>
    <col customWidth="1" min="14" max="14" width="10.63"/>
    <col customWidth="1" min="15" max="15" width="13.5"/>
    <col customWidth="1" min="16" max="16" width="16.88"/>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(C3*D3)+8800 </f>
        <v>17200</v>
      </c>
      <c r="F3" s="80"/>
      <c r="G3" s="112">
        <v>1282.26</v>
      </c>
      <c r="H3" s="113"/>
      <c r="I3" s="113"/>
      <c r="J3" s="113"/>
      <c r="K3" s="113"/>
      <c r="L3" s="113"/>
      <c r="M3" s="80"/>
      <c r="N3" s="80"/>
      <c r="O3" s="114">
        <f t="shared" ref="O3:O4" si="1">E3+F3+G3+H3+L3+M3-N3</f>
        <v>18482.26</v>
      </c>
      <c r="P3" s="82" t="s">
        <v>88</v>
      </c>
      <c r="Q3" s="40"/>
      <c r="R3" s="42"/>
      <c r="S3" s="42"/>
    </row>
    <row r="4">
      <c r="A4" s="29" t="s">
        <v>55</v>
      </c>
      <c r="B4" s="43" t="s">
        <v>54</v>
      </c>
      <c r="C4" s="31"/>
      <c r="D4" s="32"/>
      <c r="E4" s="32">
        <v>10000.0</v>
      </c>
      <c r="F4" s="80"/>
      <c r="G4" s="115">
        <v>638.0</v>
      </c>
      <c r="H4" s="35"/>
      <c r="I4" s="35"/>
      <c r="J4" s="35"/>
      <c r="K4" s="35"/>
      <c r="L4" s="35"/>
      <c r="M4" s="38"/>
      <c r="N4" s="38"/>
      <c r="O4" s="114">
        <f t="shared" si="1"/>
        <v>10638</v>
      </c>
      <c r="P4" s="82" t="s">
        <v>88</v>
      </c>
      <c r="Q4" s="40"/>
      <c r="R4" s="42"/>
      <c r="S4" s="42"/>
    </row>
    <row r="5">
      <c r="A5" s="29" t="s">
        <v>55</v>
      </c>
      <c r="B5" s="79" t="s">
        <v>60</v>
      </c>
      <c r="C5" s="31">
        <v>499.0</v>
      </c>
      <c r="D5" s="32">
        <v>50.0</v>
      </c>
      <c r="E5" s="32">
        <f>24950+2500+4000</f>
        <v>31450</v>
      </c>
      <c r="F5" s="80"/>
      <c r="G5" s="81">
        <v>2581.56</v>
      </c>
      <c r="H5" s="35"/>
      <c r="I5" s="35"/>
      <c r="J5" s="35"/>
      <c r="K5" s="35">
        <v>3000.0</v>
      </c>
      <c r="L5" s="35"/>
      <c r="M5" s="38"/>
      <c r="N5" s="38"/>
      <c r="O5" s="114">
        <f>E5+F5+G5+H5+L5+M5-N5+I5+J5+K5</f>
        <v>37031.56</v>
      </c>
      <c r="P5" s="82" t="s">
        <v>88</v>
      </c>
      <c r="Q5" s="40"/>
      <c r="R5" s="42"/>
      <c r="S5" s="42"/>
    </row>
    <row r="6">
      <c r="A6" s="29" t="s">
        <v>55</v>
      </c>
      <c r="B6" s="79" t="s">
        <v>56</v>
      </c>
      <c r="C6" s="31">
        <v>333.0</v>
      </c>
      <c r="D6" s="32">
        <v>120.0</v>
      </c>
      <c r="E6" s="32">
        <f>39960+2500</f>
        <v>42460</v>
      </c>
      <c r="F6" s="33"/>
      <c r="G6" s="34">
        <v>2937.6</v>
      </c>
      <c r="H6" s="35"/>
      <c r="I6" s="36"/>
      <c r="J6" s="36"/>
      <c r="K6" s="36"/>
      <c r="L6" s="36">
        <f>18000+3000</f>
        <v>21000</v>
      </c>
      <c r="M6" s="37"/>
      <c r="N6" s="38"/>
      <c r="O6" s="114">
        <f>E6+F6+G6+H6+L6+M6-N6+I6+J6</f>
        <v>66397.6</v>
      </c>
      <c r="P6" s="82" t="s">
        <v>88</v>
      </c>
      <c r="Q6" s="40"/>
      <c r="R6" s="42"/>
      <c r="S6" s="42"/>
    </row>
    <row r="7">
      <c r="A7" s="29" t="s">
        <v>55</v>
      </c>
      <c r="B7" s="43" t="s">
        <v>62</v>
      </c>
      <c r="C7" s="31">
        <v>215.0</v>
      </c>
      <c r="D7" s="32">
        <v>147.0</v>
      </c>
      <c r="E7" s="32">
        <f>C7*D7</f>
        <v>31605</v>
      </c>
      <c r="F7" s="33"/>
      <c r="G7" s="83">
        <v>2652.12</v>
      </c>
      <c r="H7" s="35">
        <f>5500+15000</f>
        <v>20500</v>
      </c>
      <c r="I7" s="36"/>
      <c r="J7" s="36"/>
      <c r="K7" s="36"/>
      <c r="L7" s="36"/>
      <c r="M7" s="37"/>
      <c r="N7" s="38"/>
      <c r="O7" s="114">
        <f>E7+F7+G7+H7+L7+M7-N7</f>
        <v>54757.12</v>
      </c>
      <c r="P7" s="82" t="s">
        <v>88</v>
      </c>
      <c r="Q7" s="40"/>
      <c r="R7" s="42"/>
      <c r="S7" s="42"/>
    </row>
    <row r="8">
      <c r="A8" s="29" t="s">
        <v>55</v>
      </c>
      <c r="B8" s="131" t="s">
        <v>57</v>
      </c>
      <c r="C8" s="46"/>
      <c r="D8" s="47"/>
      <c r="E8" s="48">
        <f>15750+13000+2000+2088</f>
        <v>32838</v>
      </c>
      <c r="F8" s="33"/>
      <c r="G8" s="49"/>
      <c r="H8" s="36">
        <f>3750+2600+546</f>
        <v>6896</v>
      </c>
      <c r="I8" s="36"/>
      <c r="J8" s="35"/>
      <c r="L8" s="36"/>
      <c r="M8" s="37"/>
      <c r="N8" s="38"/>
      <c r="O8" s="39"/>
      <c r="P8" s="40"/>
      <c r="Q8" s="40"/>
      <c r="R8" s="42"/>
      <c r="S8" s="42"/>
    </row>
    <row r="9">
      <c r="A9" s="29" t="s">
        <v>55</v>
      </c>
      <c r="B9" s="132" t="s">
        <v>58</v>
      </c>
      <c r="C9" s="51">
        <v>645.0</v>
      </c>
      <c r="D9" s="48">
        <v>100.11</v>
      </c>
      <c r="E9" s="48">
        <f>645*100</f>
        <v>64500</v>
      </c>
      <c r="F9" s="52">
        <v>5500.0</v>
      </c>
      <c r="G9" s="53">
        <v>8492.7</v>
      </c>
      <c r="H9" s="54"/>
      <c r="I9" s="55"/>
      <c r="J9" s="11"/>
      <c r="K9" s="56">
        <f>1000+500+4000+1500+6000</f>
        <v>13000</v>
      </c>
      <c r="L9" s="54">
        <f>30000</f>
        <v>30000</v>
      </c>
      <c r="M9" s="57"/>
      <c r="N9" s="58"/>
      <c r="O9" s="116">
        <f>E9+F9+E10+G9+H9+M9+N9+E8+H8+L9+K9</f>
        <v>163326.7</v>
      </c>
      <c r="P9" s="61" t="s">
        <v>88</v>
      </c>
      <c r="Q9" s="67"/>
      <c r="R9" s="117"/>
      <c r="S9" s="42"/>
    </row>
    <row r="10" ht="17.25" customHeight="1">
      <c r="A10" s="29" t="s">
        <v>55</v>
      </c>
      <c r="B10" s="62"/>
      <c r="C10" s="51">
        <v>42.0</v>
      </c>
      <c r="D10" s="48">
        <v>50.0</v>
      </c>
      <c r="E10" s="48">
        <f t="shared" ref="E10:E13" si="2">C10*D10</f>
        <v>2100</v>
      </c>
      <c r="F10" s="62"/>
      <c r="G10" s="62"/>
      <c r="H10" s="62"/>
      <c r="I10" s="55"/>
      <c r="J10" s="56"/>
      <c r="K10" s="56"/>
      <c r="L10" s="62"/>
      <c r="M10" s="62"/>
      <c r="N10" s="62"/>
      <c r="O10" s="62"/>
      <c r="P10" s="62"/>
      <c r="Q10" s="62"/>
      <c r="R10" s="42"/>
      <c r="S10" s="42"/>
    </row>
    <row r="11">
      <c r="A11" s="29" t="s">
        <v>55</v>
      </c>
      <c r="B11" s="134" t="s">
        <v>59</v>
      </c>
      <c r="C11" s="51">
        <v>351.0</v>
      </c>
      <c r="D11" s="48">
        <v>100.0</v>
      </c>
      <c r="E11" s="48">
        <f t="shared" si="2"/>
        <v>35100</v>
      </c>
      <c r="F11" s="52">
        <v>10000.0</v>
      </c>
      <c r="G11" s="53">
        <v>3158.52</v>
      </c>
      <c r="H11" s="64"/>
      <c r="I11" s="65"/>
      <c r="J11" s="65"/>
      <c r="K11" s="65"/>
      <c r="L11" s="64"/>
      <c r="M11" s="66"/>
      <c r="N11" s="58"/>
      <c r="O11" s="116">
        <f>E11+E12+F11+G11+L11+H11+M11-N11</f>
        <v>52682.52</v>
      </c>
      <c r="P11" s="61" t="s">
        <v>88</v>
      </c>
      <c r="Q11" s="67"/>
      <c r="R11" s="42"/>
      <c r="S11" s="42"/>
    </row>
    <row r="12">
      <c r="A12" s="29" t="s">
        <v>55</v>
      </c>
      <c r="B12" s="62"/>
      <c r="C12" s="51">
        <v>28.0</v>
      </c>
      <c r="D12" s="48">
        <v>158.0</v>
      </c>
      <c r="E12" s="48">
        <f t="shared" si="2"/>
        <v>4424</v>
      </c>
      <c r="F12" s="62"/>
      <c r="G12" s="62"/>
      <c r="H12" s="62"/>
      <c r="I12" s="65"/>
      <c r="J12" s="65"/>
      <c r="K12" s="65"/>
      <c r="L12" s="62"/>
      <c r="M12" s="62"/>
      <c r="N12" s="62"/>
      <c r="O12" s="62"/>
      <c r="P12" s="62"/>
      <c r="Q12" s="62"/>
      <c r="R12" s="42"/>
      <c r="S12" s="42"/>
    </row>
    <row r="13">
      <c r="A13" s="29" t="s">
        <v>55</v>
      </c>
      <c r="B13" s="84" t="s">
        <v>63</v>
      </c>
      <c r="C13" s="51">
        <v>19.0</v>
      </c>
      <c r="D13" s="48">
        <v>800.0</v>
      </c>
      <c r="E13" s="48">
        <f t="shared" si="2"/>
        <v>15200</v>
      </c>
      <c r="F13" s="33"/>
      <c r="G13" s="49">
        <v>15456.0</v>
      </c>
      <c r="H13" s="36">
        <f>400+800+1600+400+400+400+400+400+800+400+1000+800</f>
        <v>7800</v>
      </c>
      <c r="I13" s="36"/>
      <c r="J13" s="36">
        <f>20000+24500+76500+38000+56000+3500</f>
        <v>218500</v>
      </c>
      <c r="K13" s="36"/>
      <c r="L13" s="36"/>
      <c r="M13" s="49"/>
      <c r="N13" s="38"/>
      <c r="O13" s="118">
        <f>E13+K13+G13+J13+H13</f>
        <v>256956</v>
      </c>
      <c r="P13" s="40"/>
      <c r="Q13" s="40"/>
      <c r="R13" s="42"/>
      <c r="S13" s="42"/>
    </row>
    <row r="14">
      <c r="A14" s="29"/>
      <c r="B14" s="86" t="s">
        <v>81</v>
      </c>
      <c r="C14" s="51"/>
      <c r="D14" s="48"/>
      <c r="E14" s="48">
        <v>30000.0</v>
      </c>
      <c r="F14" s="33"/>
      <c r="G14" s="36"/>
      <c r="H14" s="36">
        <f>500+500+1000</f>
        <v>2000</v>
      </c>
      <c r="I14" s="36"/>
      <c r="J14" s="36"/>
      <c r="K14" s="36"/>
      <c r="L14" s="36"/>
      <c r="M14" s="37"/>
      <c r="N14" s="38"/>
      <c r="O14" s="114">
        <f>E14+F14+G14+H14+M14-N14+I14</f>
        <v>32000</v>
      </c>
      <c r="P14" s="40"/>
      <c r="Q14" s="40"/>
      <c r="R14" s="42"/>
      <c r="S14" s="42"/>
    </row>
    <row r="15">
      <c r="A15" s="29"/>
      <c r="B15" s="86"/>
      <c r="C15" s="51"/>
      <c r="D15" s="48"/>
      <c r="E15" s="48"/>
      <c r="F15" s="33"/>
      <c r="G15" s="36"/>
      <c r="H15" s="36">
        <f>25300+500+500</f>
        <v>26300</v>
      </c>
      <c r="I15" s="36"/>
      <c r="J15" s="36"/>
      <c r="K15" s="36"/>
      <c r="L15" s="36"/>
      <c r="M15" s="37"/>
      <c r="N15" s="38"/>
      <c r="O15" s="114"/>
      <c r="P15" s="40"/>
      <c r="Q15" s="40"/>
      <c r="R15" s="42"/>
      <c r="S15" s="42"/>
    </row>
    <row r="16">
      <c r="A16" s="29"/>
      <c r="B16" s="86" t="s">
        <v>65</v>
      </c>
      <c r="C16" s="51"/>
      <c r="D16" s="48"/>
      <c r="E16" s="48"/>
      <c r="F16" s="33"/>
      <c r="G16" s="36"/>
      <c r="H16" s="36"/>
      <c r="I16" s="36"/>
      <c r="J16" s="36"/>
      <c r="K16" s="36"/>
      <c r="L16" s="36"/>
      <c r="M16" s="37">
        <f t="shared" ref="M16:M17" si="3">61756.2+3705.37</f>
        <v>65461.57</v>
      </c>
      <c r="N16" s="38"/>
      <c r="O16" s="114">
        <f t="shared" ref="O16:O18" si="4">M16+G16</f>
        <v>65461.57</v>
      </c>
      <c r="P16" s="82" t="s">
        <v>88</v>
      </c>
      <c r="Q16" s="40"/>
      <c r="R16" s="42"/>
      <c r="S16" s="42"/>
    </row>
    <row r="17">
      <c r="A17" s="29"/>
      <c r="B17" s="86" t="s">
        <v>66</v>
      </c>
      <c r="C17" s="51"/>
      <c r="D17" s="48"/>
      <c r="E17" s="48"/>
      <c r="F17" s="33"/>
      <c r="G17" s="36"/>
      <c r="H17" s="36"/>
      <c r="I17" s="11"/>
      <c r="J17" s="36"/>
      <c r="K17" s="36"/>
      <c r="L17" s="36"/>
      <c r="M17" s="37">
        <f t="shared" si="3"/>
        <v>65461.57</v>
      </c>
      <c r="N17" s="38"/>
      <c r="O17" s="114">
        <f t="shared" si="4"/>
        <v>65461.57</v>
      </c>
      <c r="P17" s="82" t="s">
        <v>88</v>
      </c>
      <c r="Q17" s="40"/>
      <c r="R17" s="42"/>
      <c r="S17" s="42"/>
    </row>
    <row r="18">
      <c r="A18" s="3"/>
      <c r="B18" s="86" t="s">
        <v>67</v>
      </c>
      <c r="C18" s="87"/>
      <c r="D18" s="88"/>
      <c r="E18" s="88"/>
      <c r="F18" s="89"/>
      <c r="G18" s="36"/>
      <c r="H18" s="36"/>
      <c r="I18" s="35"/>
      <c r="J18" s="36"/>
      <c r="K18" s="36"/>
      <c r="L18" s="36"/>
      <c r="M18" s="37">
        <v>42800.0</v>
      </c>
      <c r="N18" s="38"/>
      <c r="O18" s="114">
        <f t="shared" si="4"/>
        <v>42800</v>
      </c>
      <c r="P18" s="82" t="s">
        <v>89</v>
      </c>
      <c r="Q18" s="40"/>
      <c r="R18" s="42"/>
      <c r="S18" s="42"/>
    </row>
    <row r="19">
      <c r="A19" s="119" t="s">
        <v>68</v>
      </c>
      <c r="B19" s="119"/>
      <c r="C19" s="120">
        <f>SUM(C3:C9)</f>
        <v>1776</v>
      </c>
      <c r="D19" s="121"/>
      <c r="E19" s="120">
        <f>SUM(E3:E17)</f>
        <v>316877</v>
      </c>
      <c r="F19" s="120">
        <f>SUM(F3:F13)</f>
        <v>15500</v>
      </c>
      <c r="G19" s="122">
        <f t="shared" ref="G19:H19" si="5">SUM(G3:G17)</f>
        <v>37198.76</v>
      </c>
      <c r="H19" s="120">
        <f t="shared" si="5"/>
        <v>63496</v>
      </c>
      <c r="I19" s="120">
        <f t="shared" ref="I19:M19" si="6">SUM(I3:I18)</f>
        <v>0</v>
      </c>
      <c r="J19" s="120">
        <f t="shared" si="6"/>
        <v>218500</v>
      </c>
      <c r="K19" s="120">
        <f t="shared" si="6"/>
        <v>16000</v>
      </c>
      <c r="L19" s="120">
        <f t="shared" si="6"/>
        <v>51000</v>
      </c>
      <c r="M19" s="120">
        <f t="shared" si="6"/>
        <v>173723.14</v>
      </c>
      <c r="N19" s="120">
        <f>SUM(N3:N13)</f>
        <v>0</v>
      </c>
      <c r="O19" s="39">
        <f>SUM(O3:O18)</f>
        <v>865994.9</v>
      </c>
      <c r="P19" s="123"/>
      <c r="Q19" s="40"/>
      <c r="R19" s="42"/>
      <c r="S19" s="95"/>
    </row>
    <row r="20">
      <c r="C20" s="8"/>
      <c r="D20" s="96"/>
      <c r="E20" s="97"/>
      <c r="N20" s="124"/>
      <c r="P20" s="101"/>
      <c r="Q20" s="22"/>
      <c r="R20" s="22"/>
      <c r="S20" s="22"/>
    </row>
    <row r="21">
      <c r="C21" s="102"/>
      <c r="D21" s="103"/>
      <c r="E21" s="103"/>
      <c r="P21" s="101"/>
      <c r="Q21" s="104"/>
      <c r="R21" s="22"/>
    </row>
    <row r="22">
      <c r="C22" s="102"/>
      <c r="D22" s="103" t="s">
        <v>84</v>
      </c>
      <c r="E22" s="103">
        <f>O19+'май'!O17+'апрель'!O17+'март'!O17+'февраль'!N17+'январь'!N17</f>
        <v>3983461.62</v>
      </c>
      <c r="P22" s="8"/>
      <c r="Q22" s="97"/>
    </row>
    <row r="23">
      <c r="C23" s="102"/>
      <c r="D23" s="103"/>
      <c r="E23" s="103"/>
      <c r="P23" s="8"/>
      <c r="Q23" s="97"/>
    </row>
    <row r="24">
      <c r="C24" s="102"/>
      <c r="D24" s="103" t="s">
        <v>85</v>
      </c>
      <c r="E24" s="105">
        <f>J19+K19+L19+'май'!J17+'май'!K17+'май'!L17+'апрель'!L17+'март'!J17+'март'!L17+'февраль'!I17+'февраль'!J17+'февраль'!K17+'январь'!K17</f>
        <v>677200</v>
      </c>
      <c r="F24" s="8">
        <v>6.0</v>
      </c>
      <c r="G24" s="96">
        <f>E24/F24</f>
        <v>112866.6667</v>
      </c>
      <c r="P24" s="8"/>
      <c r="Q24" s="97"/>
    </row>
    <row r="25">
      <c r="C25" s="102"/>
      <c r="D25" s="103"/>
      <c r="E25" s="105"/>
      <c r="P25" s="8"/>
      <c r="Q25" s="97"/>
    </row>
    <row r="26">
      <c r="C26" s="102"/>
      <c r="D26" s="103" t="s">
        <v>86</v>
      </c>
      <c r="E26" s="103">
        <f>I19+'март'!I17</f>
        <v>21500</v>
      </c>
      <c r="P26" s="8"/>
      <c r="Q26" s="96"/>
    </row>
    <row r="27">
      <c r="C27" s="106"/>
      <c r="D27" s="105"/>
      <c r="E27" s="105"/>
      <c r="N27" s="107"/>
    </row>
    <row r="28">
      <c r="D28" s="97" t="s">
        <v>87</v>
      </c>
      <c r="E28" s="108">
        <f>E22-E24-E26</f>
        <v>3284761.62</v>
      </c>
      <c r="F28" s="8">
        <v>6.0</v>
      </c>
      <c r="G28" s="96">
        <f>E28/F28</f>
        <v>547460.27</v>
      </c>
      <c r="P28" s="8"/>
      <c r="Q28" s="97"/>
    </row>
    <row r="29">
      <c r="D29" s="96"/>
      <c r="E29" s="96"/>
      <c r="P29" s="8"/>
      <c r="Q29" s="97"/>
    </row>
    <row r="30">
      <c r="D30" s="96"/>
      <c r="E30" s="96"/>
      <c r="P30" s="8"/>
      <c r="Q30" s="97"/>
    </row>
    <row r="31">
      <c r="D31" s="96"/>
      <c r="E31" s="96">
        <f>E22+E24+E26</f>
        <v>4682161.62</v>
      </c>
      <c r="F31" s="8">
        <v>6.0</v>
      </c>
      <c r="G31" s="96">
        <f>E31/F31</f>
        <v>780360.27</v>
      </c>
      <c r="P31" s="8"/>
      <c r="Q31" s="97"/>
    </row>
    <row r="32">
      <c r="D32" s="96"/>
      <c r="E32" s="96"/>
      <c r="P32" s="8"/>
    </row>
    <row r="33">
      <c r="D33" s="96"/>
      <c r="E33" s="96"/>
    </row>
    <row r="34">
      <c r="D34" s="109" t="s">
        <v>20</v>
      </c>
      <c r="E34" s="110">
        <f>E8+'май'!E7+'апрель'!E7+'май'!H7+'март'!E7+'февраль'!E7+'январь'!E7</f>
        <v>199062</v>
      </c>
      <c r="F34" s="3">
        <v>6.0</v>
      </c>
      <c r="G34" s="12">
        <f>E34/F34</f>
        <v>33177</v>
      </c>
      <c r="H34" s="11"/>
    </row>
    <row r="35">
      <c r="D35" s="11"/>
      <c r="E35" s="11"/>
      <c r="F35" s="11"/>
      <c r="G35" s="11"/>
      <c r="H35" s="11"/>
    </row>
    <row r="36">
      <c r="D36" s="111"/>
      <c r="E36" s="68" t="s">
        <v>70</v>
      </c>
      <c r="F36" s="68" t="s">
        <v>71</v>
      </c>
      <c r="G36" s="68" t="s">
        <v>72</v>
      </c>
      <c r="H36" s="68" t="s">
        <v>73</v>
      </c>
    </row>
    <row r="37">
      <c r="D37" s="3" t="s">
        <v>74</v>
      </c>
      <c r="E37" s="12">
        <f>8000+8000+7200+7200+7200+72000</f>
        <v>109600</v>
      </c>
      <c r="F37" s="12">
        <f>840+840+840+840+840+840+6708</f>
        <v>11748</v>
      </c>
      <c r="G37" s="12">
        <f>G3+'май'!G3+'апрель'!G3+'март'!G3+'февраль'!G3+'январь'!G3/2</f>
        <v>7103.24</v>
      </c>
      <c r="H37" s="11"/>
    </row>
    <row r="38">
      <c r="D38" s="11"/>
      <c r="E38" s="13">
        <v>6.0</v>
      </c>
      <c r="F38" s="13">
        <v>6.0</v>
      </c>
      <c r="G38" s="13">
        <v>6.0</v>
      </c>
      <c r="H38" s="11"/>
    </row>
    <row r="39">
      <c r="D39" s="11"/>
      <c r="E39" s="12">
        <f>E37/E38+G39</f>
        <v>19450.54</v>
      </c>
      <c r="F39" s="12">
        <f t="shared" ref="F39:G39" si="7">F37/F38</f>
        <v>1958</v>
      </c>
      <c r="G39" s="12">
        <f t="shared" si="7"/>
        <v>1183.873333</v>
      </c>
      <c r="H39" s="11"/>
    </row>
    <row r="40">
      <c r="D40" s="11"/>
      <c r="E40" s="12"/>
      <c r="F40" s="12"/>
      <c r="G40" s="12"/>
      <c r="H40" s="11"/>
    </row>
    <row r="41">
      <c r="D41" s="3" t="s">
        <v>75</v>
      </c>
      <c r="E41" s="12">
        <f>E4+'май'!E4+'апрель'!E4+'март'!E4+'февраль'!E4+'январь'!E4</f>
        <v>60000</v>
      </c>
      <c r="F41" s="12"/>
      <c r="G41" s="12">
        <f>G4+'май'!G4+'апрель'!G4+'март'!G4+'февраль'!G4+'январь'!G4</f>
        <v>3829.58</v>
      </c>
      <c r="H41" s="11"/>
    </row>
    <row r="42">
      <c r="D42" s="11"/>
      <c r="E42" s="13">
        <v>6.0</v>
      </c>
      <c r="F42" s="12"/>
      <c r="G42" s="13">
        <v>6.0</v>
      </c>
      <c r="H42" s="11"/>
    </row>
    <row r="43">
      <c r="D43" s="11"/>
      <c r="E43" s="12">
        <f>E41/E42+G43</f>
        <v>10638.26333</v>
      </c>
      <c r="F43" s="12"/>
      <c r="G43" s="12">
        <f>G41/G42</f>
        <v>638.2633333</v>
      </c>
      <c r="H43" s="11"/>
    </row>
    <row r="44">
      <c r="D44" s="11"/>
      <c r="E44" s="12"/>
      <c r="F44" s="12"/>
      <c r="G44" s="12"/>
      <c r="H44" s="11"/>
      <c r="I44" s="8" t="s">
        <v>76</v>
      </c>
    </row>
    <row r="45">
      <c r="D45" s="3" t="s">
        <v>77</v>
      </c>
      <c r="E45" s="12">
        <f>22950+22950+23250+23250+24850+24850</f>
        <v>142100</v>
      </c>
      <c r="F45" s="12">
        <f>43800+43800+39960+39960+39960+39960</f>
        <v>247440</v>
      </c>
      <c r="G45" s="12">
        <f>(G5+'май'!G5+'апрель'!G5+'март'!G5+'февраль'!G5+'январь'!G5)/2</f>
        <v>16054.13</v>
      </c>
      <c r="H45" s="12"/>
      <c r="I45" s="97">
        <f>54000/2</f>
        <v>27000</v>
      </c>
    </row>
    <row r="46">
      <c r="D46" s="11"/>
      <c r="E46" s="13">
        <v>6.0</v>
      </c>
      <c r="F46" s="13">
        <v>6.0</v>
      </c>
      <c r="G46" s="13">
        <v>6.0</v>
      </c>
      <c r="H46" s="12"/>
      <c r="I46" s="97">
        <v>6.0</v>
      </c>
    </row>
    <row r="47">
      <c r="D47" s="11"/>
      <c r="E47" s="12">
        <f>E45/E46+G47+I47</f>
        <v>30859.02167</v>
      </c>
      <c r="F47" s="12">
        <f>F45/F46+G47+I47</f>
        <v>48415.68833</v>
      </c>
      <c r="G47" s="12">
        <f>G45/G46</f>
        <v>2675.688333</v>
      </c>
      <c r="H47" s="12"/>
      <c r="I47" s="12">
        <f>I45/I46</f>
        <v>4500</v>
      </c>
    </row>
    <row r="48">
      <c r="D48" s="11"/>
      <c r="E48" s="12"/>
      <c r="F48" s="12"/>
      <c r="G48" s="12"/>
      <c r="H48" s="12"/>
      <c r="I48" s="96"/>
    </row>
    <row r="49">
      <c r="D49" s="3" t="s">
        <v>78</v>
      </c>
      <c r="E49" s="12"/>
      <c r="F49" s="12">
        <f>'май'!O6+'апрель'!O6+'март'!O6+'февраль'!N6+'январь'!N6+O7</f>
        <v>244993.4</v>
      </c>
      <c r="G49" s="12"/>
      <c r="H49" s="12"/>
      <c r="I49" s="96"/>
    </row>
    <row r="50">
      <c r="D50" s="11"/>
      <c r="E50" s="12"/>
      <c r="F50" s="13">
        <v>6.0</v>
      </c>
      <c r="G50" s="12"/>
      <c r="H50" s="12"/>
      <c r="I50" s="96"/>
    </row>
    <row r="51">
      <c r="D51" s="3"/>
      <c r="E51" s="12"/>
      <c r="F51" s="12">
        <f>F49/F50</f>
        <v>40832.23333</v>
      </c>
      <c r="G51" s="12"/>
      <c r="H51" s="12"/>
      <c r="I51" s="96"/>
    </row>
    <row r="52">
      <c r="D52" s="11"/>
      <c r="E52" s="12"/>
      <c r="F52" s="12"/>
      <c r="G52" s="12"/>
      <c r="H52" s="12"/>
      <c r="I52" s="96"/>
    </row>
    <row r="53">
      <c r="D53" s="3" t="s">
        <v>79</v>
      </c>
      <c r="E53" s="13">
        <f>33000+3000</f>
        <v>36000</v>
      </c>
      <c r="F53" s="12">
        <f>E9+E10+'май'!E8+'май'!E9+'май'!H8+'апрель'!E8+'апрель'!E9+'апрель'!H8+'март'!E8+'март'!E9+'февраль'!E8+'февраль'!E9+'январь'!E8+'январь'!E9</f>
        <v>407440</v>
      </c>
      <c r="G53" s="12">
        <f>G9+'май'!G8+'апрель'!G8+'март'!G8+'февраль'!G8+'январь'!G8</f>
        <v>46709.9</v>
      </c>
      <c r="H53" s="12"/>
      <c r="I53" s="96"/>
    </row>
    <row r="54">
      <c r="D54" s="11"/>
      <c r="E54" s="13">
        <v>6.0</v>
      </c>
      <c r="F54" s="13">
        <v>6.0</v>
      </c>
      <c r="G54" s="13">
        <v>6.0</v>
      </c>
      <c r="H54" s="12"/>
      <c r="I54" s="96"/>
    </row>
    <row r="55">
      <c r="D55" s="11"/>
      <c r="E55" s="12">
        <f>E53/E54</f>
        <v>6000</v>
      </c>
      <c r="F55" s="12">
        <f>F53/F54+G55</f>
        <v>75691.65</v>
      </c>
      <c r="G55" s="12">
        <f>G53/G54</f>
        <v>7784.983333</v>
      </c>
      <c r="H55" s="12"/>
      <c r="I55" s="96"/>
    </row>
    <row r="56">
      <c r="D56" s="11"/>
      <c r="E56" s="12"/>
      <c r="F56" s="12"/>
      <c r="G56" s="12"/>
      <c r="H56" s="12"/>
      <c r="I56" s="96"/>
    </row>
    <row r="57">
      <c r="D57" s="3" t="s">
        <v>80</v>
      </c>
      <c r="E57" s="12"/>
      <c r="F57" s="12">
        <f>O11+'май'!O10+'апрель'!O10+'март'!O10+'февраль'!N10+'январь'!N10</f>
        <v>314647.12</v>
      </c>
      <c r="G57" s="12"/>
      <c r="H57" s="12"/>
      <c r="I57" s="96"/>
    </row>
    <row r="58">
      <c r="D58" s="11"/>
      <c r="E58" s="12"/>
      <c r="F58" s="13">
        <v>6.0</v>
      </c>
      <c r="G58" s="12"/>
      <c r="H58" s="12"/>
      <c r="I58" s="96"/>
    </row>
    <row r="59">
      <c r="D59" s="11"/>
      <c r="E59" s="12"/>
      <c r="F59" s="12">
        <f>F57/F58</f>
        <v>52441.18667</v>
      </c>
      <c r="G59" s="12"/>
      <c r="H59" s="12"/>
      <c r="I59" s="96"/>
    </row>
    <row r="60">
      <c r="D60" s="11"/>
      <c r="E60" s="12"/>
      <c r="F60" s="12"/>
      <c r="G60" s="12"/>
      <c r="H60" s="12"/>
      <c r="I60" s="96"/>
    </row>
    <row r="61">
      <c r="D61" s="3" t="s">
        <v>16</v>
      </c>
      <c r="E61" s="13">
        <f>12800+12800+13600+13600+13600+13600</f>
        <v>80000</v>
      </c>
      <c r="F61" s="13">
        <f>14800+1917+9200+12800+3700+23800+1800</f>
        <v>68017</v>
      </c>
      <c r="G61" s="13">
        <f>2083+1690+1396+3546/2</f>
        <v>6942</v>
      </c>
      <c r="H61" s="12"/>
      <c r="I61" s="96"/>
    </row>
    <row r="62">
      <c r="D62" s="11"/>
      <c r="E62" s="13">
        <v>6.0</v>
      </c>
      <c r="F62" s="13">
        <v>6.0</v>
      </c>
      <c r="G62" s="13">
        <v>6.0</v>
      </c>
      <c r="H62" s="12"/>
      <c r="I62" s="96"/>
    </row>
    <row r="63">
      <c r="D63" s="11"/>
      <c r="E63" s="12">
        <f>E61/E62+G63</f>
        <v>14490.33333</v>
      </c>
      <c r="F63" s="12">
        <f>F61/F62+G63</f>
        <v>12493.16667</v>
      </c>
      <c r="G63" s="12">
        <f>G61/G62</f>
        <v>1157</v>
      </c>
      <c r="H63" s="12"/>
      <c r="I63" s="96"/>
    </row>
    <row r="64">
      <c r="D64" s="11"/>
      <c r="E64" s="12"/>
      <c r="F64" s="12"/>
      <c r="G64" s="12"/>
      <c r="H64" s="12"/>
      <c r="I64" s="96"/>
    </row>
    <row r="65">
      <c r="D65" s="3" t="s">
        <v>81</v>
      </c>
      <c r="E65" s="12"/>
      <c r="F65" s="12">
        <f>'январь'!N13+'февраль'!N13+'март'!O13+'апрель'!O13+'май'!O13+O14</f>
        <v>191150</v>
      </c>
      <c r="G65" s="12"/>
      <c r="H65" s="12"/>
      <c r="I65" s="96"/>
    </row>
    <row r="66">
      <c r="D66" s="11"/>
      <c r="E66" s="12"/>
      <c r="F66" s="13">
        <v>6.0</v>
      </c>
      <c r="G66" s="12"/>
      <c r="H66" s="12"/>
      <c r="I66" s="96"/>
    </row>
    <row r="67">
      <c r="D67" s="11"/>
      <c r="E67" s="12"/>
      <c r="F67" s="12">
        <f>F65/F66</f>
        <v>31858.33333</v>
      </c>
      <c r="G67" s="12"/>
      <c r="H67" s="12"/>
      <c r="I67" s="96"/>
    </row>
    <row r="68">
      <c r="D68" s="11"/>
      <c r="E68" s="12"/>
      <c r="F68" s="12"/>
      <c r="G68" s="12"/>
      <c r="H68" s="12"/>
      <c r="I68" s="96"/>
    </row>
    <row r="69">
      <c r="D69" s="3" t="s">
        <v>82</v>
      </c>
      <c r="E69" s="12"/>
      <c r="F69" s="12">
        <f>O16+'май'!O14+'апрель'!O14+'март'!O14+'февраль'!N14+'январь'!N14</f>
        <v>398975.85</v>
      </c>
      <c r="G69" s="12"/>
      <c r="H69" s="12"/>
      <c r="I69" s="96"/>
    </row>
    <row r="70">
      <c r="D70" s="11"/>
      <c r="E70" s="12"/>
      <c r="F70" s="13">
        <v>6.0</v>
      </c>
      <c r="G70" s="12"/>
      <c r="H70" s="12"/>
      <c r="I70" s="96"/>
    </row>
    <row r="71">
      <c r="D71" s="11"/>
      <c r="E71" s="12"/>
      <c r="F71" s="12">
        <f>F69/F70</f>
        <v>66495.975</v>
      </c>
      <c r="G71" s="12"/>
      <c r="H71" s="12"/>
      <c r="I71" s="96"/>
    </row>
    <row r="72">
      <c r="D72" s="11"/>
      <c r="E72" s="12"/>
      <c r="F72" s="12"/>
      <c r="G72" s="12"/>
      <c r="H72" s="12"/>
      <c r="I72" s="96"/>
    </row>
    <row r="73">
      <c r="D73" s="3" t="s">
        <v>83</v>
      </c>
      <c r="E73" s="12"/>
      <c r="F73" s="13">
        <v>256800.0</v>
      </c>
      <c r="G73" s="12"/>
      <c r="H73" s="12"/>
      <c r="I73" s="96"/>
    </row>
    <row r="74">
      <c r="D74" s="11"/>
      <c r="E74" s="11"/>
      <c r="F74" s="3">
        <v>6.0</v>
      </c>
      <c r="G74" s="11"/>
      <c r="H74" s="11"/>
    </row>
    <row r="75">
      <c r="D75" s="11"/>
      <c r="E75" s="11"/>
      <c r="F75" s="3">
        <v>42800.0</v>
      </c>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row r="81">
      <c r="D81" s="11"/>
      <c r="E81" s="11"/>
      <c r="F81" s="11"/>
      <c r="G81" s="11"/>
      <c r="H81" s="11"/>
    </row>
    <row r="82">
      <c r="D82" s="11"/>
      <c r="E82" s="11"/>
      <c r="F82" s="11"/>
      <c r="G82" s="11"/>
      <c r="H82" s="11"/>
    </row>
  </sheetData>
  <mergeCells count="20">
    <mergeCell ref="O9:O10"/>
    <mergeCell ref="P9:P10"/>
    <mergeCell ref="Q9:Q10"/>
    <mergeCell ref="F9:F10"/>
    <mergeCell ref="F11:F12"/>
    <mergeCell ref="G11:G12"/>
    <mergeCell ref="H11:H12"/>
    <mergeCell ref="L11:L12"/>
    <mergeCell ref="M11:M12"/>
    <mergeCell ref="N11:N12"/>
    <mergeCell ref="O11:O12"/>
    <mergeCell ref="P11:P12"/>
    <mergeCell ref="Q11:Q12"/>
    <mergeCell ref="B9:B10"/>
    <mergeCell ref="G9:G10"/>
    <mergeCell ref="H9:H10"/>
    <mergeCell ref="L9:L10"/>
    <mergeCell ref="M9:M10"/>
    <mergeCell ref="N9:N10"/>
    <mergeCell ref="B11:B12"/>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10.13"/>
    <col customWidth="1" min="7" max="7" width="12.25"/>
    <col customWidth="1" min="8" max="12" width="11.13"/>
    <col customWidth="1" min="13" max="13" width="10.88"/>
    <col customWidth="1" min="14" max="14" width="10.63"/>
    <col customWidth="1" min="15" max="15" width="13.5"/>
    <col customWidth="1" min="16" max="16" width="16.88"/>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(C3*D3)+8800 </f>
        <v>17200</v>
      </c>
      <c r="F3" s="80"/>
      <c r="G3" s="112">
        <v>971.28</v>
      </c>
      <c r="H3" s="113">
        <v>3200.0</v>
      </c>
      <c r="I3" s="113"/>
      <c r="J3" s="113"/>
      <c r="K3" s="113"/>
      <c r="L3" s="113"/>
      <c r="M3" s="80"/>
      <c r="N3" s="80"/>
      <c r="O3" s="39">
        <f t="shared" ref="O3:O4" si="1">E3+F3+G3+H3+L3+M3-N3</f>
        <v>21371.28</v>
      </c>
      <c r="P3" s="40"/>
      <c r="Q3" s="40"/>
      <c r="R3" s="135">
        <v>21371.0</v>
      </c>
      <c r="S3" s="42"/>
    </row>
    <row r="4">
      <c r="A4" s="29" t="s">
        <v>55</v>
      </c>
      <c r="B4" s="43" t="s">
        <v>54</v>
      </c>
      <c r="C4" s="31"/>
      <c r="D4" s="32"/>
      <c r="E4" s="32">
        <v>10000.0</v>
      </c>
      <c r="F4" s="80"/>
      <c r="G4" s="115">
        <v>636.0</v>
      </c>
      <c r="H4" s="35"/>
      <c r="I4" s="35"/>
      <c r="J4" s="35"/>
      <c r="K4" s="35"/>
      <c r="L4" s="35"/>
      <c r="M4" s="38"/>
      <c r="N4" s="38"/>
      <c r="O4" s="39">
        <f t="shared" si="1"/>
        <v>10636</v>
      </c>
      <c r="P4" s="40"/>
      <c r="Q4" s="40"/>
      <c r="R4" s="135">
        <v>10636.0</v>
      </c>
      <c r="S4" s="42"/>
    </row>
    <row r="5">
      <c r="A5" s="29" t="s">
        <v>55</v>
      </c>
      <c r="B5" s="79" t="s">
        <v>60</v>
      </c>
      <c r="C5" s="31">
        <v>499.0</v>
      </c>
      <c r="D5" s="32">
        <v>50.0</v>
      </c>
      <c r="E5" s="32">
        <f>24950+2500+4000</f>
        <v>31450</v>
      </c>
      <c r="F5" s="80"/>
      <c r="G5" s="81">
        <v>8581.14</v>
      </c>
      <c r="H5" s="35"/>
      <c r="I5" s="35"/>
      <c r="J5" s="35">
        <v>3000.0</v>
      </c>
      <c r="K5" s="35"/>
      <c r="L5" s="35"/>
      <c r="M5" s="38"/>
      <c r="N5" s="38"/>
      <c r="O5" s="39">
        <f t="shared" ref="O5:O6" si="2">E5+F5+G5+H5+L5+M5-N5+I5+J5</f>
        <v>43031.14</v>
      </c>
      <c r="P5" s="40"/>
      <c r="Q5" s="40"/>
      <c r="R5" s="135">
        <v>42931.0</v>
      </c>
      <c r="S5" s="42"/>
    </row>
    <row r="6">
      <c r="A6" s="29" t="s">
        <v>55</v>
      </c>
      <c r="B6" s="79" t="s">
        <v>56</v>
      </c>
      <c r="C6" s="31">
        <v>333.0</v>
      </c>
      <c r="D6" s="32">
        <v>120.0</v>
      </c>
      <c r="E6" s="32">
        <f>39960+2500</f>
        <v>42460</v>
      </c>
      <c r="F6" s="33"/>
      <c r="G6" s="34">
        <v>0.0</v>
      </c>
      <c r="H6" s="35"/>
      <c r="I6" s="36"/>
      <c r="J6" s="36">
        <f>6000+500</f>
        <v>6500</v>
      </c>
      <c r="K6" s="36"/>
      <c r="L6" s="36"/>
      <c r="M6" s="37"/>
      <c r="N6" s="38"/>
      <c r="O6" s="39">
        <f t="shared" si="2"/>
        <v>48960</v>
      </c>
      <c r="P6" s="40"/>
      <c r="Q6" s="40"/>
      <c r="R6" s="135">
        <v>48960.0</v>
      </c>
      <c r="S6" s="42"/>
    </row>
    <row r="7">
      <c r="A7" s="29" t="s">
        <v>55</v>
      </c>
      <c r="B7" s="43" t="s">
        <v>62</v>
      </c>
      <c r="C7" s="31">
        <v>215.0</v>
      </c>
      <c r="D7" s="32">
        <v>147.0</v>
      </c>
      <c r="E7" s="32">
        <f>C7*D7</f>
        <v>31605</v>
      </c>
      <c r="F7" s="33"/>
      <c r="G7" s="83">
        <v>2097.48</v>
      </c>
      <c r="H7" s="35">
        <f>5000+5000+500</f>
        <v>10500</v>
      </c>
      <c r="I7" s="36"/>
      <c r="J7" s="36"/>
      <c r="K7" s="36"/>
      <c r="L7" s="36"/>
      <c r="M7" s="37"/>
      <c r="N7" s="38"/>
      <c r="O7" s="39">
        <f>E7+F7+G7+H7+L7+M7-N7</f>
        <v>44202.48</v>
      </c>
      <c r="P7" s="40"/>
      <c r="Q7" s="40"/>
      <c r="R7" s="135">
        <v>44202.0</v>
      </c>
      <c r="S7" s="42"/>
    </row>
    <row r="8">
      <c r="A8" s="29" t="s">
        <v>55</v>
      </c>
      <c r="B8" s="131" t="s">
        <v>57</v>
      </c>
      <c r="C8" s="46"/>
      <c r="D8" s="47"/>
      <c r="E8" s="48">
        <f>15750+10400+2000+2088</f>
        <v>30238</v>
      </c>
      <c r="F8" s="33"/>
      <c r="G8" s="49"/>
      <c r="H8" s="36"/>
      <c r="I8" s="36"/>
      <c r="J8" s="36"/>
      <c r="K8" s="36"/>
      <c r="L8" s="36"/>
      <c r="M8" s="37"/>
      <c r="N8" s="38"/>
      <c r="O8" s="39"/>
      <c r="P8" s="40"/>
      <c r="Q8" s="40"/>
      <c r="R8" s="42"/>
      <c r="S8" s="42"/>
    </row>
    <row r="9">
      <c r="A9" s="29" t="s">
        <v>55</v>
      </c>
      <c r="B9" s="132" t="s">
        <v>58</v>
      </c>
      <c r="C9" s="51">
        <v>645.0</v>
      </c>
      <c r="D9" s="48">
        <v>100.11</v>
      </c>
      <c r="E9" s="48">
        <f>645*100</f>
        <v>64500</v>
      </c>
      <c r="F9" s="52">
        <v>5500.0</v>
      </c>
      <c r="G9" s="53">
        <v>9207.12</v>
      </c>
      <c r="H9" s="54"/>
      <c r="I9" s="55"/>
      <c r="J9" s="55"/>
      <c r="K9" s="55">
        <v>5000.0</v>
      </c>
      <c r="L9" s="54">
        <f>6000+24000</f>
        <v>30000</v>
      </c>
      <c r="M9" s="57"/>
      <c r="N9" s="58"/>
      <c r="O9" s="59">
        <f>E9+F9+E10+G9+H9+M9+L9-N9+E8</f>
        <v>141545.12</v>
      </c>
      <c r="P9" s="67"/>
      <c r="Q9" s="67"/>
      <c r="R9" s="136">
        <v>106545.0</v>
      </c>
      <c r="S9" s="42"/>
    </row>
    <row r="10">
      <c r="A10" s="29" t="s">
        <v>55</v>
      </c>
      <c r="B10" s="62"/>
      <c r="C10" s="51">
        <v>42.0</v>
      </c>
      <c r="D10" s="48">
        <v>50.0</v>
      </c>
      <c r="E10" s="48">
        <f t="shared" ref="E10:E13" si="3">C10*D10</f>
        <v>2100</v>
      </c>
      <c r="F10" s="62"/>
      <c r="G10" s="62"/>
      <c r="H10" s="62"/>
      <c r="I10" s="55"/>
      <c r="J10" s="55"/>
      <c r="K10" s="55"/>
      <c r="L10" s="62"/>
      <c r="M10" s="62"/>
      <c r="N10" s="62"/>
      <c r="O10" s="62"/>
      <c r="P10" s="62"/>
      <c r="Q10" s="62"/>
      <c r="R10" s="42"/>
      <c r="S10" s="42"/>
    </row>
    <row r="11">
      <c r="A11" s="29" t="s">
        <v>55</v>
      </c>
      <c r="B11" s="134" t="s">
        <v>59</v>
      </c>
      <c r="C11" s="51">
        <v>351.0</v>
      </c>
      <c r="D11" s="48">
        <v>100.0</v>
      </c>
      <c r="E11" s="48">
        <f t="shared" si="3"/>
        <v>35100</v>
      </c>
      <c r="F11" s="52">
        <v>10000.0</v>
      </c>
      <c r="G11" s="53">
        <v>3117.96</v>
      </c>
      <c r="H11" s="64"/>
      <c r="I11" s="65"/>
      <c r="J11" s="65"/>
      <c r="K11" s="65"/>
      <c r="L11" s="64"/>
      <c r="M11" s="66"/>
      <c r="N11" s="58"/>
      <c r="O11" s="59">
        <f>E11+E12+F11+G11+L11+H11+M11-N11</f>
        <v>52641.96</v>
      </c>
      <c r="P11" s="67" t="s">
        <v>90</v>
      </c>
      <c r="Q11" s="67"/>
      <c r="R11" s="135">
        <v>52642.0</v>
      </c>
      <c r="S11" s="42"/>
    </row>
    <row r="12">
      <c r="A12" s="29" t="s">
        <v>55</v>
      </c>
      <c r="B12" s="62"/>
      <c r="C12" s="51">
        <v>28.0</v>
      </c>
      <c r="D12" s="48">
        <v>158.0</v>
      </c>
      <c r="E12" s="48">
        <f t="shared" si="3"/>
        <v>4424</v>
      </c>
      <c r="F12" s="62"/>
      <c r="G12" s="62"/>
      <c r="H12" s="62"/>
      <c r="I12" s="65"/>
      <c r="J12" s="65"/>
      <c r="K12" s="65"/>
      <c r="L12" s="62"/>
      <c r="M12" s="62"/>
      <c r="N12" s="62"/>
      <c r="O12" s="62"/>
      <c r="P12" s="62"/>
      <c r="Q12" s="62"/>
      <c r="R12" s="42"/>
      <c r="S12" s="42"/>
    </row>
    <row r="13">
      <c r="A13" s="29" t="s">
        <v>55</v>
      </c>
      <c r="B13" s="84" t="s">
        <v>63</v>
      </c>
      <c r="C13" s="51">
        <v>18.0</v>
      </c>
      <c r="D13" s="48">
        <v>800.0</v>
      </c>
      <c r="E13" s="48">
        <f t="shared" si="3"/>
        <v>14400</v>
      </c>
      <c r="F13" s="33"/>
      <c r="G13" s="49">
        <v>10873.6</v>
      </c>
      <c r="H13" s="36">
        <v>500.0</v>
      </c>
      <c r="I13" s="36"/>
      <c r="J13" s="36">
        <f>40000+25000+10500+79500</f>
        <v>155000</v>
      </c>
      <c r="K13" s="36"/>
      <c r="L13" s="36"/>
      <c r="M13" s="49"/>
      <c r="N13" s="38"/>
      <c r="O13" s="137">
        <f>E13+K13+G13+J13+H13</f>
        <v>180773.6</v>
      </c>
      <c r="P13" s="40"/>
      <c r="Q13" s="40"/>
      <c r="R13" s="42"/>
      <c r="S13" s="42"/>
    </row>
    <row r="14">
      <c r="A14" s="29"/>
      <c r="B14" s="86" t="s">
        <v>81</v>
      </c>
      <c r="C14" s="51"/>
      <c r="D14" s="48"/>
      <c r="E14" s="48">
        <v>30000.0</v>
      </c>
      <c r="F14" s="33"/>
      <c r="G14" s="36"/>
      <c r="H14" s="36">
        <f>500+500+500+500</f>
        <v>2000</v>
      </c>
      <c r="I14" s="36">
        <v>17200.0</v>
      </c>
      <c r="J14" s="36"/>
      <c r="K14" s="36"/>
      <c r="L14" s="36"/>
      <c r="M14" s="37"/>
      <c r="N14" s="38"/>
      <c r="O14" s="138">
        <f>E14+F14+G14+H14+M14-N14+I14</f>
        <v>49200</v>
      </c>
      <c r="P14" s="40"/>
      <c r="Q14" s="40"/>
      <c r="R14" s="42"/>
      <c r="S14" s="42"/>
    </row>
    <row r="15">
      <c r="A15" s="29"/>
      <c r="B15" s="86" t="s">
        <v>65</v>
      </c>
      <c r="C15" s="51"/>
      <c r="D15" s="48"/>
      <c r="E15" s="48"/>
      <c r="F15" s="33"/>
      <c r="G15" s="36"/>
      <c r="H15" s="36"/>
      <c r="I15" s="36"/>
      <c r="J15" s="36"/>
      <c r="K15" s="36"/>
      <c r="L15" s="36"/>
      <c r="M15" s="37">
        <f t="shared" ref="M15:M16" si="4">61756.2+225+3718.87</f>
        <v>65700.07</v>
      </c>
      <c r="N15" s="38"/>
      <c r="O15" s="39">
        <f t="shared" ref="O15:O17" si="5">M15+G15</f>
        <v>65700.07</v>
      </c>
      <c r="P15" s="40"/>
      <c r="Q15" s="40"/>
      <c r="R15" s="135">
        <v>65700.0</v>
      </c>
      <c r="S15" s="42"/>
    </row>
    <row r="16">
      <c r="A16" s="29"/>
      <c r="B16" s="86" t="s">
        <v>66</v>
      </c>
      <c r="C16" s="51"/>
      <c r="D16" s="48"/>
      <c r="E16" s="48"/>
      <c r="F16" s="33"/>
      <c r="G16" s="36"/>
      <c r="H16" s="36"/>
      <c r="J16" s="36"/>
      <c r="K16" s="36"/>
      <c r="L16" s="36"/>
      <c r="M16" s="37">
        <f t="shared" si="4"/>
        <v>65700.07</v>
      </c>
      <c r="N16" s="38"/>
      <c r="O16" s="39">
        <f t="shared" si="5"/>
        <v>65700.07</v>
      </c>
      <c r="P16" s="40"/>
      <c r="Q16" s="40"/>
      <c r="R16" s="135">
        <v>65700.0</v>
      </c>
      <c r="S16" s="42"/>
    </row>
    <row r="17">
      <c r="A17" s="3"/>
      <c r="B17" s="86" t="s">
        <v>67</v>
      </c>
      <c r="C17" s="87"/>
      <c r="D17" s="88"/>
      <c r="E17" s="88"/>
      <c r="F17" s="89"/>
      <c r="G17" s="36"/>
      <c r="H17" s="36"/>
      <c r="I17" s="36"/>
      <c r="J17" s="36"/>
      <c r="K17" s="36"/>
      <c r="L17" s="36"/>
      <c r="M17" s="37">
        <v>42800.0</v>
      </c>
      <c r="N17" s="38"/>
      <c r="O17" s="39">
        <f t="shared" si="5"/>
        <v>42800</v>
      </c>
      <c r="P17" s="40"/>
      <c r="Q17" s="40"/>
      <c r="R17" s="135">
        <v>42800.0</v>
      </c>
      <c r="S17" s="42"/>
    </row>
    <row r="18">
      <c r="A18" s="119" t="s">
        <v>68</v>
      </c>
      <c r="B18" s="119"/>
      <c r="C18" s="120">
        <f>SUM(C3:C9)</f>
        <v>1776</v>
      </c>
      <c r="D18" s="121"/>
      <c r="E18" s="120">
        <f>SUM(E3:E16)</f>
        <v>313477</v>
      </c>
      <c r="F18" s="120">
        <f>SUM(F3:F13)</f>
        <v>15500</v>
      </c>
      <c r="G18" s="122">
        <f t="shared" ref="G18:H18" si="6">SUM(G3:G16)</f>
        <v>35484.58</v>
      </c>
      <c r="H18" s="120">
        <f t="shared" si="6"/>
        <v>16200</v>
      </c>
      <c r="I18" s="120">
        <f t="shared" ref="I18:M18" si="7">SUM(I3:I17)</f>
        <v>17200</v>
      </c>
      <c r="J18" s="120">
        <f t="shared" si="7"/>
        <v>164500</v>
      </c>
      <c r="K18" s="120">
        <f t="shared" si="7"/>
        <v>5000</v>
      </c>
      <c r="L18" s="120">
        <f t="shared" si="7"/>
        <v>30000</v>
      </c>
      <c r="M18" s="120">
        <f t="shared" si="7"/>
        <v>174200.14</v>
      </c>
      <c r="N18" s="120">
        <f>SUM(N3:N13)</f>
        <v>0</v>
      </c>
      <c r="O18" s="39">
        <f>SUM(O3:O17)</f>
        <v>766561.72</v>
      </c>
      <c r="P18" s="123"/>
      <c r="Q18" s="40"/>
      <c r="R18" s="42">
        <f>SUM(R3:R17)</f>
        <v>501487</v>
      </c>
      <c r="S18" s="95"/>
    </row>
    <row r="19">
      <c r="C19" s="8"/>
      <c r="D19" s="96"/>
      <c r="E19" s="97"/>
      <c r="N19" s="124"/>
      <c r="P19" s="101"/>
      <c r="Q19" s="22"/>
      <c r="R19" s="22"/>
      <c r="S19" s="22"/>
    </row>
    <row r="20">
      <c r="C20" s="102"/>
      <c r="D20" s="103"/>
      <c r="E20" s="103"/>
      <c r="P20" s="101"/>
      <c r="Q20" s="104"/>
      <c r="R20" s="22"/>
    </row>
    <row r="21">
      <c r="C21" s="102"/>
      <c r="D21" s="103" t="s">
        <v>84</v>
      </c>
      <c r="E21" s="103">
        <f>O18+'май'!O17+'апрель'!O17+'март'!O17+'февраль'!N17+'январь'!N17</f>
        <v>3884028.44</v>
      </c>
      <c r="P21" s="8"/>
      <c r="Q21" s="97"/>
    </row>
    <row r="22">
      <c r="C22" s="102"/>
      <c r="D22" s="103"/>
      <c r="E22" s="103"/>
      <c r="P22" s="8"/>
      <c r="Q22" s="97"/>
    </row>
    <row r="23">
      <c r="C23" s="102"/>
      <c r="D23" s="103" t="s">
        <v>85</v>
      </c>
      <c r="E23" s="105">
        <f>J18+K18+L18+'май'!J17+'май'!K17+'май'!L17+'апрель'!L17+'март'!J17+'март'!L17+'февраль'!I17+'февраль'!J17+'февраль'!K17+'январь'!K17</f>
        <v>591200</v>
      </c>
      <c r="F23" s="8">
        <v>6.0</v>
      </c>
      <c r="G23" s="96">
        <f>E23/F23</f>
        <v>98533.33333</v>
      </c>
      <c r="P23" s="8"/>
      <c r="Q23" s="97"/>
    </row>
    <row r="24">
      <c r="C24" s="102"/>
      <c r="D24" s="103"/>
      <c r="E24" s="105"/>
      <c r="P24" s="8"/>
      <c r="Q24" s="97"/>
    </row>
    <row r="25">
      <c r="C25" s="102"/>
      <c r="D25" s="103" t="s">
        <v>86</v>
      </c>
      <c r="E25" s="103">
        <f>I18+'март'!I17</f>
        <v>38700</v>
      </c>
      <c r="P25" s="8"/>
      <c r="Q25" s="96"/>
    </row>
    <row r="26">
      <c r="C26" s="106"/>
      <c r="D26" s="105"/>
      <c r="E26" s="105"/>
      <c r="N26" s="107"/>
    </row>
    <row r="27">
      <c r="D27" s="97" t="s">
        <v>87</v>
      </c>
      <c r="E27" s="108">
        <f>E21-E23-E25</f>
        <v>3254128.44</v>
      </c>
      <c r="F27" s="8">
        <v>6.0</v>
      </c>
      <c r="G27" s="96">
        <f>E27/F27</f>
        <v>542354.74</v>
      </c>
      <c r="P27" s="8"/>
      <c r="Q27" s="97"/>
    </row>
    <row r="28">
      <c r="D28" s="96"/>
      <c r="E28" s="96"/>
      <c r="P28" s="8"/>
      <c r="Q28" s="97"/>
    </row>
    <row r="29">
      <c r="D29" s="96"/>
      <c r="E29" s="96"/>
      <c r="P29" s="8"/>
      <c r="Q29" s="97"/>
    </row>
    <row r="30">
      <c r="D30" s="96"/>
      <c r="E30" s="96">
        <f>E21+E23+E25</f>
        <v>4513928.44</v>
      </c>
      <c r="F30" s="8">
        <v>6.0</v>
      </c>
      <c r="G30" s="96">
        <f>E30/F30</f>
        <v>752321.4067</v>
      </c>
      <c r="P30" s="8"/>
      <c r="Q30" s="97"/>
    </row>
    <row r="31">
      <c r="D31" s="96"/>
      <c r="E31" s="96"/>
      <c r="P31" s="8"/>
    </row>
    <row r="32">
      <c r="D32" s="96"/>
      <c r="E32" s="96"/>
    </row>
    <row r="33">
      <c r="D33" s="109" t="s">
        <v>20</v>
      </c>
      <c r="E33" s="110">
        <f>E8+'май'!E7+'апрель'!E7+'май'!H7+'март'!E7+'февраль'!E7+'январь'!E7</f>
        <v>196462</v>
      </c>
      <c r="F33" s="3">
        <v>6.0</v>
      </c>
      <c r="G33" s="12">
        <f>E33/F33</f>
        <v>32743.66667</v>
      </c>
      <c r="H33" s="11"/>
    </row>
    <row r="34">
      <c r="D34" s="11"/>
      <c r="E34" s="11"/>
      <c r="F34" s="11"/>
      <c r="G34" s="11"/>
      <c r="H34" s="11"/>
    </row>
    <row r="35">
      <c r="D35" s="111"/>
      <c r="E35" s="68" t="s">
        <v>70</v>
      </c>
      <c r="F35" s="68" t="s">
        <v>71</v>
      </c>
      <c r="G35" s="68" t="s">
        <v>72</v>
      </c>
      <c r="H35" s="68" t="s">
        <v>73</v>
      </c>
    </row>
    <row r="36">
      <c r="D36" s="3" t="s">
        <v>74</v>
      </c>
      <c r="E36" s="12">
        <f>8000+8000+7200+7200+7200+72000</f>
        <v>109600</v>
      </c>
      <c r="F36" s="12">
        <f>840+840+840+840+840+840+6708</f>
        <v>11748</v>
      </c>
      <c r="G36" s="12">
        <f>G3+'май'!G3+'апрель'!G3+'март'!G3+'февраль'!G3+'январь'!G3/2</f>
        <v>6792.26</v>
      </c>
      <c r="H36" s="11"/>
    </row>
    <row r="37">
      <c r="D37" s="11"/>
      <c r="E37" s="13">
        <v>6.0</v>
      </c>
      <c r="F37" s="13">
        <v>6.0</v>
      </c>
      <c r="G37" s="13">
        <v>6.0</v>
      </c>
      <c r="H37" s="11"/>
    </row>
    <row r="38">
      <c r="D38" s="11"/>
      <c r="E38" s="12">
        <f>E36/E37+G38</f>
        <v>19398.71</v>
      </c>
      <c r="F38" s="12">
        <f t="shared" ref="F38:G38" si="8">F36/F37</f>
        <v>1958</v>
      </c>
      <c r="G38" s="12">
        <f t="shared" si="8"/>
        <v>1132.043333</v>
      </c>
      <c r="H38" s="11"/>
    </row>
    <row r="39">
      <c r="D39" s="11"/>
      <c r="E39" s="12"/>
      <c r="F39" s="12"/>
      <c r="G39" s="12"/>
      <c r="H39" s="11"/>
    </row>
    <row r="40">
      <c r="D40" s="3" t="s">
        <v>75</v>
      </c>
      <c r="E40" s="12">
        <f>E4+'май'!E4+'апрель'!E4+'март'!E4+'февраль'!E4+'январь'!E4</f>
        <v>60000</v>
      </c>
      <c r="F40" s="12"/>
      <c r="G40" s="12">
        <f>G4+'май'!G4+'апрель'!G4+'март'!G4+'февраль'!G4+'январь'!G4</f>
        <v>3827.58</v>
      </c>
      <c r="H40" s="11"/>
    </row>
    <row r="41">
      <c r="D41" s="11"/>
      <c r="E41" s="13">
        <v>6.0</v>
      </c>
      <c r="F41" s="12"/>
      <c r="G41" s="13">
        <v>6.0</v>
      </c>
      <c r="H41" s="11"/>
    </row>
    <row r="42">
      <c r="D42" s="11"/>
      <c r="E42" s="12">
        <f>E40/E41+G42</f>
        <v>10637.93</v>
      </c>
      <c r="F42" s="12"/>
      <c r="G42" s="12">
        <f>G40/G41</f>
        <v>637.93</v>
      </c>
      <c r="H42" s="11"/>
    </row>
    <row r="43">
      <c r="D43" s="11"/>
      <c r="E43" s="12"/>
      <c r="F43" s="12"/>
      <c r="G43" s="12"/>
      <c r="H43" s="11"/>
      <c r="I43" s="8" t="s">
        <v>76</v>
      </c>
    </row>
    <row r="44">
      <c r="D44" s="3" t="s">
        <v>77</v>
      </c>
      <c r="E44" s="12">
        <f>22950+22950+23250+23250+24850+24850</f>
        <v>142100</v>
      </c>
      <c r="F44" s="12">
        <f>43800+43800+39960+39960+39960+39960</f>
        <v>247440</v>
      </c>
      <c r="G44" s="12">
        <f>(G5+'май'!G5+'апрель'!G5+'март'!G5+'февраль'!G5+'январь'!G5)/2</f>
        <v>19053.92</v>
      </c>
      <c r="H44" s="12"/>
      <c r="I44" s="97">
        <f>54000/2</f>
        <v>27000</v>
      </c>
    </row>
    <row r="45">
      <c r="D45" s="11"/>
      <c r="E45" s="13">
        <v>6.0</v>
      </c>
      <c r="F45" s="13">
        <v>6.0</v>
      </c>
      <c r="G45" s="13">
        <v>6.0</v>
      </c>
      <c r="H45" s="12"/>
      <c r="I45" s="97">
        <v>6.0</v>
      </c>
    </row>
    <row r="46">
      <c r="D46" s="11"/>
      <c r="E46" s="12">
        <f>E44/E45+G46+I46</f>
        <v>31358.98667</v>
      </c>
      <c r="F46" s="12">
        <f>F44/F45+G46+I46</f>
        <v>48915.65333</v>
      </c>
      <c r="G46" s="12">
        <f>G44/G45</f>
        <v>3175.653333</v>
      </c>
      <c r="H46" s="12"/>
      <c r="I46" s="12">
        <f>I44/I45</f>
        <v>4500</v>
      </c>
    </row>
    <row r="47">
      <c r="D47" s="11"/>
      <c r="E47" s="12"/>
      <c r="F47" s="12"/>
      <c r="G47" s="12"/>
      <c r="H47" s="12"/>
      <c r="I47" s="96"/>
    </row>
    <row r="48">
      <c r="D48" s="3" t="s">
        <v>78</v>
      </c>
      <c r="E48" s="12"/>
      <c r="F48" s="12">
        <f>'май'!O6+'апрель'!O6+'март'!O6+'февраль'!N6+'январь'!N6+O7</f>
        <v>234438.76</v>
      </c>
      <c r="G48" s="12"/>
      <c r="H48" s="12"/>
      <c r="I48" s="96"/>
    </row>
    <row r="49">
      <c r="D49" s="11"/>
      <c r="E49" s="12"/>
      <c r="F49" s="13">
        <v>6.0</v>
      </c>
      <c r="G49" s="12"/>
      <c r="H49" s="12"/>
      <c r="I49" s="96"/>
    </row>
    <row r="50">
      <c r="D50" s="3"/>
      <c r="E50" s="12"/>
      <c r="F50" s="12">
        <f>F48/F49</f>
        <v>39073.12667</v>
      </c>
      <c r="G50" s="12"/>
      <c r="H50" s="12"/>
      <c r="I50" s="96"/>
    </row>
    <row r="51">
      <c r="D51" s="11"/>
      <c r="E51" s="12"/>
      <c r="F51" s="12"/>
      <c r="G51" s="12"/>
      <c r="H51" s="12"/>
      <c r="I51" s="96"/>
    </row>
    <row r="52">
      <c r="D52" s="3" t="s">
        <v>79</v>
      </c>
      <c r="E52" s="13">
        <f>33000+3000</f>
        <v>36000</v>
      </c>
      <c r="F52" s="12">
        <f>E9+E10+'май'!E8+'май'!E9+'май'!H8+'апрель'!E8+'апрель'!E9+'апрель'!H8+'март'!E8+'март'!E9+'февраль'!E8+'февраль'!E9+'январь'!E8+'январь'!E9</f>
        <v>407440</v>
      </c>
      <c r="G52" s="12">
        <f>G9+'май'!G8+'апрель'!G8+'март'!G8+'февраль'!G8+'январь'!G8</f>
        <v>47424.32</v>
      </c>
      <c r="H52" s="12"/>
      <c r="I52" s="96"/>
    </row>
    <row r="53">
      <c r="D53" s="11"/>
      <c r="E53" s="13">
        <v>6.0</v>
      </c>
      <c r="F53" s="13">
        <v>6.0</v>
      </c>
      <c r="G53" s="13">
        <v>6.0</v>
      </c>
      <c r="H53" s="12"/>
      <c r="I53" s="96"/>
    </row>
    <row r="54">
      <c r="D54" s="11"/>
      <c r="E54" s="12">
        <f>E52/E53</f>
        <v>6000</v>
      </c>
      <c r="F54" s="12">
        <f>F52/F53+G54</f>
        <v>75810.72</v>
      </c>
      <c r="G54" s="12">
        <f>G52/G53</f>
        <v>7904.053333</v>
      </c>
      <c r="H54" s="12"/>
      <c r="I54" s="96"/>
    </row>
    <row r="55">
      <c r="D55" s="11"/>
      <c r="E55" s="12"/>
      <c r="F55" s="12"/>
      <c r="G55" s="12"/>
      <c r="H55" s="12"/>
      <c r="I55" s="96"/>
    </row>
    <row r="56">
      <c r="D56" s="3" t="s">
        <v>80</v>
      </c>
      <c r="E56" s="12"/>
      <c r="F56" s="12">
        <f>O11+'май'!O10+'апрель'!O10+'март'!O10+'февраль'!N10+'январь'!N10</f>
        <v>314606.56</v>
      </c>
      <c r="G56" s="12"/>
      <c r="H56" s="12"/>
      <c r="I56" s="96"/>
    </row>
    <row r="57">
      <c r="D57" s="11"/>
      <c r="E57" s="12"/>
      <c r="F57" s="13">
        <v>6.0</v>
      </c>
      <c r="G57" s="12"/>
      <c r="H57" s="12"/>
      <c r="I57" s="96"/>
    </row>
    <row r="58">
      <c r="D58" s="11"/>
      <c r="E58" s="12"/>
      <c r="F58" s="12">
        <f>F56/F57</f>
        <v>52434.42667</v>
      </c>
      <c r="G58" s="12"/>
      <c r="H58" s="12"/>
      <c r="I58" s="96"/>
    </row>
    <row r="59">
      <c r="D59" s="11"/>
      <c r="E59" s="12"/>
      <c r="F59" s="12"/>
      <c r="G59" s="12"/>
      <c r="H59" s="12"/>
      <c r="I59" s="96"/>
    </row>
    <row r="60">
      <c r="D60" s="3" t="s">
        <v>16</v>
      </c>
      <c r="E60" s="13">
        <f>12800+12800+13600+13600+13600+13600</f>
        <v>80000</v>
      </c>
      <c r="F60" s="13">
        <f>14800+1917+9200+12800+3700+23800+1800</f>
        <v>68017</v>
      </c>
      <c r="G60" s="13">
        <f>2083+1690+1396+3546/2</f>
        <v>6942</v>
      </c>
      <c r="H60" s="12"/>
      <c r="I60" s="96"/>
    </row>
    <row r="61">
      <c r="D61" s="11"/>
      <c r="E61" s="13">
        <v>6.0</v>
      </c>
      <c r="F61" s="13">
        <v>6.0</v>
      </c>
      <c r="G61" s="13">
        <v>6.0</v>
      </c>
      <c r="H61" s="12"/>
      <c r="I61" s="96"/>
    </row>
    <row r="62">
      <c r="D62" s="11"/>
      <c r="E62" s="12">
        <f>E60/E61+G62</f>
        <v>14490.33333</v>
      </c>
      <c r="F62" s="12">
        <f>F60/F61+G62</f>
        <v>12493.16667</v>
      </c>
      <c r="G62" s="12">
        <f>G60/G61</f>
        <v>1157</v>
      </c>
      <c r="H62" s="12"/>
      <c r="I62" s="96"/>
    </row>
    <row r="63">
      <c r="D63" s="11"/>
      <c r="E63" s="12"/>
      <c r="F63" s="12"/>
      <c r="G63" s="12"/>
      <c r="H63" s="12"/>
      <c r="I63" s="96"/>
    </row>
    <row r="64">
      <c r="D64" s="3" t="s">
        <v>81</v>
      </c>
      <c r="E64" s="12"/>
      <c r="F64" s="12">
        <f>'январь'!N13+'февраль'!N13+'март'!O13+'апрель'!O13+'май'!O13+O14</f>
        <v>208350</v>
      </c>
      <c r="G64" s="12"/>
      <c r="H64" s="12"/>
      <c r="I64" s="96"/>
    </row>
    <row r="65">
      <c r="D65" s="11"/>
      <c r="E65" s="12"/>
      <c r="F65" s="13">
        <v>6.0</v>
      </c>
      <c r="G65" s="12"/>
      <c r="H65" s="12"/>
      <c r="I65" s="96"/>
    </row>
    <row r="66">
      <c r="D66" s="11"/>
      <c r="E66" s="12"/>
      <c r="F66" s="12">
        <f>F64/F65</f>
        <v>34725</v>
      </c>
      <c r="G66" s="12"/>
      <c r="H66" s="12"/>
      <c r="I66" s="96"/>
    </row>
    <row r="67">
      <c r="D67" s="11"/>
      <c r="E67" s="12"/>
      <c r="F67" s="12"/>
      <c r="G67" s="12"/>
      <c r="H67" s="12"/>
      <c r="I67" s="96"/>
    </row>
    <row r="68">
      <c r="D68" s="3" t="s">
        <v>82</v>
      </c>
      <c r="E68" s="12"/>
      <c r="F68" s="12">
        <f>O15+'май'!O14+'апрель'!O14+'март'!O14+'февраль'!N14+'январь'!N14</f>
        <v>399214.35</v>
      </c>
      <c r="G68" s="12"/>
      <c r="H68" s="12"/>
      <c r="I68" s="96"/>
    </row>
    <row r="69">
      <c r="D69" s="11"/>
      <c r="E69" s="12"/>
      <c r="F69" s="13">
        <v>6.0</v>
      </c>
      <c r="G69" s="12"/>
      <c r="H69" s="12"/>
      <c r="I69" s="96"/>
    </row>
    <row r="70">
      <c r="D70" s="11"/>
      <c r="E70" s="12"/>
      <c r="F70" s="12">
        <f>F68/F69</f>
        <v>66535.725</v>
      </c>
      <c r="G70" s="12"/>
      <c r="H70" s="12"/>
      <c r="I70" s="96"/>
    </row>
    <row r="71">
      <c r="D71" s="11"/>
      <c r="E71" s="12"/>
      <c r="F71" s="12"/>
      <c r="G71" s="12"/>
      <c r="H71" s="12"/>
      <c r="I71" s="96"/>
    </row>
    <row r="72">
      <c r="D72" s="3" t="s">
        <v>83</v>
      </c>
      <c r="E72" s="12"/>
      <c r="F72" s="13">
        <v>256800.0</v>
      </c>
      <c r="G72" s="12"/>
      <c r="H72" s="12"/>
      <c r="I72" s="96"/>
    </row>
    <row r="73">
      <c r="D73" s="11"/>
      <c r="E73" s="11"/>
      <c r="F73" s="3">
        <v>6.0</v>
      </c>
      <c r="G73" s="11"/>
      <c r="H73" s="11"/>
    </row>
    <row r="74">
      <c r="D74" s="11"/>
      <c r="E74" s="11"/>
      <c r="F74" s="3">
        <v>42800.0</v>
      </c>
      <c r="G74" s="11"/>
      <c r="H74" s="11"/>
    </row>
    <row r="75">
      <c r="D75" s="11"/>
      <c r="E75" s="11"/>
      <c r="F75" s="11"/>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row r="81">
      <c r="D81" s="11"/>
      <c r="E81" s="11"/>
      <c r="F81" s="11"/>
      <c r="G81" s="11"/>
      <c r="H81" s="11"/>
    </row>
  </sheetData>
  <mergeCells count="20">
    <mergeCell ref="O9:O10"/>
    <mergeCell ref="P9:P10"/>
    <mergeCell ref="Q9:Q10"/>
    <mergeCell ref="F9:F10"/>
    <mergeCell ref="F11:F12"/>
    <mergeCell ref="G11:G12"/>
    <mergeCell ref="H11:H12"/>
    <mergeCell ref="L11:L12"/>
    <mergeCell ref="M11:M12"/>
    <mergeCell ref="N11:N12"/>
    <mergeCell ref="O11:O12"/>
    <mergeCell ref="P11:P12"/>
    <mergeCell ref="Q11:Q12"/>
    <mergeCell ref="B9:B10"/>
    <mergeCell ref="G9:G10"/>
    <mergeCell ref="H9:H10"/>
    <mergeCell ref="L9:L10"/>
    <mergeCell ref="M9:M10"/>
    <mergeCell ref="N9:N10"/>
    <mergeCell ref="B11:B12"/>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9.5"/>
    <col customWidth="1" min="7" max="7" width="12.25"/>
    <col customWidth="1" min="8" max="12" width="11.13"/>
    <col customWidth="1" min="13" max="13" width="10.88"/>
    <col customWidth="1" min="14" max="14" width="10.63"/>
    <col customWidth="1" min="15" max="15" width="13.5"/>
    <col customWidth="1" min="16" max="16" width="14.25"/>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(C3*D3)+7200-800</f>
        <v>14800</v>
      </c>
      <c r="F3" s="80"/>
      <c r="G3" s="112">
        <v>950.0</v>
      </c>
      <c r="H3" s="113"/>
      <c r="I3" s="113"/>
      <c r="J3" s="113"/>
      <c r="K3" s="113"/>
      <c r="L3" s="113"/>
      <c r="M3" s="80"/>
      <c r="N3" s="80"/>
      <c r="O3" s="114">
        <f t="shared" ref="O3:O4" si="1">E3+F3+H3+L3+M3-N3</f>
        <v>14800</v>
      </c>
      <c r="P3" s="40"/>
      <c r="Q3" s="40"/>
      <c r="R3" s="42"/>
      <c r="S3" s="42"/>
    </row>
    <row r="4">
      <c r="A4" s="29" t="s">
        <v>55</v>
      </c>
      <c r="B4" s="43" t="s">
        <v>54</v>
      </c>
      <c r="C4" s="31"/>
      <c r="D4" s="32"/>
      <c r="E4" s="32">
        <v>10000.0</v>
      </c>
      <c r="F4" s="80"/>
      <c r="G4" s="115">
        <v>638.28</v>
      </c>
      <c r="H4" s="35"/>
      <c r="I4" s="35"/>
      <c r="J4" s="35"/>
      <c r="K4" s="35"/>
      <c r="L4" s="35"/>
      <c r="M4" s="38"/>
      <c r="N4" s="38"/>
      <c r="O4" s="114">
        <f t="shared" si="1"/>
        <v>10000</v>
      </c>
      <c r="P4" s="40"/>
      <c r="Q4" s="40"/>
      <c r="R4" s="42"/>
      <c r="S4" s="42"/>
    </row>
    <row r="5">
      <c r="A5" s="29" t="s">
        <v>55</v>
      </c>
      <c r="B5" s="79" t="s">
        <v>60</v>
      </c>
      <c r="C5" s="31" t="s">
        <v>91</v>
      </c>
      <c r="D5" s="32" t="s">
        <v>92</v>
      </c>
      <c r="E5" s="32">
        <f>24850+39960+5000+4000</f>
        <v>73810</v>
      </c>
      <c r="F5" s="80"/>
      <c r="G5" s="81">
        <v>5143.0</v>
      </c>
      <c r="H5" s="35"/>
      <c r="I5" s="35"/>
      <c r="J5" s="35">
        <f>48000+12000</f>
        <v>60000</v>
      </c>
      <c r="K5" s="35">
        <v>3000.0</v>
      </c>
      <c r="L5" s="35">
        <v>25000.0</v>
      </c>
      <c r="M5" s="38"/>
      <c r="N5" s="38"/>
      <c r="O5" s="39">
        <f>E5+F5+H5+L5+M5-N5+I5+J5+K5</f>
        <v>161810</v>
      </c>
      <c r="P5" s="40">
        <v>73810.0</v>
      </c>
      <c r="Q5" s="40">
        <f>161810-P5</f>
        <v>88000</v>
      </c>
      <c r="R5" s="42"/>
      <c r="S5" s="42"/>
    </row>
    <row r="6">
      <c r="A6" s="29" t="s">
        <v>55</v>
      </c>
      <c r="B6" s="43" t="s">
        <v>62</v>
      </c>
      <c r="C6" s="31">
        <v>215.0</v>
      </c>
      <c r="D6" s="32">
        <v>147.0</v>
      </c>
      <c r="E6" s="32">
        <f>C6*D6</f>
        <v>31605</v>
      </c>
      <c r="F6" s="33"/>
      <c r="G6" s="83">
        <v>2110.0</v>
      </c>
      <c r="H6" s="36">
        <v>700.0</v>
      </c>
      <c r="I6" s="36"/>
      <c r="J6" s="36"/>
      <c r="K6" s="36"/>
      <c r="L6" s="36"/>
      <c r="M6" s="37"/>
      <c r="N6" s="38"/>
      <c r="O6" s="114">
        <f>E6+F6+G6+H6+L6+M6-N6+H7</f>
        <v>39215</v>
      </c>
      <c r="P6" s="40"/>
      <c r="Q6" s="40"/>
      <c r="R6" s="42"/>
      <c r="S6" s="42"/>
    </row>
    <row r="7">
      <c r="A7" s="29" t="s">
        <v>55</v>
      </c>
      <c r="B7" s="131" t="s">
        <v>57</v>
      </c>
      <c r="C7" s="46"/>
      <c r="D7" s="47"/>
      <c r="E7" s="48">
        <f>11700+16500+2000+2232</f>
        <v>32432</v>
      </c>
      <c r="F7" s="33"/>
      <c r="G7" s="49"/>
      <c r="H7" s="36">
        <v>4800.0</v>
      </c>
      <c r="I7" s="36"/>
      <c r="J7" s="36"/>
      <c r="K7" s="36"/>
      <c r="L7" s="36"/>
      <c r="M7" s="37"/>
      <c r="N7" s="38"/>
      <c r="O7" s="39"/>
      <c r="P7" s="40"/>
      <c r="Q7" s="40"/>
      <c r="R7" s="42"/>
      <c r="S7" s="42"/>
    </row>
    <row r="8">
      <c r="A8" s="29" t="s">
        <v>55</v>
      </c>
      <c r="B8" s="132" t="s">
        <v>58</v>
      </c>
      <c r="C8" s="51">
        <v>639.0</v>
      </c>
      <c r="D8" s="48">
        <v>100.11</v>
      </c>
      <c r="E8" s="48">
        <f>645*100</f>
        <v>64500</v>
      </c>
      <c r="F8" s="52">
        <v>5500.0</v>
      </c>
      <c r="G8" s="53">
        <v>8009.0</v>
      </c>
      <c r="H8" s="54">
        <v>790.0</v>
      </c>
      <c r="I8" s="55"/>
      <c r="J8" s="55"/>
      <c r="K8" s="55">
        <f>2000+2000+2700</f>
        <v>6700</v>
      </c>
      <c r="L8" s="54">
        <f>6000+12000+9000</f>
        <v>27000</v>
      </c>
      <c r="M8" s="57"/>
      <c r="N8" s="58"/>
      <c r="O8" s="59">
        <f>E8+F8+E9+H8+M8+L8-N8+E7+K8</f>
        <v>139022</v>
      </c>
      <c r="P8" s="67">
        <v>104532.0</v>
      </c>
      <c r="Q8" s="67">
        <f>139022-P8</f>
        <v>34490</v>
      </c>
      <c r="R8" s="42"/>
      <c r="S8" s="42"/>
    </row>
    <row r="9">
      <c r="A9" s="29" t="s">
        <v>55</v>
      </c>
      <c r="B9" s="62"/>
      <c r="C9" s="51">
        <v>42.0</v>
      </c>
      <c r="D9" s="48">
        <v>50.0</v>
      </c>
      <c r="E9" s="48">
        <f t="shared" ref="E9:E12" si="2">C9*D9</f>
        <v>2100</v>
      </c>
      <c r="F9" s="62"/>
      <c r="G9" s="62"/>
      <c r="H9" s="62"/>
      <c r="I9" s="55"/>
      <c r="J9" s="55"/>
      <c r="K9" s="55"/>
      <c r="L9" s="62"/>
      <c r="M9" s="62"/>
      <c r="N9" s="62"/>
      <c r="O9" s="62"/>
      <c r="P9" s="62"/>
      <c r="Q9" s="62"/>
      <c r="R9" s="42"/>
      <c r="S9" s="42"/>
    </row>
    <row r="10">
      <c r="A10" s="29" t="s">
        <v>55</v>
      </c>
      <c r="B10" s="134" t="s">
        <v>59</v>
      </c>
      <c r="C10" s="51">
        <v>346.0</v>
      </c>
      <c r="D10" s="48">
        <v>100.0</v>
      </c>
      <c r="E10" s="48">
        <f t="shared" si="2"/>
        <v>34600</v>
      </c>
      <c r="F10" s="52">
        <v>10000.0</v>
      </c>
      <c r="G10" s="53">
        <v>3130.0</v>
      </c>
      <c r="H10" s="64"/>
      <c r="I10" s="65"/>
      <c r="J10" s="65"/>
      <c r="K10" s="65"/>
      <c r="L10" s="64"/>
      <c r="M10" s="66"/>
      <c r="N10" s="58"/>
      <c r="O10" s="116">
        <f>E10+E11+F10+L10+H10+M10-N10</f>
        <v>49024</v>
      </c>
      <c r="P10" s="61">
        <v>49024.0</v>
      </c>
      <c r="Q10" s="67"/>
      <c r="R10" s="42"/>
      <c r="S10" s="42"/>
    </row>
    <row r="11">
      <c r="A11" s="29" t="s">
        <v>55</v>
      </c>
      <c r="B11" s="62"/>
      <c r="C11" s="51">
        <v>28.0</v>
      </c>
      <c r="D11" s="48">
        <v>158.0</v>
      </c>
      <c r="E11" s="48">
        <f t="shared" si="2"/>
        <v>4424</v>
      </c>
      <c r="F11" s="62"/>
      <c r="G11" s="62"/>
      <c r="H11" s="62"/>
      <c r="I11" s="65"/>
      <c r="J11" s="65"/>
      <c r="K11" s="65"/>
      <c r="L11" s="62"/>
      <c r="M11" s="62"/>
      <c r="N11" s="62"/>
      <c r="O11" s="62"/>
      <c r="P11" s="62"/>
      <c r="Q11" s="62"/>
      <c r="R11" s="42"/>
      <c r="S11" s="42"/>
    </row>
    <row r="12">
      <c r="A12" s="29" t="s">
        <v>55</v>
      </c>
      <c r="B12" s="84" t="s">
        <v>63</v>
      </c>
      <c r="C12" s="51">
        <v>17.0</v>
      </c>
      <c r="D12" s="48">
        <v>800.0</v>
      </c>
      <c r="E12" s="48">
        <f t="shared" si="2"/>
        <v>13600</v>
      </c>
      <c r="F12" s="33"/>
      <c r="G12" s="49">
        <v>1396.0</v>
      </c>
      <c r="H12" s="36">
        <f>2200+1500</f>
        <v>3700</v>
      </c>
      <c r="I12" s="36"/>
      <c r="J12" s="36"/>
      <c r="K12" s="36"/>
      <c r="L12" s="36">
        <v>4500.0</v>
      </c>
      <c r="M12" s="49"/>
      <c r="N12" s="38"/>
      <c r="O12" s="118">
        <f>E12+H12+G12+L12</f>
        <v>23196</v>
      </c>
      <c r="P12" s="40"/>
      <c r="Q12" s="40"/>
      <c r="R12" s="42"/>
      <c r="S12" s="42"/>
    </row>
    <row r="13">
      <c r="A13" s="29"/>
      <c r="B13" s="86" t="s">
        <v>81</v>
      </c>
      <c r="C13" s="51"/>
      <c r="D13" s="48"/>
      <c r="E13" s="48">
        <v>30000.0</v>
      </c>
      <c r="F13" s="33"/>
      <c r="G13" s="36"/>
      <c r="H13" s="36">
        <f>500+750+500+500+500+800</f>
        <v>3550</v>
      </c>
      <c r="I13" s="36"/>
      <c r="J13" s="36"/>
      <c r="K13" s="36"/>
      <c r="L13" s="36"/>
      <c r="M13" s="37"/>
      <c r="N13" s="38"/>
      <c r="O13" s="114">
        <f>E13+F13+G13+H13+M13-N13</f>
        <v>33550</v>
      </c>
      <c r="P13" s="40"/>
      <c r="Q13" s="40"/>
      <c r="R13" s="42"/>
      <c r="S13" s="42"/>
    </row>
    <row r="14">
      <c r="A14" s="29"/>
      <c r="B14" s="86" t="s">
        <v>65</v>
      </c>
      <c r="C14" s="51"/>
      <c r="D14" s="48"/>
      <c r="E14" s="48"/>
      <c r="F14" s="33"/>
      <c r="G14" s="36"/>
      <c r="H14" s="36"/>
      <c r="I14" s="36"/>
      <c r="J14" s="36"/>
      <c r="K14" s="36"/>
      <c r="L14" s="36"/>
      <c r="M14" s="37">
        <f t="shared" ref="M14:M15" si="3">61756.2+3705.37</f>
        <v>65461.57</v>
      </c>
      <c r="N14" s="38"/>
      <c r="O14" s="114">
        <f t="shared" ref="O14:O16" si="4">M14+G14</f>
        <v>65461.57</v>
      </c>
      <c r="P14" s="40"/>
      <c r="Q14" s="40"/>
      <c r="R14" s="42"/>
      <c r="S14" s="42"/>
    </row>
    <row r="15">
      <c r="A15" s="29"/>
      <c r="B15" s="86" t="s">
        <v>66</v>
      </c>
      <c r="C15" s="51"/>
      <c r="D15" s="48"/>
      <c r="E15" s="48"/>
      <c r="F15" s="33"/>
      <c r="G15" s="36"/>
      <c r="H15" s="36"/>
      <c r="I15" s="36"/>
      <c r="J15" s="36"/>
      <c r="K15" s="36"/>
      <c r="L15" s="36"/>
      <c r="M15" s="37">
        <f t="shared" si="3"/>
        <v>65461.57</v>
      </c>
      <c r="N15" s="38"/>
      <c r="O15" s="39">
        <f t="shared" si="4"/>
        <v>65461.57</v>
      </c>
      <c r="P15" s="40"/>
      <c r="Q15" s="40"/>
      <c r="R15" s="42"/>
      <c r="S15" s="42"/>
    </row>
    <row r="16">
      <c r="A16" s="3"/>
      <c r="B16" s="86" t="s">
        <v>67</v>
      </c>
      <c r="C16" s="87"/>
      <c r="D16" s="88"/>
      <c r="E16" s="88"/>
      <c r="F16" s="89"/>
      <c r="G16" s="36"/>
      <c r="H16" s="36"/>
      <c r="I16" s="36"/>
      <c r="J16" s="36"/>
      <c r="K16" s="36"/>
      <c r="L16" s="36"/>
      <c r="M16" s="37">
        <v>42800.0</v>
      </c>
      <c r="N16" s="38"/>
      <c r="O16" s="114">
        <f t="shared" si="4"/>
        <v>42800</v>
      </c>
      <c r="P16" s="40"/>
      <c r="Q16" s="40"/>
      <c r="R16" s="42"/>
      <c r="S16" s="42"/>
    </row>
    <row r="17">
      <c r="A17" s="119" t="s">
        <v>68</v>
      </c>
      <c r="B17" s="119"/>
      <c r="C17" s="120">
        <f>SUM(C3:C8)</f>
        <v>938</v>
      </c>
      <c r="D17" s="121"/>
      <c r="E17" s="120">
        <f>SUM(E3:E15)</f>
        <v>311871</v>
      </c>
      <c r="F17" s="120">
        <f>SUM(F3:F12)</f>
        <v>15500</v>
      </c>
      <c r="G17" s="122">
        <f t="shared" ref="G17:H17" si="5">SUM(G3:G15)</f>
        <v>21376.28</v>
      </c>
      <c r="H17" s="120">
        <f t="shared" si="5"/>
        <v>13540</v>
      </c>
      <c r="I17" s="120">
        <f t="shared" ref="I17:M17" si="6">SUM(I3:I16)</f>
        <v>0</v>
      </c>
      <c r="J17" s="120">
        <f t="shared" si="6"/>
        <v>60000</v>
      </c>
      <c r="K17" s="120">
        <f t="shared" si="6"/>
        <v>9700</v>
      </c>
      <c r="L17" s="120">
        <f t="shared" si="6"/>
        <v>56500</v>
      </c>
      <c r="M17" s="120">
        <f t="shared" si="6"/>
        <v>173723.14</v>
      </c>
      <c r="N17" s="120">
        <f>SUM(N3:N12)</f>
        <v>0</v>
      </c>
      <c r="O17" s="39">
        <f>SUM(O3:O16)</f>
        <v>644340.14</v>
      </c>
      <c r="P17" s="123"/>
      <c r="Q17" s="40"/>
      <c r="R17" s="42"/>
      <c r="S17" s="95"/>
    </row>
    <row r="18">
      <c r="C18" s="8"/>
      <c r="D18" s="96"/>
      <c r="E18" s="97"/>
      <c r="N18" s="124"/>
      <c r="P18" s="101"/>
      <c r="Q18" s="22"/>
      <c r="R18" s="22"/>
      <c r="S18" s="22"/>
    </row>
    <row r="19">
      <c r="C19" s="102"/>
      <c r="D19" s="103"/>
      <c r="E19" s="103"/>
      <c r="P19" s="101"/>
      <c r="Q19" s="104"/>
      <c r="R19" s="22"/>
      <c r="S19" s="22"/>
    </row>
    <row r="20">
      <c r="C20" s="102"/>
      <c r="D20" s="103"/>
      <c r="E20" s="103"/>
      <c r="P20" s="8"/>
      <c r="Q20" s="97"/>
    </row>
    <row r="21">
      <c r="C21" s="102"/>
      <c r="D21" s="103"/>
      <c r="E21" s="103"/>
      <c r="P21" s="8"/>
      <c r="Q21" s="97"/>
    </row>
    <row r="22">
      <c r="C22" s="102"/>
      <c r="D22" s="103"/>
      <c r="E22" s="105"/>
      <c r="P22" s="8"/>
      <c r="Q22" s="97"/>
    </row>
    <row r="23">
      <c r="C23" s="102"/>
      <c r="D23" s="103"/>
      <c r="E23" s="105"/>
      <c r="P23" s="8"/>
      <c r="Q23" s="97"/>
    </row>
    <row r="24">
      <c r="C24" s="102"/>
      <c r="D24" s="105"/>
      <c r="E24" s="103"/>
      <c r="P24" s="8"/>
      <c r="Q24" s="96"/>
    </row>
    <row r="25">
      <c r="C25" s="106"/>
      <c r="D25" s="105"/>
      <c r="E25" s="105"/>
      <c r="N25" s="107"/>
    </row>
    <row r="26">
      <c r="D26" s="96"/>
      <c r="E26" s="96"/>
      <c r="P26" s="8"/>
      <c r="Q26" s="97"/>
    </row>
    <row r="27">
      <c r="D27" s="96"/>
      <c r="E27" s="96"/>
      <c r="P27" s="8"/>
      <c r="Q27" s="97"/>
    </row>
    <row r="28">
      <c r="D28" s="96"/>
      <c r="E28" s="96"/>
      <c r="P28" s="8"/>
      <c r="Q28" s="97"/>
    </row>
    <row r="29">
      <c r="D29" s="96"/>
      <c r="E29" s="96"/>
      <c r="P29" s="8"/>
      <c r="Q29" s="97"/>
    </row>
    <row r="30">
      <c r="D30" s="96"/>
      <c r="E30" s="96"/>
      <c r="P30" s="8"/>
    </row>
    <row r="31">
      <c r="D31" s="96"/>
      <c r="E31" s="96"/>
    </row>
    <row r="32">
      <c r="D32" s="108"/>
      <c r="E32" s="108"/>
    </row>
  </sheetData>
  <mergeCells count="20">
    <mergeCell ref="O8:O9"/>
    <mergeCell ref="P8:P9"/>
    <mergeCell ref="Q8:Q9"/>
    <mergeCell ref="F8:F9"/>
    <mergeCell ref="F10:F11"/>
    <mergeCell ref="G10:G11"/>
    <mergeCell ref="H10:H11"/>
    <mergeCell ref="L10:L11"/>
    <mergeCell ref="M10:M11"/>
    <mergeCell ref="N10:N11"/>
    <mergeCell ref="O10:O11"/>
    <mergeCell ref="P10:P11"/>
    <mergeCell ref="Q10:Q11"/>
    <mergeCell ref="B8:B9"/>
    <mergeCell ref="G8:G9"/>
    <mergeCell ref="H8:H9"/>
    <mergeCell ref="L8:L9"/>
    <mergeCell ref="M8:M9"/>
    <mergeCell ref="N8:N9"/>
    <mergeCell ref="B10:B11"/>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10.13"/>
    <col customWidth="1" min="7" max="7" width="12.25"/>
    <col customWidth="1" min="8" max="12" width="11.13"/>
    <col customWidth="1" min="13" max="13" width="10.88"/>
    <col customWidth="1" min="14" max="14" width="10.63"/>
    <col customWidth="1" min="15" max="15" width="13.5"/>
    <col customWidth="1" min="16" max="16" width="14.25"/>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(C3*D3)+7200-800</f>
        <v>14800</v>
      </c>
      <c r="F3" s="80"/>
      <c r="G3" s="112">
        <v>888.0</v>
      </c>
      <c r="H3" s="113">
        <v>500.0</v>
      </c>
      <c r="I3" s="113"/>
      <c r="J3" s="113"/>
      <c r="K3" s="113"/>
      <c r="L3" s="113"/>
      <c r="M3" s="80"/>
      <c r="N3" s="80"/>
      <c r="O3" s="39">
        <f t="shared" ref="O3:O4" si="1">E3+F3+G3+H3+L3+M3-N3</f>
        <v>16188</v>
      </c>
      <c r="P3" s="82">
        <v>16188.0</v>
      </c>
      <c r="Q3" s="40"/>
      <c r="R3" s="42"/>
      <c r="S3" s="42"/>
    </row>
    <row r="4">
      <c r="A4" s="29" t="s">
        <v>55</v>
      </c>
      <c r="B4" s="43" t="s">
        <v>54</v>
      </c>
      <c r="C4" s="31"/>
      <c r="D4" s="32"/>
      <c r="E4" s="32">
        <v>10000.0</v>
      </c>
      <c r="F4" s="80"/>
      <c r="G4" s="115">
        <v>600.0</v>
      </c>
      <c r="H4" s="35"/>
      <c r="I4" s="35"/>
      <c r="J4" s="35"/>
      <c r="K4" s="35"/>
      <c r="L4" s="35"/>
      <c r="M4" s="38"/>
      <c r="N4" s="38"/>
      <c r="O4" s="39">
        <f t="shared" si="1"/>
        <v>10600</v>
      </c>
      <c r="P4" s="82">
        <v>10600.0</v>
      </c>
      <c r="Q4" s="40"/>
      <c r="R4" s="42"/>
      <c r="S4" s="42"/>
    </row>
    <row r="5">
      <c r="A5" s="29" t="s">
        <v>55</v>
      </c>
      <c r="B5" s="79" t="s">
        <v>60</v>
      </c>
      <c r="C5" s="31" t="s">
        <v>91</v>
      </c>
      <c r="D5" s="32" t="s">
        <v>92</v>
      </c>
      <c r="E5" s="32">
        <f>24850+39960+5000+4000</f>
        <v>73810</v>
      </c>
      <c r="F5" s="80"/>
      <c r="G5" s="81">
        <v>9709.0</v>
      </c>
      <c r="H5" s="35">
        <v>2000.0</v>
      </c>
      <c r="I5" s="35"/>
      <c r="J5" s="35">
        <f>35000+7500+15000</f>
        <v>57500</v>
      </c>
      <c r="K5" s="35"/>
      <c r="L5" s="35"/>
      <c r="M5" s="38"/>
      <c r="N5" s="38"/>
      <c r="O5" s="39">
        <f>E5+F5+G5+H5+L5+M5-N5+I5+J5</f>
        <v>143019</v>
      </c>
      <c r="P5" s="82">
        <v>85519.0</v>
      </c>
      <c r="Q5" s="82">
        <v>57500.0</v>
      </c>
      <c r="R5" s="42"/>
      <c r="S5" s="42"/>
    </row>
    <row r="6">
      <c r="A6" s="29" t="s">
        <v>55</v>
      </c>
      <c r="B6" s="43" t="s">
        <v>62</v>
      </c>
      <c r="C6" s="31">
        <v>215.0</v>
      </c>
      <c r="D6" s="32">
        <v>147.0</v>
      </c>
      <c r="E6" s="32">
        <f>C6*D6</f>
        <v>31605</v>
      </c>
      <c r="F6" s="33"/>
      <c r="G6" s="83">
        <v>2353.0</v>
      </c>
      <c r="H6" s="35">
        <v>1000.0</v>
      </c>
      <c r="I6" s="36"/>
      <c r="J6" s="36"/>
      <c r="K6" s="36"/>
      <c r="L6" s="36"/>
      <c r="M6" s="37"/>
      <c r="N6" s="38"/>
      <c r="O6" s="39">
        <f>E6+F6+G6+H6+L6+M6-N6</f>
        <v>34958</v>
      </c>
      <c r="P6" s="82">
        <v>34958.0</v>
      </c>
      <c r="Q6" s="40"/>
      <c r="R6" s="42"/>
      <c r="S6" s="42"/>
    </row>
    <row r="7">
      <c r="A7" s="29" t="s">
        <v>55</v>
      </c>
      <c r="B7" s="131" t="s">
        <v>57</v>
      </c>
      <c r="C7" s="46"/>
      <c r="D7" s="47"/>
      <c r="E7" s="48">
        <f>13000+14250+2000+2160+2600</f>
        <v>34010</v>
      </c>
      <c r="F7" s="33"/>
      <c r="G7" s="49"/>
      <c r="H7" s="36"/>
      <c r="I7" s="36"/>
      <c r="J7" s="36"/>
      <c r="K7" s="36"/>
      <c r="L7" s="36"/>
      <c r="M7" s="37"/>
      <c r="N7" s="38"/>
      <c r="O7" s="39"/>
      <c r="P7" s="40"/>
      <c r="Q7" s="40"/>
      <c r="R7" s="42"/>
      <c r="S7" s="42"/>
    </row>
    <row r="8">
      <c r="A8" s="29" t="s">
        <v>55</v>
      </c>
      <c r="B8" s="132" t="s">
        <v>58</v>
      </c>
      <c r="C8" s="51">
        <v>639.0</v>
      </c>
      <c r="D8" s="48">
        <v>100.11</v>
      </c>
      <c r="E8" s="48">
        <f>645*100</f>
        <v>64500</v>
      </c>
      <c r="F8" s="52">
        <v>5500.0</v>
      </c>
      <c r="G8" s="53">
        <v>8342.0</v>
      </c>
      <c r="H8" s="54"/>
      <c r="I8" s="55"/>
      <c r="J8" s="55"/>
      <c r="K8" s="55"/>
      <c r="L8" s="54">
        <f>13*3000</f>
        <v>39000</v>
      </c>
      <c r="M8" s="57"/>
      <c r="N8" s="58"/>
      <c r="O8" s="59">
        <f>E8+F8+E9+G8+H8+M8+L8-N8+E7</f>
        <v>153452</v>
      </c>
      <c r="P8" s="61">
        <v>112052.0</v>
      </c>
      <c r="Q8" s="61">
        <v>39000.0</v>
      </c>
      <c r="R8" s="117" t="s">
        <v>93</v>
      </c>
      <c r="S8" s="42"/>
    </row>
    <row r="9">
      <c r="A9" s="29" t="s">
        <v>55</v>
      </c>
      <c r="B9" s="62"/>
      <c r="C9" s="51">
        <v>42.0</v>
      </c>
      <c r="D9" s="48">
        <v>50.0</v>
      </c>
      <c r="E9" s="48">
        <f t="shared" ref="E9:E12" si="2">C9*D9</f>
        <v>2100</v>
      </c>
      <c r="F9" s="62"/>
      <c r="G9" s="62"/>
      <c r="H9" s="62"/>
      <c r="I9" s="55"/>
      <c r="J9" s="55"/>
      <c r="K9" s="55"/>
      <c r="L9" s="62"/>
      <c r="M9" s="62"/>
      <c r="N9" s="62"/>
      <c r="O9" s="62"/>
      <c r="P9" s="62"/>
      <c r="Q9" s="62"/>
      <c r="R9" s="42"/>
      <c r="S9" s="42"/>
    </row>
    <row r="10">
      <c r="A10" s="29" t="s">
        <v>55</v>
      </c>
      <c r="B10" s="134" t="s">
        <v>59</v>
      </c>
      <c r="C10" s="51">
        <v>346.0</v>
      </c>
      <c r="D10" s="48">
        <v>100.0</v>
      </c>
      <c r="E10" s="48">
        <f t="shared" si="2"/>
        <v>34600</v>
      </c>
      <c r="F10" s="52">
        <v>10000.0</v>
      </c>
      <c r="G10" s="53">
        <v>2942.0</v>
      </c>
      <c r="H10" s="64"/>
      <c r="I10" s="65"/>
      <c r="J10" s="65"/>
      <c r="K10" s="65"/>
      <c r="L10" s="64"/>
      <c r="M10" s="66"/>
      <c r="N10" s="58"/>
      <c r="O10" s="116">
        <f>E10+E11+F10+G10+L10+H10+M10-N10</f>
        <v>51966</v>
      </c>
      <c r="P10" s="61">
        <v>51966.0</v>
      </c>
      <c r="Q10" s="67"/>
      <c r="R10" s="42"/>
      <c r="S10" s="42"/>
    </row>
    <row r="11">
      <c r="A11" s="29" t="s">
        <v>55</v>
      </c>
      <c r="B11" s="62"/>
      <c r="C11" s="51">
        <v>28.0</v>
      </c>
      <c r="D11" s="48">
        <v>158.0</v>
      </c>
      <c r="E11" s="48">
        <f t="shared" si="2"/>
        <v>4424</v>
      </c>
      <c r="F11" s="62"/>
      <c r="G11" s="62"/>
      <c r="H11" s="62"/>
      <c r="I11" s="65"/>
      <c r="J11" s="65"/>
      <c r="K11" s="65"/>
      <c r="L11" s="62"/>
      <c r="M11" s="62"/>
      <c r="N11" s="62"/>
      <c r="O11" s="62"/>
      <c r="P11" s="62"/>
      <c r="Q11" s="62"/>
      <c r="R11" s="42"/>
      <c r="S11" s="42"/>
    </row>
    <row r="12">
      <c r="A12" s="29" t="s">
        <v>55</v>
      </c>
      <c r="B12" s="84" t="s">
        <v>63</v>
      </c>
      <c r="C12" s="51">
        <v>17.0</v>
      </c>
      <c r="D12" s="48">
        <v>800.0</v>
      </c>
      <c r="E12" s="48">
        <f t="shared" si="2"/>
        <v>13600</v>
      </c>
      <c r="F12" s="33"/>
      <c r="G12" s="49">
        <v>3546.0</v>
      </c>
      <c r="H12" s="36">
        <f>800+1000</f>
        <v>1800</v>
      </c>
      <c r="I12" s="36"/>
      <c r="J12" s="36">
        <v>18000.0</v>
      </c>
      <c r="K12" s="36">
        <f>12000+10000</f>
        <v>22000</v>
      </c>
      <c r="L12" s="36"/>
      <c r="M12" s="49"/>
      <c r="N12" s="38"/>
      <c r="O12" s="118">
        <f>E12+K12+G12+J12+H12</f>
        <v>58946</v>
      </c>
      <c r="P12" s="40"/>
      <c r="Q12" s="40"/>
      <c r="R12" s="42"/>
      <c r="S12" s="42"/>
    </row>
    <row r="13">
      <c r="A13" s="29"/>
      <c r="B13" s="86" t="s">
        <v>81</v>
      </c>
      <c r="C13" s="51"/>
      <c r="D13" s="48"/>
      <c r="E13" s="48">
        <v>30000.0</v>
      </c>
      <c r="F13" s="33"/>
      <c r="G13" s="36"/>
      <c r="H13" s="36">
        <f>500+500+2000+500+1000</f>
        <v>4500</v>
      </c>
      <c r="I13" s="36">
        <f>40000+2400</f>
        <v>42400</v>
      </c>
      <c r="J13" s="36"/>
      <c r="K13" s="36"/>
      <c r="L13" s="36"/>
      <c r="M13" s="37"/>
      <c r="N13" s="38"/>
      <c r="O13" s="114">
        <f>E13+F13+G13+H13+M13-N13+I13</f>
        <v>76900</v>
      </c>
      <c r="P13" s="40"/>
      <c r="Q13" s="40"/>
      <c r="R13" s="42"/>
      <c r="S13" s="42"/>
    </row>
    <row r="14">
      <c r="A14" s="29"/>
      <c r="B14" s="86" t="s">
        <v>65</v>
      </c>
      <c r="C14" s="51"/>
      <c r="D14" s="48"/>
      <c r="E14" s="48"/>
      <c r="F14" s="33"/>
      <c r="G14" s="36"/>
      <c r="H14" s="36"/>
      <c r="I14" s="36"/>
      <c r="J14" s="36"/>
      <c r="K14" s="36"/>
      <c r="L14" s="36"/>
      <c r="M14" s="37">
        <f t="shared" ref="M14:M15" si="3">61756.2+225+3718.87</f>
        <v>65700.07</v>
      </c>
      <c r="N14" s="38"/>
      <c r="O14" s="114">
        <f t="shared" ref="O14:O16" si="4">M14+G14</f>
        <v>65700.07</v>
      </c>
      <c r="P14" s="40"/>
      <c r="Q14" s="40"/>
      <c r="R14" s="42"/>
      <c r="S14" s="42"/>
    </row>
    <row r="15">
      <c r="A15" s="29"/>
      <c r="B15" s="86" t="s">
        <v>66</v>
      </c>
      <c r="C15" s="51"/>
      <c r="D15" s="48"/>
      <c r="E15" s="48"/>
      <c r="F15" s="33"/>
      <c r="G15" s="36"/>
      <c r="H15" s="36"/>
      <c r="I15" s="36"/>
      <c r="J15" s="36"/>
      <c r="K15" s="36"/>
      <c r="L15" s="36"/>
      <c r="M15" s="37">
        <f t="shared" si="3"/>
        <v>65700.07</v>
      </c>
      <c r="N15" s="38"/>
      <c r="O15" s="114">
        <f t="shared" si="4"/>
        <v>65700.07</v>
      </c>
      <c r="P15" s="40"/>
      <c r="Q15" s="40"/>
      <c r="R15" s="42"/>
      <c r="S15" s="42"/>
    </row>
    <row r="16">
      <c r="A16" s="3"/>
      <c r="B16" s="86" t="s">
        <v>67</v>
      </c>
      <c r="C16" s="87"/>
      <c r="D16" s="88"/>
      <c r="E16" s="88"/>
      <c r="F16" s="89"/>
      <c r="G16" s="36"/>
      <c r="H16" s="36"/>
      <c r="I16" s="36"/>
      <c r="J16" s="36"/>
      <c r="K16" s="36"/>
      <c r="L16" s="36"/>
      <c r="M16" s="37">
        <v>42800.0</v>
      </c>
      <c r="N16" s="38"/>
      <c r="O16" s="114">
        <f t="shared" si="4"/>
        <v>42800</v>
      </c>
      <c r="P16" s="82">
        <v>42800.0</v>
      </c>
      <c r="Q16" s="40"/>
      <c r="R16" s="42"/>
      <c r="S16" s="42"/>
    </row>
    <row r="17">
      <c r="A17" s="119" t="s">
        <v>68</v>
      </c>
      <c r="B17" s="119"/>
      <c r="C17" s="120">
        <f>SUM(C3:C8)</f>
        <v>938</v>
      </c>
      <c r="D17" s="121"/>
      <c r="E17" s="120">
        <f>SUM(E3:E15)</f>
        <v>313449</v>
      </c>
      <c r="F17" s="120">
        <f>SUM(F3:F12)</f>
        <v>15500</v>
      </c>
      <c r="G17" s="122">
        <f t="shared" ref="G17:H17" si="5">SUM(G3:G15)</f>
        <v>28380</v>
      </c>
      <c r="H17" s="120">
        <f t="shared" si="5"/>
        <v>9800</v>
      </c>
      <c r="I17" s="120">
        <f t="shared" ref="I17:M17" si="6">SUM(I3:I16)</f>
        <v>42400</v>
      </c>
      <c r="J17" s="120">
        <f t="shared" si="6"/>
        <v>75500</v>
      </c>
      <c r="K17" s="120">
        <f t="shared" si="6"/>
        <v>22000</v>
      </c>
      <c r="L17" s="120">
        <f t="shared" si="6"/>
        <v>39000</v>
      </c>
      <c r="M17" s="120">
        <f t="shared" si="6"/>
        <v>174200.14</v>
      </c>
      <c r="N17" s="120">
        <f>SUM(N3:N12)</f>
        <v>0</v>
      </c>
      <c r="O17" s="39">
        <f>SUM(O3:O16)</f>
        <v>720229.14</v>
      </c>
      <c r="P17" s="123"/>
      <c r="Q17" s="40"/>
      <c r="R17" s="42"/>
      <c r="S17" s="95"/>
    </row>
    <row r="18">
      <c r="C18" s="8"/>
      <c r="D18" s="96"/>
      <c r="E18" s="97"/>
      <c r="N18" s="124"/>
      <c r="P18" s="101"/>
      <c r="Q18" s="22"/>
      <c r="R18" s="22"/>
      <c r="S18" s="22"/>
    </row>
    <row r="19">
      <c r="C19" s="102"/>
      <c r="D19" s="103"/>
      <c r="E19" s="103"/>
      <c r="P19" s="101"/>
      <c r="Q19" s="104"/>
      <c r="R19" s="22"/>
      <c r="S19" s="22"/>
    </row>
    <row r="20">
      <c r="C20" s="102"/>
      <c r="D20" s="103" t="s">
        <v>84</v>
      </c>
      <c r="E20" s="103">
        <f>O17+'май'!O17+'апрель'!O17+'март'!O17+'февраль'!N17+'январь'!N17</f>
        <v>3837695.86</v>
      </c>
      <c r="P20" s="8"/>
      <c r="Q20" s="97"/>
    </row>
    <row r="21">
      <c r="C21" s="102"/>
      <c r="D21" s="103"/>
      <c r="E21" s="103"/>
      <c r="P21" s="8"/>
      <c r="Q21" s="97"/>
    </row>
    <row r="22">
      <c r="C22" s="102"/>
      <c r="D22" s="103" t="s">
        <v>85</v>
      </c>
      <c r="E22" s="105">
        <f>J17+K17+L17+'май'!J17+'май'!K17+'май'!L17+'апрель'!L17+'март'!J17+'март'!L17+'февраль'!I17+'февраль'!J17+'февраль'!K17+'январь'!K17</f>
        <v>528200</v>
      </c>
      <c r="F22" s="8">
        <v>6.0</v>
      </c>
      <c r="G22" s="96">
        <f>E22/F22</f>
        <v>88033.33333</v>
      </c>
      <c r="P22" s="8"/>
      <c r="Q22" s="97"/>
    </row>
    <row r="23">
      <c r="C23" s="102"/>
      <c r="D23" s="103"/>
      <c r="E23" s="105"/>
      <c r="J23" s="127">
        <f>'январь'!E7+'февраль'!E7+'март'!E7+'апрель'!E7+'май'!E7+E7</f>
        <v>195434</v>
      </c>
      <c r="P23" s="8"/>
      <c r="Q23" s="97"/>
    </row>
    <row r="24">
      <c r="C24" s="102"/>
      <c r="D24" s="103" t="s">
        <v>86</v>
      </c>
      <c r="E24" s="103">
        <f>I17+'март'!I17</f>
        <v>63900</v>
      </c>
      <c r="P24" s="8"/>
      <c r="Q24" s="96"/>
    </row>
    <row r="25">
      <c r="C25" s="106"/>
      <c r="D25" s="105"/>
      <c r="E25" s="105"/>
      <c r="N25" s="107"/>
    </row>
    <row r="26">
      <c r="D26" s="97" t="s">
        <v>87</v>
      </c>
      <c r="E26" s="108">
        <f>E20-E22-E24</f>
        <v>3245595.86</v>
      </c>
      <c r="F26" s="8">
        <v>6.0</v>
      </c>
      <c r="G26" s="96">
        <f>E26/F26</f>
        <v>540932.6433</v>
      </c>
      <c r="P26" s="8"/>
      <c r="Q26" s="97"/>
    </row>
    <row r="27">
      <c r="D27" s="96"/>
      <c r="E27" s="96"/>
      <c r="P27" s="8"/>
      <c r="Q27" s="97"/>
    </row>
    <row r="28">
      <c r="D28" s="96"/>
      <c r="E28" s="96"/>
      <c r="P28" s="8"/>
      <c r="Q28" s="97"/>
    </row>
    <row r="29">
      <c r="D29" s="96"/>
      <c r="E29" s="96">
        <f>E20+E22+E24</f>
        <v>4429795.86</v>
      </c>
      <c r="F29" s="8">
        <v>6.0</v>
      </c>
      <c r="G29" s="96">
        <f>E29/F29</f>
        <v>738299.31</v>
      </c>
      <c r="P29" s="8"/>
      <c r="Q29" s="97"/>
    </row>
    <row r="30">
      <c r="D30" s="96"/>
      <c r="E30" s="96"/>
      <c r="P30" s="8"/>
    </row>
    <row r="31">
      <c r="D31" s="96"/>
      <c r="E31" s="96"/>
    </row>
    <row r="32">
      <c r="D32" s="109" t="s">
        <v>20</v>
      </c>
      <c r="E32" s="110">
        <f>E7+'май'!E7+'апрель'!E7+'май'!H7+'март'!E7+'февраль'!E7+'январь'!E7</f>
        <v>200234</v>
      </c>
      <c r="F32" s="3">
        <v>6.0</v>
      </c>
      <c r="G32" s="12">
        <f>E32/F32</f>
        <v>33372.33333</v>
      </c>
      <c r="H32" s="11"/>
    </row>
    <row r="33">
      <c r="D33" s="11"/>
      <c r="E33" s="11"/>
      <c r="F33" s="11"/>
      <c r="G33" s="11"/>
      <c r="H33" s="11"/>
    </row>
    <row r="34">
      <c r="D34" s="111"/>
      <c r="E34" s="68" t="s">
        <v>70</v>
      </c>
      <c r="F34" s="68" t="s">
        <v>71</v>
      </c>
      <c r="G34" s="68" t="s">
        <v>72</v>
      </c>
      <c r="H34" s="68" t="s">
        <v>73</v>
      </c>
    </row>
    <row r="35">
      <c r="D35" s="3" t="s">
        <v>74</v>
      </c>
      <c r="E35" s="12">
        <f>8000+8000+7200+7200+7200+72000</f>
        <v>109600</v>
      </c>
      <c r="F35" s="12">
        <f>840+840+840+840+840+840+6708</f>
        <v>11748</v>
      </c>
      <c r="G35" s="12">
        <f>G3+'май'!G3+'апрель'!G3+'март'!G3+'февраль'!G3+'январь'!G3/2</f>
        <v>6708.98</v>
      </c>
      <c r="H35" s="11"/>
    </row>
    <row r="36">
      <c r="D36" s="11"/>
      <c r="E36" s="13">
        <v>6.0</v>
      </c>
      <c r="F36" s="13">
        <v>6.0</v>
      </c>
      <c r="G36" s="13">
        <v>6.0</v>
      </c>
      <c r="H36" s="11"/>
    </row>
    <row r="37">
      <c r="D37" s="11"/>
      <c r="E37" s="12">
        <f>E35/E36+G37</f>
        <v>19384.83</v>
      </c>
      <c r="F37" s="12">
        <f t="shared" ref="F37:G37" si="7">F35/F36</f>
        <v>1958</v>
      </c>
      <c r="G37" s="12">
        <f t="shared" si="7"/>
        <v>1118.163333</v>
      </c>
      <c r="H37" s="11"/>
    </row>
    <row r="38">
      <c r="D38" s="11"/>
      <c r="E38" s="12"/>
      <c r="F38" s="12"/>
      <c r="G38" s="12"/>
      <c r="H38" s="11"/>
    </row>
    <row r="39">
      <c r="D39" s="3" t="s">
        <v>75</v>
      </c>
      <c r="E39" s="12">
        <f>E4+'май'!E4+'апрель'!E4+'март'!E4+'февраль'!E4+'январь'!E4</f>
        <v>60000</v>
      </c>
      <c r="F39" s="12"/>
      <c r="G39" s="12">
        <f>G4+'май'!G4+'апрель'!G4+'март'!G4+'февраль'!G4+'январь'!G4</f>
        <v>3791.58</v>
      </c>
      <c r="H39" s="11"/>
    </row>
    <row r="40">
      <c r="D40" s="11"/>
      <c r="E40" s="13">
        <v>6.0</v>
      </c>
      <c r="F40" s="12"/>
      <c r="G40" s="13">
        <v>6.0</v>
      </c>
      <c r="H40" s="11"/>
    </row>
    <row r="41">
      <c r="D41" s="11"/>
      <c r="E41" s="12">
        <f>E39/E40+G41</f>
        <v>10631.93</v>
      </c>
      <c r="F41" s="12"/>
      <c r="G41" s="12">
        <f>G39/G40</f>
        <v>631.93</v>
      </c>
      <c r="H41" s="11"/>
    </row>
    <row r="42">
      <c r="D42" s="11"/>
      <c r="E42" s="12"/>
      <c r="F42" s="12"/>
      <c r="G42" s="12"/>
      <c r="H42" s="11"/>
      <c r="I42" s="8" t="s">
        <v>76</v>
      </c>
    </row>
    <row r="43">
      <c r="D43" s="3" t="s">
        <v>77</v>
      </c>
      <c r="E43" s="12">
        <f>22950+22950+23250+23250+24850+24850</f>
        <v>142100</v>
      </c>
      <c r="F43" s="12">
        <f>43800+43800+39960+39960+39960+39960</f>
        <v>247440</v>
      </c>
      <c r="G43" s="12">
        <f>(G5+'май'!G5+'апрель'!G5+'март'!G5+'февраль'!G5+'январь'!G5)/2</f>
        <v>19617.85</v>
      </c>
      <c r="H43" s="12"/>
      <c r="I43" s="97">
        <f>54000/2</f>
        <v>27000</v>
      </c>
    </row>
    <row r="44">
      <c r="D44" s="11"/>
      <c r="E44" s="13">
        <v>6.0</v>
      </c>
      <c r="F44" s="13">
        <v>6.0</v>
      </c>
      <c r="G44" s="13">
        <v>6.0</v>
      </c>
      <c r="H44" s="12"/>
      <c r="I44" s="97">
        <v>6.0</v>
      </c>
    </row>
    <row r="45">
      <c r="D45" s="11"/>
      <c r="E45" s="12">
        <f>E43/E44+G45+I45</f>
        <v>31452.975</v>
      </c>
      <c r="F45" s="12">
        <f>F43/F44+G45+I45</f>
        <v>49009.64167</v>
      </c>
      <c r="G45" s="12">
        <f>G43/G44</f>
        <v>3269.641667</v>
      </c>
      <c r="H45" s="12"/>
      <c r="I45" s="12">
        <f>I43/I44</f>
        <v>4500</v>
      </c>
    </row>
    <row r="46">
      <c r="D46" s="11"/>
      <c r="E46" s="12"/>
      <c r="F46" s="12"/>
      <c r="G46" s="12"/>
      <c r="H46" s="12"/>
      <c r="I46" s="96"/>
    </row>
    <row r="47">
      <c r="D47" s="3" t="s">
        <v>78</v>
      </c>
      <c r="E47" s="12"/>
      <c r="F47" s="12">
        <f>'май'!O6+'апрель'!O6+'март'!O6+'февраль'!N6+'январь'!N6+O6</f>
        <v>225194.28</v>
      </c>
      <c r="G47" s="12"/>
      <c r="H47" s="12"/>
      <c r="I47" s="96"/>
    </row>
    <row r="48">
      <c r="D48" s="11"/>
      <c r="E48" s="12"/>
      <c r="F48" s="13">
        <v>6.0</v>
      </c>
      <c r="G48" s="12"/>
      <c r="H48" s="12"/>
      <c r="I48" s="96"/>
    </row>
    <row r="49">
      <c r="D49" s="3"/>
      <c r="E49" s="12"/>
      <c r="F49" s="12">
        <f>F47/F48</f>
        <v>37532.38</v>
      </c>
      <c r="G49" s="12"/>
      <c r="H49" s="12"/>
      <c r="I49" s="96"/>
    </row>
    <row r="50">
      <c r="D50" s="11"/>
      <c r="E50" s="12"/>
      <c r="F50" s="12"/>
      <c r="G50" s="12"/>
      <c r="H50" s="12"/>
      <c r="I50" s="96"/>
    </row>
    <row r="51">
      <c r="D51" s="3" t="s">
        <v>79</v>
      </c>
      <c r="E51" s="13">
        <f>33000+3000</f>
        <v>36000</v>
      </c>
      <c r="F51" s="12">
        <f>E8+E9+'май'!E8+'май'!E9+'май'!H8+'апрель'!E8+'апрель'!E9+'апрель'!H8+'март'!E8+'март'!E9+'февраль'!E8+'февраль'!E9+'январь'!E8+'январь'!E9</f>
        <v>407440</v>
      </c>
      <c r="G51" s="12">
        <f>G8+'май'!G8+'апрель'!G8+'март'!G8+'февраль'!G8+'январь'!G8</f>
        <v>46559.2</v>
      </c>
      <c r="H51" s="12"/>
      <c r="I51" s="96"/>
    </row>
    <row r="52">
      <c r="D52" s="11"/>
      <c r="E52" s="13">
        <v>6.0</v>
      </c>
      <c r="F52" s="13">
        <v>6.0</v>
      </c>
      <c r="G52" s="13">
        <v>6.0</v>
      </c>
      <c r="H52" s="12"/>
      <c r="I52" s="96"/>
    </row>
    <row r="53">
      <c r="D53" s="11"/>
      <c r="E53" s="12">
        <f>E51/E52</f>
        <v>6000</v>
      </c>
      <c r="F53" s="12">
        <f>F51/F52+G53</f>
        <v>75666.53333</v>
      </c>
      <c r="G53" s="12">
        <f>G51/G52</f>
        <v>7759.866667</v>
      </c>
      <c r="H53" s="12"/>
      <c r="I53" s="96"/>
    </row>
    <row r="54">
      <c r="D54" s="11"/>
      <c r="E54" s="12"/>
      <c r="F54" s="12"/>
      <c r="G54" s="12"/>
      <c r="H54" s="12"/>
      <c r="I54" s="96"/>
    </row>
    <row r="55">
      <c r="D55" s="3" t="s">
        <v>80</v>
      </c>
      <c r="E55" s="12"/>
      <c r="F55" s="12">
        <f>O10+'май'!O10+'апрель'!O10+'март'!O10+'февраль'!N10+'январь'!N10</f>
        <v>313930.6</v>
      </c>
      <c r="G55" s="12"/>
      <c r="H55" s="12"/>
      <c r="I55" s="96"/>
    </row>
    <row r="56">
      <c r="D56" s="11"/>
      <c r="E56" s="12"/>
      <c r="F56" s="13">
        <v>6.0</v>
      </c>
      <c r="G56" s="12"/>
      <c r="H56" s="12"/>
      <c r="I56" s="96"/>
    </row>
    <row r="57">
      <c r="D57" s="11"/>
      <c r="E57" s="12"/>
      <c r="F57" s="12">
        <f>F55/F56</f>
        <v>52321.76667</v>
      </c>
      <c r="G57" s="12"/>
      <c r="H57" s="12"/>
      <c r="I57" s="96"/>
    </row>
    <row r="58">
      <c r="D58" s="11"/>
      <c r="E58" s="12"/>
      <c r="F58" s="12"/>
      <c r="G58" s="12"/>
      <c r="H58" s="12"/>
      <c r="I58" s="96"/>
    </row>
    <row r="59">
      <c r="D59" s="3" t="s">
        <v>16</v>
      </c>
      <c r="E59" s="13">
        <f>12800+12800+13600+13600+13600+13600</f>
        <v>80000</v>
      </c>
      <c r="F59" s="13">
        <f>14800+1917+9200+12800+3700+23800+1800</f>
        <v>68017</v>
      </c>
      <c r="G59" s="13">
        <f>2083+1690+1396+3546/2</f>
        <v>6942</v>
      </c>
      <c r="H59" s="12"/>
      <c r="I59" s="96"/>
    </row>
    <row r="60">
      <c r="D60" s="11"/>
      <c r="E60" s="13">
        <v>6.0</v>
      </c>
      <c r="F60" s="13">
        <v>6.0</v>
      </c>
      <c r="G60" s="13">
        <v>6.0</v>
      </c>
      <c r="H60" s="12"/>
      <c r="I60" s="96"/>
    </row>
    <row r="61">
      <c r="D61" s="11"/>
      <c r="E61" s="12">
        <f>E59/E60+G61</f>
        <v>14490.33333</v>
      </c>
      <c r="F61" s="12">
        <f>F59/F60+G61</f>
        <v>12493.16667</v>
      </c>
      <c r="G61" s="12">
        <f>G59/G60</f>
        <v>1157</v>
      </c>
      <c r="H61" s="12"/>
      <c r="I61" s="96"/>
    </row>
    <row r="62">
      <c r="D62" s="11"/>
      <c r="E62" s="12"/>
      <c r="F62" s="12"/>
      <c r="G62" s="12"/>
      <c r="H62" s="12"/>
      <c r="I62" s="96"/>
    </row>
    <row r="63">
      <c r="D63" s="3" t="s">
        <v>81</v>
      </c>
      <c r="E63" s="12"/>
      <c r="F63" s="12">
        <f>'январь'!N13+'февраль'!N13+'март'!O13+'апрель'!O13+'май'!O13+O13</f>
        <v>236050</v>
      </c>
      <c r="G63" s="12"/>
      <c r="H63" s="12"/>
      <c r="I63" s="96"/>
    </row>
    <row r="64">
      <c r="D64" s="11"/>
      <c r="E64" s="12"/>
      <c r="F64" s="13">
        <v>6.0</v>
      </c>
      <c r="G64" s="12"/>
      <c r="H64" s="12"/>
      <c r="I64" s="96"/>
    </row>
    <row r="65">
      <c r="D65" s="11"/>
      <c r="E65" s="12"/>
      <c r="F65" s="12">
        <f>F63/F64</f>
        <v>39341.66667</v>
      </c>
      <c r="G65" s="12"/>
      <c r="H65" s="12"/>
      <c r="I65" s="96"/>
    </row>
    <row r="66">
      <c r="D66" s="11"/>
      <c r="E66" s="12"/>
      <c r="F66" s="12"/>
      <c r="G66" s="12"/>
      <c r="H66" s="12"/>
      <c r="I66" s="96"/>
    </row>
    <row r="67">
      <c r="D67" s="3" t="s">
        <v>82</v>
      </c>
      <c r="E67" s="12"/>
      <c r="F67" s="12">
        <f>O14+'май'!O14+'апрель'!O14+'март'!O14+'февраль'!N14+'январь'!N14</f>
        <v>399214.35</v>
      </c>
      <c r="G67" s="12"/>
      <c r="H67" s="12"/>
      <c r="I67" s="96"/>
    </row>
    <row r="68">
      <c r="D68" s="11"/>
      <c r="E68" s="12"/>
      <c r="F68" s="13">
        <v>6.0</v>
      </c>
      <c r="G68" s="12"/>
      <c r="H68" s="12"/>
      <c r="I68" s="96"/>
    </row>
    <row r="69">
      <c r="D69" s="11"/>
      <c r="E69" s="12"/>
      <c r="F69" s="12">
        <f>F67/F68</f>
        <v>66535.725</v>
      </c>
      <c r="G69" s="12"/>
      <c r="H69" s="12"/>
      <c r="I69" s="96"/>
    </row>
    <row r="70">
      <c r="D70" s="11"/>
      <c r="E70" s="12"/>
      <c r="F70" s="12"/>
      <c r="G70" s="12"/>
      <c r="H70" s="12"/>
      <c r="I70" s="96"/>
    </row>
    <row r="71">
      <c r="D71" s="3" t="s">
        <v>83</v>
      </c>
      <c r="E71" s="12"/>
      <c r="F71" s="13">
        <v>256800.0</v>
      </c>
      <c r="G71" s="12"/>
      <c r="H71" s="12"/>
      <c r="I71" s="96"/>
    </row>
    <row r="72">
      <c r="D72" s="11"/>
      <c r="E72" s="11"/>
      <c r="F72" s="3">
        <v>6.0</v>
      </c>
      <c r="G72" s="11"/>
      <c r="H72" s="11"/>
    </row>
    <row r="73">
      <c r="D73" s="11"/>
      <c r="E73" s="11"/>
      <c r="F73" s="3">
        <v>42800.0</v>
      </c>
      <c r="G73" s="11"/>
      <c r="H73" s="11"/>
    </row>
    <row r="74">
      <c r="D74" s="11"/>
      <c r="E74" s="11"/>
      <c r="F74" s="11"/>
      <c r="G74" s="11"/>
      <c r="H74" s="11"/>
    </row>
    <row r="75">
      <c r="D75" s="11"/>
      <c r="E75" s="11"/>
      <c r="F75" s="11"/>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sheetData>
  <mergeCells count="20">
    <mergeCell ref="O8:O9"/>
    <mergeCell ref="P8:P9"/>
    <mergeCell ref="Q8:Q9"/>
    <mergeCell ref="F8:F9"/>
    <mergeCell ref="F10:F11"/>
    <mergeCell ref="G10:G11"/>
    <mergeCell ref="H10:H11"/>
    <mergeCell ref="L10:L11"/>
    <mergeCell ref="M10:M11"/>
    <mergeCell ref="N10:N11"/>
    <mergeCell ref="O10:O11"/>
    <mergeCell ref="P10:P11"/>
    <mergeCell ref="Q10:Q11"/>
    <mergeCell ref="B8:B9"/>
    <mergeCell ref="G8:G9"/>
    <mergeCell ref="H8:H9"/>
    <mergeCell ref="L8:L9"/>
    <mergeCell ref="M8:M9"/>
    <mergeCell ref="N8:N9"/>
    <mergeCell ref="B10:B11"/>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9.5"/>
    <col customWidth="1" min="7" max="7" width="12.25"/>
    <col customWidth="1" min="8" max="12" width="11.13"/>
    <col customWidth="1" min="13" max="13" width="10.88"/>
    <col customWidth="1" min="14" max="14" width="10.63"/>
    <col customWidth="1" min="15" max="15" width="13.5"/>
    <col customWidth="1" min="16" max="16" width="14.25"/>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(C3*D3)+7200-800</f>
        <v>14800</v>
      </c>
      <c r="F3" s="80"/>
      <c r="G3" s="112">
        <v>1017.66</v>
      </c>
      <c r="H3" s="113"/>
      <c r="I3" s="113"/>
      <c r="J3" s="113"/>
      <c r="K3" s="113"/>
      <c r="L3" s="113"/>
      <c r="M3" s="80"/>
      <c r="N3" s="80"/>
      <c r="O3" s="114">
        <f t="shared" ref="O3:O4" si="1">E3+F3+G3+H3+L3+M3-N3</f>
        <v>15817.66</v>
      </c>
      <c r="P3" s="40"/>
      <c r="Q3" s="40"/>
      <c r="R3" s="42"/>
      <c r="S3" s="42"/>
    </row>
    <row r="4">
      <c r="A4" s="29" t="s">
        <v>55</v>
      </c>
      <c r="B4" s="43" t="s">
        <v>54</v>
      </c>
      <c r="C4" s="31"/>
      <c r="D4" s="32"/>
      <c r="E4" s="32">
        <v>10000.0</v>
      </c>
      <c r="F4" s="80"/>
      <c r="G4" s="115">
        <v>638.28</v>
      </c>
      <c r="H4" s="35"/>
      <c r="I4" s="35"/>
      <c r="J4" s="35"/>
      <c r="K4" s="35"/>
      <c r="L4" s="35"/>
      <c r="M4" s="38"/>
      <c r="N4" s="38"/>
      <c r="O4" s="114">
        <f t="shared" si="1"/>
        <v>10638.28</v>
      </c>
      <c r="P4" s="40"/>
      <c r="Q4" s="40"/>
      <c r="R4" s="42"/>
      <c r="S4" s="42"/>
    </row>
    <row r="5">
      <c r="A5" s="29" t="s">
        <v>55</v>
      </c>
      <c r="B5" s="79" t="s">
        <v>60</v>
      </c>
      <c r="C5" s="31" t="s">
        <v>94</v>
      </c>
      <c r="D5" s="32" t="s">
        <v>92</v>
      </c>
      <c r="E5" s="32">
        <f>23250+39960+5000+4000</f>
        <v>72210</v>
      </c>
      <c r="F5" s="80"/>
      <c r="G5" s="81">
        <v>13498.32</v>
      </c>
      <c r="H5" s="35"/>
      <c r="I5" s="35"/>
      <c r="J5" s="35"/>
      <c r="K5" s="35"/>
      <c r="L5" s="35"/>
      <c r="M5" s="38"/>
      <c r="N5" s="38"/>
      <c r="O5" s="114">
        <f>E5+F5+G5+H5+L5+M5-N5+I5+J5</f>
        <v>85708.32</v>
      </c>
      <c r="P5" s="40"/>
      <c r="Q5" s="40"/>
      <c r="R5" s="42"/>
      <c r="S5" s="42"/>
    </row>
    <row r="6">
      <c r="A6" s="29" t="s">
        <v>55</v>
      </c>
      <c r="B6" s="43" t="s">
        <v>62</v>
      </c>
      <c r="C6" s="31">
        <v>215.0</v>
      </c>
      <c r="D6" s="32">
        <v>147.0</v>
      </c>
      <c r="E6" s="32">
        <f>C6*D6</f>
        <v>31605</v>
      </c>
      <c r="F6" s="33"/>
      <c r="G6" s="83">
        <v>2147.34</v>
      </c>
      <c r="H6" s="36">
        <f>700+700</f>
        <v>1400</v>
      </c>
      <c r="I6" s="36"/>
      <c r="J6" s="36"/>
      <c r="K6" s="36"/>
      <c r="L6" s="36"/>
      <c r="M6" s="37"/>
      <c r="N6" s="38"/>
      <c r="O6" s="114">
        <f>E6+F6+G6+H6+L6+M6-N6</f>
        <v>35152.34</v>
      </c>
      <c r="P6" s="40"/>
      <c r="Q6" s="40"/>
      <c r="R6" s="42"/>
      <c r="S6" s="42"/>
    </row>
    <row r="7">
      <c r="A7" s="29" t="s">
        <v>55</v>
      </c>
      <c r="B7" s="131" t="s">
        <v>57</v>
      </c>
      <c r="C7" s="46"/>
      <c r="D7" s="47"/>
      <c r="E7" s="48">
        <f>10400+16500+2000+2232</f>
        <v>31132</v>
      </c>
      <c r="F7" s="33"/>
      <c r="G7" s="49"/>
      <c r="H7" s="36"/>
      <c r="I7" s="36"/>
      <c r="J7" s="36"/>
      <c r="K7" s="36"/>
      <c r="L7" s="36"/>
      <c r="M7" s="37"/>
      <c r="N7" s="38"/>
      <c r="O7" s="39"/>
      <c r="P7" s="40"/>
      <c r="Q7" s="40"/>
      <c r="R7" s="42"/>
      <c r="S7" s="42"/>
    </row>
    <row r="8">
      <c r="A8" s="29" t="s">
        <v>55</v>
      </c>
      <c r="B8" s="132" t="s">
        <v>58</v>
      </c>
      <c r="C8" s="51">
        <v>639.0</v>
      </c>
      <c r="D8" s="48">
        <v>100.11</v>
      </c>
      <c r="E8" s="48">
        <f>645*100</f>
        <v>64500</v>
      </c>
      <c r="F8" s="52">
        <v>5500.0</v>
      </c>
      <c r="G8" s="53">
        <v>8751.3</v>
      </c>
      <c r="H8" s="54">
        <v>6500.0</v>
      </c>
      <c r="I8" s="55"/>
      <c r="J8" s="55"/>
      <c r="K8" s="55"/>
      <c r="L8" s="54">
        <v>15000.0</v>
      </c>
      <c r="M8" s="57"/>
      <c r="N8" s="58"/>
      <c r="O8" s="116">
        <f>E8+F8+E9+G8+H8+M8+L8-N8+E7</f>
        <v>133483.3</v>
      </c>
      <c r="P8" s="139"/>
      <c r="Q8" s="67"/>
      <c r="R8" s="42"/>
      <c r="S8" s="42"/>
    </row>
    <row r="9">
      <c r="A9" s="29" t="s">
        <v>55</v>
      </c>
      <c r="B9" s="62"/>
      <c r="C9" s="51">
        <v>42.0</v>
      </c>
      <c r="D9" s="48">
        <v>50.0</v>
      </c>
      <c r="E9" s="48">
        <f t="shared" ref="E9:E12" si="2">C9*D9</f>
        <v>2100</v>
      </c>
      <c r="F9" s="62"/>
      <c r="G9" s="62"/>
      <c r="H9" s="62"/>
      <c r="I9" s="55"/>
      <c r="J9" s="55"/>
      <c r="K9" s="55"/>
      <c r="L9" s="62"/>
      <c r="M9" s="62"/>
      <c r="N9" s="62"/>
      <c r="O9" s="62"/>
      <c r="P9" s="62"/>
      <c r="Q9" s="62"/>
      <c r="R9" s="42"/>
      <c r="S9" s="42"/>
    </row>
    <row r="10">
      <c r="A10" s="29" t="s">
        <v>55</v>
      </c>
      <c r="B10" s="134" t="s">
        <v>59</v>
      </c>
      <c r="C10" s="51">
        <v>346.0</v>
      </c>
      <c r="D10" s="48">
        <v>100.0</v>
      </c>
      <c r="E10" s="48">
        <f t="shared" si="2"/>
        <v>34600</v>
      </c>
      <c r="F10" s="52">
        <v>10000.0</v>
      </c>
      <c r="G10" s="53">
        <v>3130.08</v>
      </c>
      <c r="H10" s="64"/>
      <c r="I10" s="65"/>
      <c r="J10" s="65"/>
      <c r="K10" s="65"/>
      <c r="L10" s="64"/>
      <c r="M10" s="66"/>
      <c r="N10" s="58"/>
      <c r="O10" s="116">
        <f>E10+E11+F10+G10+L10+H10+M10-N10</f>
        <v>52154.08</v>
      </c>
      <c r="P10" s="67"/>
      <c r="Q10" s="67"/>
      <c r="R10" s="42"/>
      <c r="S10" s="42"/>
    </row>
    <row r="11">
      <c r="A11" s="29" t="s">
        <v>55</v>
      </c>
      <c r="B11" s="62"/>
      <c r="C11" s="51">
        <v>28.0</v>
      </c>
      <c r="D11" s="48">
        <v>158.0</v>
      </c>
      <c r="E11" s="48">
        <f t="shared" si="2"/>
        <v>4424</v>
      </c>
      <c r="F11" s="62"/>
      <c r="G11" s="62"/>
      <c r="H11" s="62"/>
      <c r="I11" s="65"/>
      <c r="J11" s="65"/>
      <c r="K11" s="65"/>
      <c r="L11" s="62"/>
      <c r="M11" s="62"/>
      <c r="N11" s="62"/>
      <c r="O11" s="62"/>
      <c r="P11" s="62"/>
      <c r="Q11" s="62"/>
      <c r="R11" s="42"/>
      <c r="S11" s="42"/>
    </row>
    <row r="12">
      <c r="A12" s="29" t="s">
        <v>55</v>
      </c>
      <c r="B12" s="84" t="s">
        <v>63</v>
      </c>
      <c r="C12" s="51">
        <v>17.0</v>
      </c>
      <c r="D12" s="48">
        <v>800.0</v>
      </c>
      <c r="E12" s="48">
        <f t="shared" si="2"/>
        <v>13600</v>
      </c>
      <c r="F12" s="33"/>
      <c r="G12" s="49">
        <v>1690.0</v>
      </c>
      <c r="H12" s="36">
        <f>10000+800+2000</f>
        <v>12800</v>
      </c>
      <c r="I12" s="36"/>
      <c r="J12" s="36"/>
      <c r="K12" s="36"/>
      <c r="L12" s="36"/>
      <c r="M12" s="49"/>
      <c r="N12" s="38"/>
      <c r="O12" s="118">
        <f>E12+H12+G12</f>
        <v>28090</v>
      </c>
      <c r="P12" s="40"/>
      <c r="Q12" s="40"/>
      <c r="R12" s="42"/>
      <c r="S12" s="42"/>
    </row>
    <row r="13">
      <c r="A13" s="29"/>
      <c r="B13" s="86" t="s">
        <v>81</v>
      </c>
      <c r="C13" s="51"/>
      <c r="D13" s="48"/>
      <c r="E13" s="48">
        <v>30000.0</v>
      </c>
      <c r="F13" s="33"/>
      <c r="G13" s="36"/>
      <c r="H13" s="36">
        <f>500+500+500</f>
        <v>1500</v>
      </c>
      <c r="I13" s="36"/>
      <c r="J13" s="36"/>
      <c r="K13" s="36"/>
      <c r="L13" s="36"/>
      <c r="M13" s="37"/>
      <c r="N13" s="38"/>
      <c r="O13" s="39">
        <f>E13+F13+G13+H13+M13-N13</f>
        <v>31500</v>
      </c>
      <c r="P13" s="40"/>
      <c r="Q13" s="40"/>
      <c r="R13" s="42"/>
      <c r="S13" s="42"/>
    </row>
    <row r="14">
      <c r="A14" s="29"/>
      <c r="B14" s="86" t="s">
        <v>65</v>
      </c>
      <c r="C14" s="51"/>
      <c r="D14" s="48"/>
      <c r="E14" s="48"/>
      <c r="F14" s="33"/>
      <c r="G14" s="36"/>
      <c r="H14" s="36"/>
      <c r="I14" s="36"/>
      <c r="J14" s="36"/>
      <c r="K14" s="36"/>
      <c r="L14" s="36"/>
      <c r="M14" s="37">
        <f t="shared" ref="M14:M15" si="3">61756.2+75+3709.87</f>
        <v>65541.07</v>
      </c>
      <c r="N14" s="38"/>
      <c r="O14" s="114">
        <f t="shared" ref="O14:O16" si="4">M14+G14</f>
        <v>65541.07</v>
      </c>
      <c r="P14" s="40"/>
      <c r="Q14" s="40"/>
      <c r="R14" s="42"/>
      <c r="S14" s="42"/>
    </row>
    <row r="15">
      <c r="A15" s="29"/>
      <c r="B15" s="86" t="s">
        <v>66</v>
      </c>
      <c r="C15" s="51"/>
      <c r="D15" s="48"/>
      <c r="E15" s="48"/>
      <c r="F15" s="33"/>
      <c r="G15" s="36"/>
      <c r="H15" s="36"/>
      <c r="I15" s="36"/>
      <c r="J15" s="36"/>
      <c r="K15" s="36"/>
      <c r="L15" s="36"/>
      <c r="M15" s="37">
        <f t="shared" si="3"/>
        <v>65541.07</v>
      </c>
      <c r="N15" s="38"/>
      <c r="O15" s="114">
        <f t="shared" si="4"/>
        <v>65541.07</v>
      </c>
      <c r="P15" s="40"/>
      <c r="Q15" s="40"/>
      <c r="R15" s="42"/>
      <c r="S15" s="42"/>
    </row>
    <row r="16">
      <c r="A16" s="3"/>
      <c r="B16" s="86" t="s">
        <v>67</v>
      </c>
      <c r="C16" s="87"/>
      <c r="D16" s="88"/>
      <c r="E16" s="88"/>
      <c r="F16" s="89"/>
      <c r="G16" s="36"/>
      <c r="H16" s="36"/>
      <c r="I16" s="36"/>
      <c r="J16" s="36"/>
      <c r="K16" s="36"/>
      <c r="L16" s="36"/>
      <c r="M16" s="37">
        <v>42800.0</v>
      </c>
      <c r="N16" s="38"/>
      <c r="O16" s="114">
        <f t="shared" si="4"/>
        <v>42800</v>
      </c>
      <c r="P16" s="40"/>
      <c r="Q16" s="40"/>
      <c r="R16" s="42"/>
      <c r="S16" s="42"/>
    </row>
    <row r="17">
      <c r="A17" s="119" t="s">
        <v>68</v>
      </c>
      <c r="B17" s="119"/>
      <c r="C17" s="120">
        <f>SUM(C3:C8)</f>
        <v>938</v>
      </c>
      <c r="D17" s="121"/>
      <c r="E17" s="120">
        <f>SUM(E3:E15)</f>
        <v>308971</v>
      </c>
      <c r="F17" s="120">
        <f>SUM(F3:F12)</f>
        <v>15500</v>
      </c>
      <c r="G17" s="122">
        <f t="shared" ref="G17:H17" si="5">SUM(G3:G15)</f>
        <v>30872.98</v>
      </c>
      <c r="H17" s="120">
        <f t="shared" si="5"/>
        <v>22200</v>
      </c>
      <c r="I17" s="120">
        <f t="shared" ref="I17:M17" si="6">SUM(I3:I16)</f>
        <v>0</v>
      </c>
      <c r="J17" s="120">
        <f t="shared" si="6"/>
        <v>0</v>
      </c>
      <c r="K17" s="120">
        <f t="shared" si="6"/>
        <v>0</v>
      </c>
      <c r="L17" s="120">
        <f t="shared" si="6"/>
        <v>15000</v>
      </c>
      <c r="M17" s="120">
        <f t="shared" si="6"/>
        <v>173882.14</v>
      </c>
      <c r="N17" s="120">
        <f>SUM(N3:N12)</f>
        <v>0</v>
      </c>
      <c r="O17" s="39">
        <f>SUM(O3:O16)</f>
        <v>566426.12</v>
      </c>
      <c r="P17" s="123"/>
      <c r="Q17" s="40"/>
      <c r="R17" s="42"/>
      <c r="S17" s="95"/>
    </row>
    <row r="18">
      <c r="C18" s="8"/>
      <c r="D18" s="96"/>
      <c r="E18" s="97"/>
      <c r="N18" s="124"/>
      <c r="P18" s="101"/>
      <c r="Q18" s="22"/>
      <c r="R18" s="22"/>
      <c r="S18" s="22"/>
    </row>
    <row r="19">
      <c r="C19" s="102"/>
      <c r="D19" s="103"/>
      <c r="E19" s="103"/>
      <c r="P19" s="101"/>
      <c r="Q19" s="104"/>
      <c r="R19" s="22"/>
      <c r="S19" s="22"/>
    </row>
    <row r="20">
      <c r="C20" s="102"/>
      <c r="D20" s="103"/>
      <c r="E20" s="103"/>
      <c r="P20" s="8"/>
      <c r="Q20" s="97"/>
    </row>
    <row r="21">
      <c r="C21" s="102"/>
      <c r="D21" s="103"/>
      <c r="E21" s="103"/>
      <c r="P21" s="8"/>
      <c r="Q21" s="97"/>
    </row>
    <row r="22">
      <c r="C22" s="102"/>
      <c r="D22" s="103"/>
      <c r="E22" s="105"/>
      <c r="P22" s="8"/>
      <c r="Q22" s="97"/>
    </row>
    <row r="23">
      <c r="C23" s="102"/>
      <c r="D23" s="103"/>
      <c r="E23" s="105"/>
      <c r="P23" s="8"/>
      <c r="Q23" s="97"/>
    </row>
    <row r="24">
      <c r="C24" s="102"/>
      <c r="D24" s="105"/>
      <c r="E24" s="103"/>
      <c r="P24" s="8"/>
      <c r="Q24" s="96"/>
    </row>
    <row r="25">
      <c r="C25" s="106"/>
      <c r="D25" s="105"/>
      <c r="E25" s="105"/>
      <c r="N25" s="107"/>
    </row>
    <row r="26">
      <c r="D26" s="96"/>
      <c r="E26" s="96"/>
      <c r="P26" s="8"/>
      <c r="Q26" s="97"/>
    </row>
    <row r="27">
      <c r="D27" s="96"/>
      <c r="E27" s="96"/>
      <c r="P27" s="8"/>
      <c r="Q27" s="97"/>
    </row>
    <row r="28">
      <c r="D28" s="96"/>
      <c r="E28" s="96"/>
      <c r="P28" s="8"/>
      <c r="Q28" s="97"/>
    </row>
    <row r="29">
      <c r="D29" s="96"/>
      <c r="E29" s="96"/>
      <c r="P29" s="8"/>
      <c r="Q29" s="97"/>
    </row>
    <row r="30">
      <c r="D30" s="96"/>
      <c r="E30" s="96"/>
      <c r="P30" s="8"/>
    </row>
    <row r="31">
      <c r="D31" s="96"/>
      <c r="E31" s="96"/>
    </row>
    <row r="32">
      <c r="D32" s="108"/>
      <c r="E32" s="108"/>
    </row>
  </sheetData>
  <mergeCells count="20">
    <mergeCell ref="O8:O9"/>
    <mergeCell ref="P8:P9"/>
    <mergeCell ref="Q8:Q9"/>
    <mergeCell ref="F8:F9"/>
    <mergeCell ref="F10:F11"/>
    <mergeCell ref="G10:G11"/>
    <mergeCell ref="H10:H11"/>
    <mergeCell ref="L10:L11"/>
    <mergeCell ref="M10:M11"/>
    <mergeCell ref="N10:N11"/>
    <mergeCell ref="O10:O11"/>
    <mergeCell ref="P10:P11"/>
    <mergeCell ref="Q10:Q11"/>
    <mergeCell ref="B8:B9"/>
    <mergeCell ref="G8:G9"/>
    <mergeCell ref="H8:H9"/>
    <mergeCell ref="L8:L9"/>
    <mergeCell ref="M8:M9"/>
    <mergeCell ref="N8:N9"/>
    <mergeCell ref="B10:B11"/>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9.5"/>
    <col customWidth="1" min="7" max="7" width="12.25"/>
    <col customWidth="1" min="8" max="12" width="11.13"/>
    <col customWidth="1" min="13" max="13" width="10.88"/>
    <col customWidth="1" min="14" max="14" width="10.63"/>
    <col customWidth="1" min="15" max="15" width="13.5"/>
    <col customWidth="1" min="16" max="16" width="14.25"/>
    <col customWidth="1" min="17" max="17" width="10.0"/>
    <col customWidth="1" min="18" max="19" width="13.88"/>
  </cols>
  <sheetData>
    <row r="1">
      <c r="A1" s="17"/>
      <c r="B1" s="18"/>
      <c r="C1" s="19"/>
      <c r="D1" s="20"/>
      <c r="E1" s="20"/>
      <c r="F1" s="20"/>
      <c r="G1" s="20"/>
      <c r="H1" s="21"/>
      <c r="I1" s="21"/>
      <c r="J1" s="21"/>
      <c r="K1" s="21"/>
      <c r="L1" s="21"/>
      <c r="M1" s="21"/>
      <c r="N1" s="20"/>
      <c r="O1" s="17"/>
      <c r="P1" s="22"/>
      <c r="Q1" s="22"/>
      <c r="R1" s="22"/>
      <c r="S1" s="22"/>
    </row>
    <row r="2" ht="38.25" customHeight="1">
      <c r="A2" s="23" t="s">
        <v>35</v>
      </c>
      <c r="B2" s="23" t="s">
        <v>36</v>
      </c>
      <c r="C2" s="24" t="s">
        <v>37</v>
      </c>
      <c r="D2" s="24" t="s">
        <v>38</v>
      </c>
      <c r="E2" s="24" t="s">
        <v>39</v>
      </c>
      <c r="F2" s="24" t="s">
        <v>40</v>
      </c>
      <c r="G2" s="24" t="s">
        <v>41</v>
      </c>
      <c r="H2" s="24" t="s">
        <v>42</v>
      </c>
      <c r="I2" s="24" t="s">
        <v>43</v>
      </c>
      <c r="J2" s="24" t="s">
        <v>44</v>
      </c>
      <c r="K2" s="24" t="s">
        <v>45</v>
      </c>
      <c r="L2" s="24" t="s">
        <v>46</v>
      </c>
      <c r="M2" s="24" t="s">
        <v>47</v>
      </c>
      <c r="N2" s="24" t="s">
        <v>48</v>
      </c>
      <c r="O2" s="25" t="s">
        <v>49</v>
      </c>
      <c r="P2" s="26" t="s">
        <v>50</v>
      </c>
      <c r="Q2" s="27" t="s">
        <v>51</v>
      </c>
      <c r="R2" s="28"/>
      <c r="S2" s="28"/>
    </row>
    <row r="3">
      <c r="A3" s="29" t="s">
        <v>55</v>
      </c>
      <c r="B3" s="30" t="s">
        <v>52</v>
      </c>
      <c r="C3" s="31">
        <v>84.0</v>
      </c>
      <c r="D3" s="32">
        <v>100.0</v>
      </c>
      <c r="E3" s="32">
        <f>(C3*D3)+7200-800</f>
        <v>14800</v>
      </c>
      <c r="F3" s="80"/>
      <c r="G3" s="112">
        <v>2160.78</v>
      </c>
      <c r="H3" s="113"/>
      <c r="I3" s="113"/>
      <c r="J3" s="113"/>
      <c r="K3" s="113"/>
      <c r="L3" s="113"/>
      <c r="M3" s="80"/>
      <c r="N3" s="80"/>
      <c r="O3" s="114">
        <f t="shared" ref="O3:O4" si="1">E3+F3+G3+H3+L3+M3-N3</f>
        <v>16960.78</v>
      </c>
      <c r="P3" s="82">
        <v>16961.0</v>
      </c>
      <c r="Q3" s="82">
        <v>0.0</v>
      </c>
      <c r="R3" s="42"/>
      <c r="S3" s="42"/>
    </row>
    <row r="4">
      <c r="A4" s="29" t="s">
        <v>55</v>
      </c>
      <c r="B4" s="43" t="s">
        <v>54</v>
      </c>
      <c r="C4" s="31"/>
      <c r="D4" s="32"/>
      <c r="E4" s="32">
        <v>10000.0</v>
      </c>
      <c r="F4" s="80"/>
      <c r="G4" s="115">
        <v>638.28</v>
      </c>
      <c r="H4" s="35"/>
      <c r="I4" s="35"/>
      <c r="J4" s="35"/>
      <c r="K4" s="35"/>
      <c r="L4" s="35"/>
      <c r="M4" s="38"/>
      <c r="N4" s="38"/>
      <c r="O4" s="114">
        <f t="shared" si="1"/>
        <v>10638.28</v>
      </c>
      <c r="P4" s="82">
        <v>10638.0</v>
      </c>
      <c r="Q4" s="82">
        <v>0.0</v>
      </c>
      <c r="R4" s="42"/>
      <c r="S4" s="42"/>
    </row>
    <row r="5">
      <c r="A5" s="29" t="s">
        <v>55</v>
      </c>
      <c r="B5" s="79" t="s">
        <v>60</v>
      </c>
      <c r="C5" s="31" t="s">
        <v>94</v>
      </c>
      <c r="D5" s="32" t="s">
        <v>92</v>
      </c>
      <c r="E5" s="32">
        <f>23250+39960+5000+4000</f>
        <v>72210</v>
      </c>
      <c r="F5" s="80"/>
      <c r="G5" s="81">
        <v>6262.38</v>
      </c>
      <c r="H5" s="35">
        <v>1500.0</v>
      </c>
      <c r="I5" s="35">
        <f>2000+14000</f>
        <v>16000</v>
      </c>
      <c r="J5" s="35">
        <f>9000+120000</f>
        <v>129000</v>
      </c>
      <c r="K5" s="35"/>
      <c r="L5" s="35"/>
      <c r="M5" s="38"/>
      <c r="N5" s="38"/>
      <c r="O5" s="114">
        <f>E5+F5+G5+H5+L5+M5-N5+I5+J5</f>
        <v>224972.38</v>
      </c>
      <c r="P5" s="82">
        <f>O5-Q5</f>
        <v>78472.38</v>
      </c>
      <c r="Q5" s="82">
        <v>146500.0</v>
      </c>
      <c r="R5" s="42"/>
      <c r="S5" s="42"/>
    </row>
    <row r="6">
      <c r="A6" s="29" t="s">
        <v>55</v>
      </c>
      <c r="B6" s="43" t="s">
        <v>62</v>
      </c>
      <c r="C6" s="31">
        <v>215.0</v>
      </c>
      <c r="D6" s="32">
        <v>147.0</v>
      </c>
      <c r="E6" s="32">
        <f>C6*D6</f>
        <v>31605</v>
      </c>
      <c r="F6" s="33"/>
      <c r="G6" s="83">
        <v>2083.56</v>
      </c>
      <c r="H6" s="36">
        <f>1500+300+300</f>
        <v>2100</v>
      </c>
      <c r="I6" s="36"/>
      <c r="J6" s="36"/>
      <c r="K6" s="36"/>
      <c r="L6" s="36"/>
      <c r="M6" s="37"/>
      <c r="N6" s="38"/>
      <c r="O6" s="114">
        <f>E6+F6+G6+H6+L6+M6-N6</f>
        <v>35788.56</v>
      </c>
      <c r="P6" s="82">
        <v>35789.0</v>
      </c>
      <c r="Q6" s="82">
        <v>0.0</v>
      </c>
      <c r="R6" s="42"/>
      <c r="S6" s="42"/>
    </row>
    <row r="7">
      <c r="A7" s="29" t="s">
        <v>55</v>
      </c>
      <c r="B7" s="131" t="s">
        <v>57</v>
      </c>
      <c r="C7" s="46"/>
      <c r="D7" s="47"/>
      <c r="E7" s="48">
        <f>13000+15750+2000+2201</f>
        <v>32951</v>
      </c>
      <c r="F7" s="33"/>
      <c r="G7" s="49"/>
      <c r="H7" s="36"/>
      <c r="I7" s="36"/>
      <c r="J7" s="36"/>
      <c r="K7" s="36"/>
      <c r="L7" s="36"/>
      <c r="M7" s="37"/>
      <c r="N7" s="38"/>
      <c r="O7" s="114"/>
      <c r="P7" s="82">
        <v>0.0</v>
      </c>
      <c r="Q7" s="82">
        <v>0.0</v>
      </c>
      <c r="R7" s="42"/>
      <c r="S7" s="42"/>
    </row>
    <row r="8">
      <c r="A8" s="29" t="s">
        <v>55</v>
      </c>
      <c r="B8" s="132" t="s">
        <v>58</v>
      </c>
      <c r="C8" s="51">
        <v>645.0</v>
      </c>
      <c r="D8" s="48">
        <v>100.11</v>
      </c>
      <c r="E8" s="48">
        <f>645*100</f>
        <v>64500</v>
      </c>
      <c r="F8" s="52">
        <v>5500.0</v>
      </c>
      <c r="G8" s="53">
        <v>7803.78</v>
      </c>
      <c r="H8" s="54">
        <v>3000.0</v>
      </c>
      <c r="I8" s="55"/>
      <c r="J8" s="55"/>
      <c r="K8" s="55"/>
      <c r="L8" s="54">
        <f>3000*10</f>
        <v>30000</v>
      </c>
      <c r="M8" s="57"/>
      <c r="N8" s="58"/>
      <c r="O8" s="116">
        <f>E8+F8+E9+G8+H8+M8+L8-N8+E7</f>
        <v>145854.78</v>
      </c>
      <c r="P8" s="140">
        <f>O8-Q8</f>
        <v>112854.78</v>
      </c>
      <c r="Q8" s="61">
        <v>33000.0</v>
      </c>
      <c r="R8" s="42"/>
      <c r="S8" s="42"/>
    </row>
    <row r="9">
      <c r="A9" s="29" t="s">
        <v>55</v>
      </c>
      <c r="B9" s="62"/>
      <c r="C9" s="51">
        <v>42.0</v>
      </c>
      <c r="D9" s="48">
        <v>50.0</v>
      </c>
      <c r="E9" s="48">
        <f t="shared" ref="E9:E12" si="2">C9*D9</f>
        <v>2100</v>
      </c>
      <c r="F9" s="62"/>
      <c r="G9" s="62"/>
      <c r="H9" s="62"/>
      <c r="I9" s="55"/>
      <c r="J9" s="55"/>
      <c r="K9" s="55"/>
      <c r="L9" s="62"/>
      <c r="M9" s="62"/>
      <c r="N9" s="62"/>
      <c r="O9" s="62"/>
      <c r="P9" s="62"/>
      <c r="Q9" s="62"/>
      <c r="R9" s="42"/>
      <c r="S9" s="42"/>
    </row>
    <row r="10">
      <c r="A10" s="29" t="s">
        <v>55</v>
      </c>
      <c r="B10" s="134" t="s">
        <v>59</v>
      </c>
      <c r="C10" s="51">
        <v>346.0</v>
      </c>
      <c r="D10" s="48">
        <v>100.0</v>
      </c>
      <c r="E10" s="48">
        <f t="shared" si="2"/>
        <v>34600</v>
      </c>
      <c r="F10" s="52">
        <v>10000.0</v>
      </c>
      <c r="G10" s="53">
        <v>3143.82</v>
      </c>
      <c r="H10" s="64"/>
      <c r="I10" s="65"/>
      <c r="J10" s="65"/>
      <c r="K10" s="65"/>
      <c r="L10" s="64"/>
      <c r="M10" s="66"/>
      <c r="N10" s="58"/>
      <c r="O10" s="116">
        <f>E10+E11+F10+G10+L10+H10+M10-N10</f>
        <v>52167.82</v>
      </c>
      <c r="P10" s="61">
        <v>52168.0</v>
      </c>
      <c r="Q10" s="61">
        <v>0.0</v>
      </c>
      <c r="R10" s="42"/>
      <c r="S10" s="42"/>
    </row>
    <row r="11">
      <c r="A11" s="29" t="s">
        <v>55</v>
      </c>
      <c r="B11" s="62"/>
      <c r="C11" s="51">
        <v>28.0</v>
      </c>
      <c r="D11" s="48">
        <v>158.0</v>
      </c>
      <c r="E11" s="48">
        <f t="shared" si="2"/>
        <v>4424</v>
      </c>
      <c r="F11" s="62"/>
      <c r="G11" s="62"/>
      <c r="H11" s="62"/>
      <c r="I11" s="65"/>
      <c r="J11" s="65"/>
      <c r="K11" s="65"/>
      <c r="L11" s="62"/>
      <c r="M11" s="62"/>
      <c r="N11" s="62"/>
      <c r="O11" s="62"/>
      <c r="P11" s="62"/>
      <c r="Q11" s="62"/>
      <c r="R11" s="42"/>
      <c r="S11" s="42"/>
    </row>
    <row r="12">
      <c r="A12" s="29" t="s">
        <v>55</v>
      </c>
      <c r="B12" s="84" t="s">
        <v>63</v>
      </c>
      <c r="C12" s="51">
        <v>17.0</v>
      </c>
      <c r="D12" s="48">
        <v>800.0</v>
      </c>
      <c r="E12" s="48">
        <f t="shared" si="2"/>
        <v>13600</v>
      </c>
      <c r="F12" s="33"/>
      <c r="G12" s="49">
        <v>1811.2</v>
      </c>
      <c r="H12" s="36">
        <f>1200+1000+2000+400+1000+1600+2000</f>
        <v>9200</v>
      </c>
      <c r="I12" s="36">
        <v>5500.0</v>
      </c>
      <c r="J12" s="36"/>
      <c r="K12" s="36"/>
      <c r="L12" s="36"/>
      <c r="M12" s="49"/>
      <c r="N12" s="38"/>
      <c r="O12" s="118">
        <f>E12+H12+G12+I12</f>
        <v>30111.2</v>
      </c>
      <c r="P12" s="82">
        <v>30111.0</v>
      </c>
      <c r="Q12" s="82">
        <v>0.0</v>
      </c>
      <c r="R12" s="42"/>
      <c r="S12" s="42"/>
    </row>
    <row r="13">
      <c r="A13" s="29"/>
      <c r="B13" s="86" t="s">
        <v>81</v>
      </c>
      <c r="C13" s="51"/>
      <c r="D13" s="48"/>
      <c r="E13" s="48">
        <v>30000.0</v>
      </c>
      <c r="F13" s="33"/>
      <c r="G13" s="36"/>
      <c r="H13" s="36">
        <v>3500.0</v>
      </c>
      <c r="I13" s="36"/>
      <c r="J13" s="36"/>
      <c r="K13" s="36"/>
      <c r="L13" s="36"/>
      <c r="M13" s="37"/>
      <c r="N13" s="38"/>
      <c r="O13" s="114">
        <f>E13+F13+G13+H13+M13-N13</f>
        <v>33500</v>
      </c>
      <c r="P13" s="82">
        <v>33500.0</v>
      </c>
      <c r="Q13" s="82">
        <v>0.0</v>
      </c>
      <c r="R13" s="42"/>
      <c r="S13" s="42"/>
    </row>
    <row r="14">
      <c r="A14" s="29"/>
      <c r="B14" s="86" t="s">
        <v>65</v>
      </c>
      <c r="C14" s="51"/>
      <c r="D14" s="48"/>
      <c r="E14" s="48"/>
      <c r="F14" s="33"/>
      <c r="G14" s="36"/>
      <c r="H14" s="36"/>
      <c r="I14" s="36"/>
      <c r="J14" s="36"/>
      <c r="K14" s="36"/>
      <c r="L14" s="36"/>
      <c r="M14" s="37">
        <f t="shared" ref="M14:M15" si="3">61756.2+75+3709.87</f>
        <v>65541.07</v>
      </c>
      <c r="N14" s="38"/>
      <c r="O14" s="114">
        <f t="shared" ref="O14:O16" si="4">M14+G14</f>
        <v>65541.07</v>
      </c>
      <c r="P14" s="40"/>
      <c r="Q14" s="40"/>
      <c r="R14" s="42"/>
      <c r="S14" s="42"/>
    </row>
    <row r="15">
      <c r="A15" s="29"/>
      <c r="B15" s="86" t="s">
        <v>66</v>
      </c>
      <c r="C15" s="51"/>
      <c r="D15" s="48"/>
      <c r="E15" s="48"/>
      <c r="F15" s="33"/>
      <c r="G15" s="36"/>
      <c r="H15" s="36"/>
      <c r="I15" s="36"/>
      <c r="J15" s="36"/>
      <c r="K15" s="36"/>
      <c r="L15" s="36"/>
      <c r="M15" s="37">
        <f t="shared" si="3"/>
        <v>65541.07</v>
      </c>
      <c r="N15" s="38"/>
      <c r="O15" s="114">
        <f t="shared" si="4"/>
        <v>65541.07</v>
      </c>
      <c r="P15" s="82">
        <v>65541.0</v>
      </c>
      <c r="Q15" s="82">
        <v>0.0</v>
      </c>
      <c r="R15" s="42"/>
      <c r="S15" s="42"/>
    </row>
    <row r="16">
      <c r="A16" s="3"/>
      <c r="B16" s="86" t="s">
        <v>67</v>
      </c>
      <c r="C16" s="87"/>
      <c r="D16" s="88"/>
      <c r="E16" s="88"/>
      <c r="F16" s="89"/>
      <c r="G16" s="36"/>
      <c r="H16" s="36"/>
      <c r="I16" s="36"/>
      <c r="J16" s="36"/>
      <c r="K16" s="36"/>
      <c r="L16" s="36"/>
      <c r="M16" s="37">
        <v>42800.0</v>
      </c>
      <c r="N16" s="38"/>
      <c r="O16" s="114">
        <f t="shared" si="4"/>
        <v>42800</v>
      </c>
      <c r="P16" s="82">
        <v>42800.0</v>
      </c>
      <c r="Q16" s="82">
        <v>0.0</v>
      </c>
      <c r="R16" s="42"/>
      <c r="S16" s="42"/>
    </row>
    <row r="17">
      <c r="A17" s="119" t="s">
        <v>68</v>
      </c>
      <c r="B17" s="119"/>
      <c r="C17" s="120">
        <f>SUM(C3:C8)</f>
        <v>944</v>
      </c>
      <c r="D17" s="121"/>
      <c r="E17" s="120">
        <f>SUM(E3:E15)</f>
        <v>310790</v>
      </c>
      <c r="F17" s="120">
        <f>SUM(F3:F12)</f>
        <v>15500</v>
      </c>
      <c r="G17" s="122">
        <f t="shared" ref="G17:H17" si="5">SUM(G3:G15)</f>
        <v>23903.8</v>
      </c>
      <c r="H17" s="120">
        <f t="shared" si="5"/>
        <v>19300</v>
      </c>
      <c r="I17" s="120">
        <f t="shared" ref="I17:M17" si="6">SUM(I3:I16)</f>
        <v>21500</v>
      </c>
      <c r="J17" s="120">
        <f t="shared" si="6"/>
        <v>129000</v>
      </c>
      <c r="K17" s="120">
        <f t="shared" si="6"/>
        <v>0</v>
      </c>
      <c r="L17" s="120">
        <f t="shared" si="6"/>
        <v>30000</v>
      </c>
      <c r="M17" s="120">
        <f t="shared" si="6"/>
        <v>173882.14</v>
      </c>
      <c r="N17" s="120">
        <f>SUM(N3:N12)</f>
        <v>0</v>
      </c>
      <c r="O17" s="39">
        <f>SUM(O3:O16)</f>
        <v>723875.94</v>
      </c>
      <c r="P17" s="123"/>
      <c r="Q17" s="40"/>
      <c r="R17" s="42"/>
      <c r="S17" s="95"/>
    </row>
    <row r="18">
      <c r="C18" s="8"/>
      <c r="D18" s="96"/>
      <c r="E18" s="97"/>
      <c r="N18" s="124"/>
      <c r="P18" s="101"/>
      <c r="Q18" s="22"/>
      <c r="R18" s="22"/>
      <c r="S18" s="22"/>
    </row>
    <row r="19">
      <c r="C19" s="102"/>
      <c r="D19" s="103"/>
      <c r="E19" s="103"/>
      <c r="P19" s="101"/>
      <c r="Q19" s="104"/>
      <c r="R19" s="22"/>
      <c r="S19" s="22"/>
    </row>
    <row r="20">
      <c r="C20" s="102"/>
      <c r="D20" s="103"/>
      <c r="E20" s="103"/>
      <c r="P20" s="8"/>
      <c r="Q20" s="97"/>
    </row>
    <row r="21">
      <c r="C21" s="102"/>
      <c r="D21" s="103"/>
      <c r="E21" s="103"/>
      <c r="P21" s="8"/>
      <c r="Q21" s="97"/>
    </row>
    <row r="22">
      <c r="C22" s="102"/>
      <c r="D22" s="103"/>
      <c r="E22" s="105"/>
      <c r="P22" s="8"/>
      <c r="Q22" s="97"/>
    </row>
    <row r="23">
      <c r="C23" s="102"/>
      <c r="D23" s="103"/>
      <c r="E23" s="105"/>
      <c r="P23" s="8"/>
      <c r="Q23" s="97"/>
    </row>
    <row r="24">
      <c r="C24" s="102"/>
      <c r="D24" s="105"/>
      <c r="E24" s="103"/>
      <c r="P24" s="8"/>
      <c r="Q24" s="96"/>
    </row>
    <row r="25">
      <c r="C25" s="106"/>
      <c r="D25" s="105"/>
      <c r="E25" s="105"/>
      <c r="N25" s="107"/>
    </row>
    <row r="26">
      <c r="D26" s="96"/>
      <c r="E26" s="96"/>
      <c r="P26" s="8"/>
      <c r="Q26" s="97"/>
    </row>
    <row r="27">
      <c r="D27" s="96"/>
      <c r="E27" s="96"/>
      <c r="P27" s="8"/>
      <c r="Q27" s="97"/>
    </row>
    <row r="28">
      <c r="D28" s="96"/>
      <c r="E28" s="96"/>
      <c r="P28" s="8"/>
      <c r="Q28" s="97"/>
    </row>
    <row r="29">
      <c r="D29" s="96"/>
      <c r="E29" s="96"/>
      <c r="P29" s="8"/>
      <c r="Q29" s="97"/>
    </row>
    <row r="30">
      <c r="D30" s="96"/>
      <c r="E30" s="96"/>
      <c r="P30" s="8"/>
    </row>
    <row r="31">
      <c r="D31" s="96"/>
      <c r="E31" s="96"/>
    </row>
    <row r="32">
      <c r="D32" s="108"/>
      <c r="E32" s="108"/>
    </row>
  </sheetData>
  <mergeCells count="20">
    <mergeCell ref="O8:O9"/>
    <mergeCell ref="P8:P9"/>
    <mergeCell ref="Q8:Q9"/>
    <mergeCell ref="F8:F9"/>
    <mergeCell ref="F10:F11"/>
    <mergeCell ref="G10:G11"/>
    <mergeCell ref="H10:H11"/>
    <mergeCell ref="L10:L11"/>
    <mergeCell ref="M10:M11"/>
    <mergeCell ref="N10:N11"/>
    <mergeCell ref="O10:O11"/>
    <mergeCell ref="P10:P11"/>
    <mergeCell ref="Q10:Q11"/>
    <mergeCell ref="B8:B9"/>
    <mergeCell ref="G8:G9"/>
    <mergeCell ref="H8:H9"/>
    <mergeCell ref="L8:L9"/>
    <mergeCell ref="M8:M9"/>
    <mergeCell ref="N8:N9"/>
    <mergeCell ref="B10:B11"/>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9.5"/>
    <col customWidth="1" min="7" max="7" width="12.25"/>
    <col customWidth="1" min="8" max="11" width="11.13"/>
    <col customWidth="1" min="12" max="12" width="10.88"/>
    <col customWidth="1" min="13" max="13" width="10.63"/>
    <col customWidth="1" min="14" max="14" width="13.5"/>
    <col customWidth="1" min="15" max="15" width="14.25"/>
    <col customWidth="1" min="16" max="16" width="10.0"/>
    <col customWidth="1" min="17" max="18" width="13.88"/>
  </cols>
  <sheetData>
    <row r="1">
      <c r="A1" s="17"/>
      <c r="B1" s="18"/>
      <c r="C1" s="19"/>
      <c r="D1" s="20"/>
      <c r="E1" s="20"/>
      <c r="F1" s="20"/>
      <c r="G1" s="20"/>
      <c r="H1" s="21"/>
      <c r="I1" s="21"/>
      <c r="J1" s="21"/>
      <c r="K1" s="21"/>
      <c r="L1" s="21"/>
      <c r="M1" s="20"/>
      <c r="N1" s="17"/>
      <c r="O1" s="22"/>
      <c r="P1" s="22"/>
      <c r="Q1" s="22"/>
      <c r="R1" s="22"/>
    </row>
    <row r="2" ht="38.25" customHeight="1">
      <c r="A2" s="23" t="s">
        <v>35</v>
      </c>
      <c r="B2" s="23" t="s">
        <v>36</v>
      </c>
      <c r="C2" s="24" t="s">
        <v>37</v>
      </c>
      <c r="D2" s="24" t="s">
        <v>38</v>
      </c>
      <c r="E2" s="24" t="s">
        <v>39</v>
      </c>
      <c r="F2" s="24" t="s">
        <v>40</v>
      </c>
      <c r="G2" s="24" t="s">
        <v>41</v>
      </c>
      <c r="H2" s="24" t="s">
        <v>42</v>
      </c>
      <c r="I2" s="24" t="s">
        <v>44</v>
      </c>
      <c r="J2" s="24" t="s">
        <v>46</v>
      </c>
      <c r="K2" s="24" t="s">
        <v>45</v>
      </c>
      <c r="L2" s="24" t="s">
        <v>47</v>
      </c>
      <c r="M2" s="24" t="s">
        <v>48</v>
      </c>
      <c r="N2" s="25" t="s">
        <v>49</v>
      </c>
      <c r="O2" s="141"/>
      <c r="P2" s="28"/>
      <c r="Q2" s="28"/>
      <c r="R2" s="28"/>
    </row>
    <row r="3">
      <c r="A3" s="3" t="s">
        <v>55</v>
      </c>
      <c r="B3" s="30" t="s">
        <v>52</v>
      </c>
      <c r="C3" s="5">
        <v>84.0</v>
      </c>
      <c r="D3" s="142">
        <v>100.0</v>
      </c>
      <c r="E3" s="142">
        <f>C3*D3+8000</f>
        <v>16400</v>
      </c>
      <c r="F3" s="143"/>
      <c r="G3" s="112">
        <v>1113.48</v>
      </c>
      <c r="I3" s="113">
        <v>16500.0</v>
      </c>
      <c r="J3" s="113"/>
      <c r="K3" s="113">
        <v>2000.0</v>
      </c>
      <c r="L3" s="80"/>
      <c r="M3" s="80"/>
      <c r="N3" s="114">
        <f>E3+F3+G3+K3+I3+L3-M3</f>
        <v>36013.48</v>
      </c>
      <c r="O3" s="42"/>
      <c r="P3" s="42"/>
      <c r="Q3" s="42"/>
      <c r="R3" s="42"/>
    </row>
    <row r="4">
      <c r="A4" s="3" t="s">
        <v>55</v>
      </c>
      <c r="B4" s="43" t="s">
        <v>54</v>
      </c>
      <c r="C4" s="5"/>
      <c r="D4" s="142"/>
      <c r="E4" s="142">
        <v>10000.0</v>
      </c>
      <c r="F4" s="80"/>
      <c r="G4" s="115">
        <v>638.28</v>
      </c>
      <c r="H4" s="35"/>
      <c r="I4" s="35"/>
      <c r="J4" s="35"/>
      <c r="K4" s="35"/>
      <c r="L4" s="38"/>
      <c r="M4" s="38"/>
      <c r="N4" s="114">
        <f>E4+F4+G4+H4+K4+L4-M4</f>
        <v>10638.28</v>
      </c>
      <c r="O4" s="42"/>
      <c r="P4" s="42"/>
      <c r="Q4" s="42"/>
      <c r="R4" s="42"/>
    </row>
    <row r="5">
      <c r="A5" s="29" t="s">
        <v>55</v>
      </c>
      <c r="B5" s="79" t="s">
        <v>60</v>
      </c>
      <c r="C5" s="31" t="s">
        <v>95</v>
      </c>
      <c r="D5" s="32" t="s">
        <v>92</v>
      </c>
      <c r="E5" s="32">
        <f>22950+43800+5000+4000</f>
        <v>75750</v>
      </c>
      <c r="F5" s="80"/>
      <c r="G5" s="81">
        <v>4623.0</v>
      </c>
      <c r="I5" s="35">
        <f>3000+9000+9000</f>
        <v>21000</v>
      </c>
      <c r="J5" s="35"/>
      <c r="K5" s="35">
        <v>3000.0</v>
      </c>
      <c r="L5" s="38"/>
      <c r="M5" s="38"/>
      <c r="N5" s="114">
        <f>E5+F5+G5+K5+I5+L5-M5</f>
        <v>104373</v>
      </c>
      <c r="O5" s="42"/>
      <c r="P5" s="42"/>
      <c r="Q5" s="42"/>
      <c r="R5" s="42"/>
    </row>
    <row r="6">
      <c r="A6" s="3" t="s">
        <v>55</v>
      </c>
      <c r="B6" s="43" t="s">
        <v>62</v>
      </c>
      <c r="C6" s="5">
        <v>215.0</v>
      </c>
      <c r="D6" s="142">
        <v>147.0</v>
      </c>
      <c r="E6" s="142">
        <f>C6*D6</f>
        <v>31605</v>
      </c>
      <c r="F6" s="89"/>
      <c r="G6" s="83">
        <v>2721.24</v>
      </c>
      <c r="H6" s="36">
        <v>400.0</v>
      </c>
      <c r="I6" s="36"/>
      <c r="J6" s="36"/>
      <c r="K6" s="36"/>
      <c r="L6" s="37"/>
      <c r="M6" s="38"/>
      <c r="N6" s="114">
        <f>E6+F6+G6+H6+K6+L6-M6</f>
        <v>34726.24</v>
      </c>
      <c r="O6" s="42"/>
      <c r="P6" s="42"/>
      <c r="Q6" s="42"/>
      <c r="R6" s="42"/>
    </row>
    <row r="7">
      <c r="A7" s="29" t="s">
        <v>55</v>
      </c>
      <c r="B7" s="131" t="s">
        <v>57</v>
      </c>
      <c r="C7" s="46"/>
      <c r="D7" s="47"/>
      <c r="E7" s="48">
        <v>29388.0</v>
      </c>
      <c r="F7" s="33"/>
      <c r="G7" s="49"/>
      <c r="H7" s="36"/>
      <c r="I7" s="36"/>
      <c r="J7" s="36"/>
      <c r="K7" s="36"/>
      <c r="L7" s="37"/>
      <c r="M7" s="38"/>
      <c r="N7" s="39"/>
      <c r="O7" s="42"/>
      <c r="P7" s="42"/>
      <c r="Q7" s="42"/>
      <c r="R7" s="42"/>
    </row>
    <row r="8">
      <c r="A8" s="29" t="s">
        <v>55</v>
      </c>
      <c r="B8" s="132" t="s">
        <v>58</v>
      </c>
      <c r="C8" s="51">
        <v>645.0</v>
      </c>
      <c r="D8" s="48">
        <v>100.11</v>
      </c>
      <c r="E8" s="48">
        <f>645*100</f>
        <v>64500</v>
      </c>
      <c r="F8" s="52">
        <v>5500.0</v>
      </c>
      <c r="G8" s="53">
        <v>7574.94</v>
      </c>
      <c r="H8" s="54"/>
      <c r="I8" s="55"/>
      <c r="J8" s="54">
        <v>21000.0</v>
      </c>
      <c r="K8" s="54"/>
      <c r="L8" s="57"/>
      <c r="M8" s="58"/>
      <c r="N8" s="116">
        <f>E8+F8+E9+G8+H8+L8+K8-M8+E7+J8</f>
        <v>130062.94</v>
      </c>
      <c r="O8" s="42"/>
      <c r="P8" s="42"/>
      <c r="Q8" s="42"/>
      <c r="R8" s="42"/>
    </row>
    <row r="9">
      <c r="A9" s="29" t="s">
        <v>55</v>
      </c>
      <c r="B9" s="62"/>
      <c r="C9" s="51">
        <v>42.0</v>
      </c>
      <c r="D9" s="48">
        <v>50.0</v>
      </c>
      <c r="E9" s="48">
        <f t="shared" ref="E9:E11" si="1">C9*D9</f>
        <v>2100</v>
      </c>
      <c r="F9" s="62"/>
      <c r="G9" s="62"/>
      <c r="H9" s="62"/>
      <c r="I9" s="55"/>
      <c r="J9" s="62"/>
      <c r="K9" s="62"/>
      <c r="L9" s="62"/>
      <c r="M9" s="62"/>
      <c r="N9" s="62"/>
      <c r="O9" s="95"/>
      <c r="P9" s="42"/>
      <c r="Q9" s="42"/>
      <c r="R9" s="42"/>
    </row>
    <row r="10">
      <c r="A10" s="3" t="s">
        <v>55</v>
      </c>
      <c r="B10" s="134" t="s">
        <v>59</v>
      </c>
      <c r="C10" s="87">
        <v>346.0</v>
      </c>
      <c r="D10" s="88">
        <v>100.0</v>
      </c>
      <c r="E10" s="88">
        <f t="shared" si="1"/>
        <v>34600</v>
      </c>
      <c r="F10" s="144">
        <v>10000.0</v>
      </c>
      <c r="G10" s="53">
        <v>3373.26</v>
      </c>
      <c r="H10" s="64"/>
      <c r="I10" s="65"/>
      <c r="J10" s="65"/>
      <c r="K10" s="64"/>
      <c r="L10" s="66"/>
      <c r="M10" s="58"/>
      <c r="N10" s="116">
        <f>E10+E11+F10+G10+K10+H10+L10-M10</f>
        <v>52397.26</v>
      </c>
      <c r="O10" s="42"/>
      <c r="P10" s="42"/>
      <c r="Q10" s="42"/>
      <c r="R10" s="42"/>
    </row>
    <row r="11">
      <c r="A11" s="3" t="s">
        <v>55</v>
      </c>
      <c r="B11" s="62"/>
      <c r="C11" s="87">
        <v>28.0</v>
      </c>
      <c r="D11" s="88">
        <v>158.0</v>
      </c>
      <c r="E11" s="88">
        <f t="shared" si="1"/>
        <v>4424</v>
      </c>
      <c r="F11" s="62"/>
      <c r="G11" s="62"/>
      <c r="H11" s="62"/>
      <c r="I11" s="65"/>
      <c r="J11" s="65"/>
      <c r="K11" s="62"/>
      <c r="L11" s="62"/>
      <c r="M11" s="62"/>
      <c r="N11" s="62"/>
      <c r="O11" s="42"/>
      <c r="P11" s="42"/>
      <c r="Q11" s="42"/>
      <c r="R11" s="42"/>
    </row>
    <row r="12">
      <c r="A12" s="3" t="s">
        <v>55</v>
      </c>
      <c r="B12" s="84" t="s">
        <v>63</v>
      </c>
      <c r="C12" s="87">
        <v>16.0</v>
      </c>
      <c r="D12" s="88">
        <v>800.0</v>
      </c>
      <c r="E12" s="88">
        <f>16*800</f>
        <v>12800</v>
      </c>
      <c r="F12" s="89"/>
      <c r="G12" s="49"/>
      <c r="H12" s="36">
        <f>117+1000+400+400+2083.84</f>
        <v>4000.84</v>
      </c>
      <c r="I12" s="36">
        <v>16000.0</v>
      </c>
      <c r="J12" s="36"/>
      <c r="L12" s="49"/>
      <c r="M12" s="38"/>
      <c r="N12" s="118">
        <f>E12+H12+I12</f>
        <v>32800.84</v>
      </c>
      <c r="O12" s="42"/>
      <c r="P12" s="42"/>
      <c r="Q12" s="42"/>
      <c r="R12" s="42"/>
    </row>
    <row r="13">
      <c r="A13" s="3"/>
      <c r="B13" s="86" t="s">
        <v>81</v>
      </c>
      <c r="C13" s="87"/>
      <c r="D13" s="88"/>
      <c r="E13" s="88">
        <v>30000.0</v>
      </c>
      <c r="F13" s="89"/>
      <c r="G13" s="36"/>
      <c r="H13" s="36"/>
      <c r="I13" s="36"/>
      <c r="J13" s="36"/>
      <c r="K13" s="36"/>
      <c r="L13" s="37"/>
      <c r="M13" s="38"/>
      <c r="N13" s="118">
        <f>E13+F13+G13+H13+L13-M13</f>
        <v>30000</v>
      </c>
      <c r="O13" s="42"/>
      <c r="P13" s="42"/>
      <c r="Q13" s="42"/>
      <c r="R13" s="42"/>
    </row>
    <row r="14">
      <c r="A14" s="3"/>
      <c r="B14" s="86" t="s">
        <v>65</v>
      </c>
      <c r="C14" s="87"/>
      <c r="D14" s="88"/>
      <c r="E14" s="88"/>
      <c r="F14" s="89"/>
      <c r="G14" s="36"/>
      <c r="H14" s="36"/>
      <c r="I14" s="36"/>
      <c r="J14" s="36"/>
      <c r="K14" s="36"/>
      <c r="L14" s="37">
        <v>65726.57</v>
      </c>
      <c r="M14" s="38"/>
      <c r="N14" s="118">
        <f t="shared" ref="N14:N16" si="2">L14+G14</f>
        <v>65726.57</v>
      </c>
      <c r="O14" s="42"/>
      <c r="P14" s="42"/>
      <c r="Q14" s="42"/>
      <c r="R14" s="42"/>
    </row>
    <row r="15">
      <c r="A15" s="3"/>
      <c r="B15" s="86" t="s">
        <v>66</v>
      </c>
      <c r="C15" s="87"/>
      <c r="D15" s="88"/>
      <c r="E15" s="88"/>
      <c r="F15" s="89"/>
      <c r="G15" s="36"/>
      <c r="H15" s="36"/>
      <c r="I15" s="36"/>
      <c r="J15" s="36"/>
      <c r="K15" s="36"/>
      <c r="L15" s="37">
        <v>65726.57</v>
      </c>
      <c r="M15" s="38"/>
      <c r="N15" s="114">
        <f t="shared" si="2"/>
        <v>65726.57</v>
      </c>
      <c r="O15" s="42"/>
      <c r="P15" s="42"/>
      <c r="Q15" s="42"/>
      <c r="R15" s="42"/>
    </row>
    <row r="16">
      <c r="A16" s="3"/>
      <c r="B16" s="86" t="s">
        <v>67</v>
      </c>
      <c r="C16" s="87"/>
      <c r="D16" s="88"/>
      <c r="E16" s="88"/>
      <c r="F16" s="89"/>
      <c r="G16" s="36"/>
      <c r="H16" s="36"/>
      <c r="I16" s="36"/>
      <c r="J16" s="36"/>
      <c r="K16" s="36"/>
      <c r="L16" s="37">
        <v>42800.0</v>
      </c>
      <c r="M16" s="38"/>
      <c r="N16" s="118">
        <f t="shared" si="2"/>
        <v>42800</v>
      </c>
      <c r="O16" s="42"/>
      <c r="P16" s="42"/>
      <c r="Q16" s="42"/>
      <c r="R16" s="42"/>
    </row>
    <row r="17">
      <c r="A17" s="119" t="s">
        <v>68</v>
      </c>
      <c r="B17" s="119"/>
      <c r="C17" s="120">
        <f>SUM(C3:C8)</f>
        <v>944</v>
      </c>
      <c r="D17" s="121"/>
      <c r="E17" s="120">
        <f>SUM(E3:E15)</f>
        <v>311567</v>
      </c>
      <c r="F17" s="120">
        <f>SUM(F3:F12)</f>
        <v>15500</v>
      </c>
      <c r="G17" s="122">
        <f t="shared" ref="G17:H17" si="3">SUM(G3:G15)</f>
        <v>20044.2</v>
      </c>
      <c r="H17" s="120">
        <f t="shared" si="3"/>
        <v>4400.84</v>
      </c>
      <c r="I17" s="120">
        <f t="shared" ref="I17:J17" si="4">SUM(I3:I16)</f>
        <v>53500</v>
      </c>
      <c r="J17" s="120">
        <f t="shared" si="4"/>
        <v>21000</v>
      </c>
      <c r="K17" s="120">
        <f>SUM(K3:K15)</f>
        <v>5000</v>
      </c>
      <c r="L17" s="120">
        <f>SUM(L3:L16)</f>
        <v>174253.14</v>
      </c>
      <c r="M17" s="120">
        <f>SUM(M3:M12)</f>
        <v>0</v>
      </c>
      <c r="N17" s="118">
        <f>SUM(N3:N16)</f>
        <v>605265.18</v>
      </c>
      <c r="O17" s="95"/>
      <c r="P17" s="42"/>
      <c r="Q17" s="42"/>
      <c r="R17" s="95"/>
    </row>
    <row r="18">
      <c r="C18" s="8"/>
      <c r="D18" s="96"/>
      <c r="E18" s="97"/>
      <c r="M18" s="124"/>
      <c r="O18" s="101"/>
      <c r="P18" s="22"/>
      <c r="Q18" s="22"/>
      <c r="R18" s="22"/>
    </row>
    <row r="19">
      <c r="C19" s="102"/>
      <c r="D19" s="103"/>
      <c r="E19" s="103"/>
      <c r="O19" s="101"/>
      <c r="P19" s="104"/>
      <c r="Q19" s="22"/>
      <c r="R19" s="22"/>
    </row>
    <row r="20">
      <c r="C20" s="102"/>
      <c r="D20" s="103"/>
      <c r="E20" s="103"/>
      <c r="O20" s="8"/>
      <c r="P20" s="97"/>
    </row>
    <row r="21">
      <c r="C21" s="102"/>
      <c r="D21" s="103"/>
      <c r="E21" s="103"/>
      <c r="O21" s="8"/>
      <c r="P21" s="97"/>
    </row>
    <row r="22">
      <c r="C22" s="102"/>
      <c r="D22" s="103"/>
      <c r="E22" s="105"/>
      <c r="O22" s="8"/>
      <c r="P22" s="97"/>
    </row>
    <row r="23">
      <c r="C23" s="102"/>
      <c r="D23" s="103"/>
      <c r="E23" s="105"/>
      <c r="O23" s="8"/>
      <c r="P23" s="97"/>
    </row>
    <row r="24">
      <c r="C24" s="102"/>
      <c r="D24" s="105"/>
      <c r="E24" s="103"/>
      <c r="O24" s="8"/>
      <c r="P24" s="96"/>
    </row>
    <row r="25">
      <c r="C25" s="106"/>
      <c r="D25" s="105"/>
      <c r="E25" s="105"/>
      <c r="M25" s="107"/>
    </row>
    <row r="26">
      <c r="D26" s="96"/>
      <c r="E26" s="96"/>
      <c r="O26" s="8"/>
      <c r="P26" s="97"/>
    </row>
    <row r="27">
      <c r="D27" s="96"/>
      <c r="E27" s="96"/>
      <c r="O27" s="8"/>
      <c r="P27" s="97"/>
    </row>
    <row r="28">
      <c r="D28" s="96"/>
      <c r="E28" s="96"/>
      <c r="O28" s="8"/>
      <c r="P28" s="97"/>
    </row>
    <row r="29">
      <c r="D29" s="96"/>
      <c r="E29" s="96"/>
      <c r="O29" s="8"/>
      <c r="P29" s="97"/>
    </row>
    <row r="30">
      <c r="D30" s="96"/>
      <c r="E30" s="96"/>
      <c r="O30" s="8"/>
    </row>
    <row r="31">
      <c r="D31" s="96"/>
      <c r="E31" s="96"/>
    </row>
    <row r="32">
      <c r="D32" s="108"/>
      <c r="E32" s="108"/>
    </row>
  </sheetData>
  <mergeCells count="17">
    <mergeCell ref="M8:M9"/>
    <mergeCell ref="N8:N9"/>
    <mergeCell ref="F8:F9"/>
    <mergeCell ref="F10:F11"/>
    <mergeCell ref="G10:G11"/>
    <mergeCell ref="H10:H11"/>
    <mergeCell ref="K10:K11"/>
    <mergeCell ref="L10:L11"/>
    <mergeCell ref="M10:M11"/>
    <mergeCell ref="N10:N11"/>
    <mergeCell ref="B8:B9"/>
    <mergeCell ref="G8:G9"/>
    <mergeCell ref="H8:H9"/>
    <mergeCell ref="J8:J9"/>
    <mergeCell ref="K8:K9"/>
    <mergeCell ref="L8:L9"/>
    <mergeCell ref="B10:B11"/>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0"/>
    <col customWidth="1" min="2" max="2" width="21.5"/>
    <col customWidth="1" min="3" max="3" width="9.75"/>
    <col customWidth="1" min="4" max="4" width="9.13"/>
    <col customWidth="1" min="5" max="5" width="12.25"/>
    <col customWidth="1" min="6" max="6" width="9.5"/>
    <col customWidth="1" min="7" max="7" width="12.25"/>
    <col customWidth="1" min="8" max="11" width="11.13"/>
    <col customWidth="1" min="12" max="12" width="10.88"/>
    <col customWidth="1" min="13" max="13" width="10.63"/>
    <col customWidth="1" min="14" max="14" width="13.5"/>
    <col customWidth="1" min="15" max="15" width="14.25"/>
    <col customWidth="1" min="16" max="16" width="10.0"/>
    <col customWidth="1" min="17" max="18" width="13.88"/>
  </cols>
  <sheetData>
    <row r="1">
      <c r="A1" s="17"/>
      <c r="B1" s="18"/>
      <c r="C1" s="19"/>
      <c r="D1" s="20"/>
      <c r="E1" s="20"/>
      <c r="F1" s="20"/>
      <c r="G1" s="20"/>
      <c r="H1" s="21"/>
      <c r="I1" s="21"/>
      <c r="J1" s="21"/>
      <c r="K1" s="21"/>
      <c r="L1" s="21"/>
      <c r="M1" s="20"/>
      <c r="N1" s="17"/>
      <c r="O1" s="22"/>
      <c r="P1" s="22"/>
      <c r="Q1" s="22"/>
      <c r="R1" s="22"/>
    </row>
    <row r="2" ht="38.25" customHeight="1">
      <c r="A2" s="23" t="s">
        <v>35</v>
      </c>
      <c r="B2" s="23" t="s">
        <v>36</v>
      </c>
      <c r="C2" s="24" t="s">
        <v>37</v>
      </c>
      <c r="D2" s="24" t="s">
        <v>38</v>
      </c>
      <c r="E2" s="24" t="s">
        <v>39</v>
      </c>
      <c r="F2" s="24" t="s">
        <v>40</v>
      </c>
      <c r="G2" s="24" t="s">
        <v>41</v>
      </c>
      <c r="H2" s="24" t="s">
        <v>42</v>
      </c>
      <c r="I2" s="24" t="s">
        <v>45</v>
      </c>
      <c r="J2" s="24" t="s">
        <v>44</v>
      </c>
      <c r="K2" s="24" t="s">
        <v>96</v>
      </c>
      <c r="L2" s="24" t="s">
        <v>47</v>
      </c>
      <c r="M2" s="24" t="s">
        <v>48</v>
      </c>
      <c r="N2" s="25" t="s">
        <v>49</v>
      </c>
      <c r="O2" s="141" t="s">
        <v>97</v>
      </c>
      <c r="P2" s="28"/>
      <c r="Q2" s="28"/>
      <c r="R2" s="28"/>
    </row>
    <row r="3">
      <c r="A3" s="3" t="s">
        <v>55</v>
      </c>
      <c r="B3" s="30" t="s">
        <v>52</v>
      </c>
      <c r="C3" s="5">
        <v>84.0</v>
      </c>
      <c r="D3" s="142">
        <v>100.0</v>
      </c>
      <c r="E3" s="142">
        <f>C3*D3+8000</f>
        <v>16400</v>
      </c>
      <c r="F3" s="143"/>
      <c r="G3" s="113">
        <f>1158.12</f>
        <v>1158.12</v>
      </c>
      <c r="H3" s="113">
        <v>1000.0</v>
      </c>
      <c r="I3" s="113"/>
      <c r="J3" s="113"/>
      <c r="K3" s="113"/>
      <c r="L3" s="80"/>
      <c r="M3" s="80"/>
      <c r="N3" s="114">
        <f t="shared" ref="N3:N6" si="1">E3+F3+G3+H3+K3+L3-M3</f>
        <v>18558.12</v>
      </c>
      <c r="O3" s="42">
        <v>1053.48</v>
      </c>
      <c r="P3" s="42"/>
      <c r="Q3" s="42"/>
      <c r="R3" s="42"/>
    </row>
    <row r="4">
      <c r="A4" s="3" t="s">
        <v>55</v>
      </c>
      <c r="B4" s="43" t="s">
        <v>54</v>
      </c>
      <c r="C4" s="5"/>
      <c r="D4" s="142"/>
      <c r="E4" s="142">
        <v>10000.0</v>
      </c>
      <c r="F4" s="80"/>
      <c r="G4" s="145">
        <v>638.46</v>
      </c>
      <c r="H4" s="35"/>
      <c r="I4" s="35"/>
      <c r="J4" s="35"/>
      <c r="K4" s="35"/>
      <c r="L4" s="38"/>
      <c r="M4" s="38"/>
      <c r="N4" s="114">
        <f t="shared" si="1"/>
        <v>10638.46</v>
      </c>
      <c r="O4" s="42">
        <v>638.28</v>
      </c>
      <c r="P4" s="42"/>
      <c r="Q4" s="42"/>
      <c r="R4" s="42"/>
    </row>
    <row r="5">
      <c r="A5" s="29" t="s">
        <v>55</v>
      </c>
      <c r="B5" s="79" t="s">
        <v>98</v>
      </c>
      <c r="C5" s="31" t="s">
        <v>95</v>
      </c>
      <c r="D5" s="32" t="s">
        <v>92</v>
      </c>
      <c r="E5" s="32">
        <f>22950+43800+5000+4000</f>
        <v>75750</v>
      </c>
      <c r="F5" s="80"/>
      <c r="G5" s="35">
        <v>0.0</v>
      </c>
      <c r="H5" s="35">
        <f>800+500</f>
        <v>1300</v>
      </c>
      <c r="I5" s="35"/>
      <c r="J5" s="35"/>
      <c r="K5" s="35"/>
      <c r="L5" s="38"/>
      <c r="M5" s="38"/>
      <c r="N5" s="114">
        <f t="shared" si="1"/>
        <v>77050</v>
      </c>
      <c r="O5" s="42"/>
      <c r="P5" s="42"/>
      <c r="Q5" s="42"/>
      <c r="R5" s="42"/>
    </row>
    <row r="6">
      <c r="A6" s="3" t="s">
        <v>55</v>
      </c>
      <c r="B6" s="43" t="s">
        <v>62</v>
      </c>
      <c r="C6" s="5">
        <v>215.0</v>
      </c>
      <c r="D6" s="142">
        <v>147.0</v>
      </c>
      <c r="E6" s="142">
        <f>C6*D6</f>
        <v>31605</v>
      </c>
      <c r="F6" s="89"/>
      <c r="G6" s="49">
        <v>5449.14</v>
      </c>
      <c r="H6" s="36">
        <f>1700+1000+3600+2000</f>
        <v>8300</v>
      </c>
      <c r="I6" s="36"/>
      <c r="J6" s="36"/>
      <c r="K6" s="36"/>
      <c r="L6" s="37"/>
      <c r="M6" s="38"/>
      <c r="N6" s="114">
        <f t="shared" si="1"/>
        <v>45354.14</v>
      </c>
      <c r="O6" s="42"/>
      <c r="P6" s="42"/>
      <c r="Q6" s="42"/>
      <c r="R6" s="42"/>
    </row>
    <row r="7">
      <c r="A7" s="3" t="s">
        <v>55</v>
      </c>
      <c r="B7" s="131" t="s">
        <v>57</v>
      </c>
      <c r="C7" s="46"/>
      <c r="D7" s="47"/>
      <c r="E7" s="48">
        <v>35521.0</v>
      </c>
      <c r="F7" s="33"/>
      <c r="G7" s="49"/>
      <c r="H7" s="36"/>
      <c r="I7" s="36"/>
      <c r="J7" s="36"/>
      <c r="K7" s="36"/>
      <c r="L7" s="37"/>
      <c r="M7" s="38"/>
      <c r="N7" s="39"/>
      <c r="O7" s="42"/>
      <c r="P7" s="42"/>
      <c r="Q7" s="42"/>
      <c r="R7" s="42"/>
    </row>
    <row r="8">
      <c r="A8" s="29" t="s">
        <v>55</v>
      </c>
      <c r="B8" s="132" t="s">
        <v>58</v>
      </c>
      <c r="C8" s="51">
        <v>650.0</v>
      </c>
      <c r="D8" s="48">
        <v>100.11</v>
      </c>
      <c r="E8" s="48">
        <f>650*100</f>
        <v>65000</v>
      </c>
      <c r="F8" s="52">
        <v>5500.0</v>
      </c>
      <c r="G8" s="146">
        <v>6078.18</v>
      </c>
      <c r="H8" s="54"/>
      <c r="I8" s="55"/>
      <c r="J8" s="55"/>
      <c r="K8" s="54">
        <f>4*3000</f>
        <v>12000</v>
      </c>
      <c r="L8" s="57"/>
      <c r="M8" s="58"/>
      <c r="N8" s="116">
        <f>E8+F8+E9+G8+H8+L8+K8-M8+E7</f>
        <v>126249.18</v>
      </c>
      <c r="O8" s="42"/>
      <c r="P8" s="42"/>
      <c r="Q8" s="42"/>
      <c r="R8" s="42"/>
    </row>
    <row r="9">
      <c r="A9" s="29" t="s">
        <v>55</v>
      </c>
      <c r="B9" s="62"/>
      <c r="C9" s="51">
        <v>43.0</v>
      </c>
      <c r="D9" s="48">
        <v>50.0</v>
      </c>
      <c r="E9" s="48">
        <f t="shared" ref="E9:E11" si="2">C9*D9</f>
        <v>2150</v>
      </c>
      <c r="F9" s="62"/>
      <c r="G9" s="62"/>
      <c r="H9" s="62"/>
      <c r="I9" s="55"/>
      <c r="J9" s="55"/>
      <c r="K9" s="62"/>
      <c r="L9" s="62"/>
      <c r="M9" s="62"/>
      <c r="N9" s="62"/>
      <c r="O9" s="95"/>
      <c r="P9" s="42"/>
      <c r="Q9" s="42"/>
      <c r="R9" s="42"/>
    </row>
    <row r="10">
      <c r="A10" s="3" t="s">
        <v>55</v>
      </c>
      <c r="B10" s="134" t="s">
        <v>59</v>
      </c>
      <c r="C10" s="87">
        <v>347.0</v>
      </c>
      <c r="D10" s="88">
        <v>100.0</v>
      </c>
      <c r="E10" s="88">
        <f t="shared" si="2"/>
        <v>34700</v>
      </c>
      <c r="F10" s="144">
        <v>10000.0</v>
      </c>
      <c r="G10" s="146">
        <f>3297.18+3800.26</f>
        <v>7097.44</v>
      </c>
      <c r="H10" s="64"/>
      <c r="I10" s="65"/>
      <c r="J10" s="65"/>
      <c r="K10" s="64"/>
      <c r="L10" s="66"/>
      <c r="M10" s="58"/>
      <c r="N10" s="116">
        <f>E10+E11+F10+G10+K10+H10+L10-M10</f>
        <v>56221.44</v>
      </c>
      <c r="O10" s="42"/>
      <c r="P10" s="42"/>
      <c r="Q10" s="42"/>
      <c r="R10" s="42"/>
    </row>
    <row r="11">
      <c r="A11" s="3" t="s">
        <v>55</v>
      </c>
      <c r="B11" s="62"/>
      <c r="C11" s="87">
        <v>28.0</v>
      </c>
      <c r="D11" s="88">
        <v>158.0</v>
      </c>
      <c r="E11" s="88">
        <f t="shared" si="2"/>
        <v>4424</v>
      </c>
      <c r="F11" s="62"/>
      <c r="G11" s="62"/>
      <c r="H11" s="62"/>
      <c r="I11" s="65"/>
      <c r="J11" s="65"/>
      <c r="K11" s="62"/>
      <c r="L11" s="62"/>
      <c r="M11" s="62"/>
      <c r="N11" s="62"/>
      <c r="O11" s="42"/>
      <c r="P11" s="42"/>
      <c r="Q11" s="42"/>
      <c r="R11" s="42"/>
    </row>
    <row r="12">
      <c r="A12" s="3" t="s">
        <v>55</v>
      </c>
      <c r="B12" s="84" t="s">
        <v>63</v>
      </c>
      <c r="C12" s="87"/>
      <c r="D12" s="88"/>
      <c r="E12" s="88">
        <v>27600.0</v>
      </c>
      <c r="F12" s="89"/>
      <c r="G12" s="49"/>
      <c r="H12" s="36"/>
      <c r="I12" s="36"/>
      <c r="J12" s="36"/>
      <c r="K12" s="36"/>
      <c r="L12" s="49"/>
      <c r="M12" s="38"/>
      <c r="N12" s="118">
        <f>E12+H12</f>
        <v>27600</v>
      </c>
      <c r="O12" s="42"/>
      <c r="P12" s="42"/>
      <c r="Q12" s="42"/>
      <c r="R12" s="42"/>
    </row>
    <row r="13">
      <c r="A13" s="3"/>
      <c r="B13" s="86" t="s">
        <v>81</v>
      </c>
      <c r="C13" s="87"/>
      <c r="D13" s="88"/>
      <c r="E13" s="88">
        <v>30000.0</v>
      </c>
      <c r="F13" s="89"/>
      <c r="G13" s="36"/>
      <c r="H13" s="36">
        <f>2*300</f>
        <v>600</v>
      </c>
      <c r="I13" s="36"/>
      <c r="J13" s="36"/>
      <c r="K13" s="36"/>
      <c r="L13" s="37"/>
      <c r="M13" s="38"/>
      <c r="N13" s="147">
        <f>E13+F13+G13+H13+L13-M13</f>
        <v>30600</v>
      </c>
      <c r="O13" s="42"/>
      <c r="P13" s="42"/>
      <c r="Q13" s="42"/>
      <c r="R13" s="42"/>
    </row>
    <row r="14">
      <c r="A14" s="3"/>
      <c r="B14" s="86" t="s">
        <v>65</v>
      </c>
      <c r="C14" s="87"/>
      <c r="D14" s="88"/>
      <c r="E14" s="88"/>
      <c r="F14" s="89"/>
      <c r="G14" s="36"/>
      <c r="H14" s="36"/>
      <c r="I14" s="36"/>
      <c r="J14" s="36"/>
      <c r="K14" s="36"/>
      <c r="L14" s="37">
        <f t="shared" ref="L14:L15" si="3">71194+50</f>
        <v>71244</v>
      </c>
      <c r="M14" s="38"/>
      <c r="N14" s="114">
        <f t="shared" ref="N14:N16" si="4">L14+G14</f>
        <v>71244</v>
      </c>
      <c r="O14" s="42"/>
      <c r="P14" s="42"/>
      <c r="Q14" s="42"/>
      <c r="R14" s="42"/>
    </row>
    <row r="15">
      <c r="A15" s="3"/>
      <c r="B15" s="86" t="s">
        <v>66</v>
      </c>
      <c r="C15" s="87"/>
      <c r="D15" s="88"/>
      <c r="E15" s="88"/>
      <c r="F15" s="89"/>
      <c r="G15" s="36"/>
      <c r="H15" s="36"/>
      <c r="I15" s="36"/>
      <c r="J15" s="36"/>
      <c r="K15" s="36"/>
      <c r="L15" s="37">
        <f t="shared" si="3"/>
        <v>71244</v>
      </c>
      <c r="M15" s="38"/>
      <c r="N15" s="114">
        <f t="shared" si="4"/>
        <v>71244</v>
      </c>
      <c r="O15" s="42"/>
      <c r="P15" s="42"/>
      <c r="Q15" s="42"/>
      <c r="R15" s="42"/>
    </row>
    <row r="16">
      <c r="A16" s="3"/>
      <c r="B16" s="86" t="s">
        <v>67</v>
      </c>
      <c r="C16" s="87"/>
      <c r="D16" s="88"/>
      <c r="E16" s="88"/>
      <c r="F16" s="89"/>
      <c r="G16" s="36"/>
      <c r="H16" s="36"/>
      <c r="I16" s="36"/>
      <c r="J16" s="36"/>
      <c r="K16" s="36"/>
      <c r="L16" s="37">
        <v>42800.0</v>
      </c>
      <c r="M16" s="38"/>
      <c r="N16" s="114">
        <f t="shared" si="4"/>
        <v>42800</v>
      </c>
      <c r="O16" s="42"/>
      <c r="P16" s="42"/>
      <c r="Q16" s="42"/>
      <c r="R16" s="42"/>
    </row>
    <row r="17">
      <c r="A17" s="119" t="s">
        <v>68</v>
      </c>
      <c r="B17" s="119"/>
      <c r="C17" s="120">
        <f>SUM(C3:C8)</f>
        <v>949</v>
      </c>
      <c r="D17" s="121"/>
      <c r="E17" s="120">
        <f>SUM(E3:E15)</f>
        <v>333150</v>
      </c>
      <c r="F17" s="120">
        <f>SUM(F3:F12)</f>
        <v>15500</v>
      </c>
      <c r="G17" s="122">
        <f t="shared" ref="G17:H17" si="5">SUM(G3:G15)</f>
        <v>20421.34</v>
      </c>
      <c r="H17" s="120">
        <f t="shared" si="5"/>
        <v>11200</v>
      </c>
      <c r="I17" s="120">
        <f t="shared" ref="I17:J17" si="6">SUM(I3:I16)</f>
        <v>0</v>
      </c>
      <c r="J17" s="120">
        <f t="shared" si="6"/>
        <v>0</v>
      </c>
      <c r="K17" s="120">
        <f>SUM(K3:K15)</f>
        <v>12000</v>
      </c>
      <c r="L17" s="120">
        <f>SUM(L3:L16)</f>
        <v>185288</v>
      </c>
      <c r="M17" s="120">
        <f>SUM(M3:M12)</f>
        <v>0</v>
      </c>
      <c r="N17" s="39">
        <f>SUM(N3:N16)</f>
        <v>577559.34</v>
      </c>
      <c r="O17" s="95">
        <f>N17</f>
        <v>577559.34</v>
      </c>
      <c r="P17" s="42"/>
      <c r="Q17" s="42"/>
      <c r="R17" s="95"/>
    </row>
    <row r="18">
      <c r="C18" s="8"/>
      <c r="D18" s="96"/>
      <c r="E18" s="97"/>
      <c r="M18" s="124"/>
      <c r="N18" s="8">
        <v>5000.0</v>
      </c>
      <c r="O18" s="101" t="s">
        <v>99</v>
      </c>
      <c r="P18" s="22"/>
      <c r="Q18" s="22"/>
      <c r="R18" s="22"/>
    </row>
    <row r="19">
      <c r="C19" s="102"/>
      <c r="D19" s="103"/>
      <c r="E19" s="103"/>
      <c r="N19" s="8">
        <v>27600.0</v>
      </c>
      <c r="O19" s="101" t="s">
        <v>100</v>
      </c>
      <c r="P19" s="104"/>
      <c r="Q19" s="22"/>
      <c r="R19" s="22"/>
    </row>
    <row r="20">
      <c r="C20" s="102"/>
      <c r="D20" s="103"/>
      <c r="E20" s="103"/>
      <c r="N20" s="8">
        <v>32600.0</v>
      </c>
      <c r="O20" s="8"/>
      <c r="P20" s="97"/>
    </row>
    <row r="21">
      <c r="C21" s="102"/>
      <c r="D21" s="103"/>
      <c r="E21" s="103"/>
      <c r="O21" s="8"/>
      <c r="P21" s="97"/>
    </row>
    <row r="22">
      <c r="C22" s="102"/>
      <c r="D22" s="103"/>
      <c r="E22" s="105"/>
      <c r="O22" s="8"/>
      <c r="P22" s="97"/>
    </row>
    <row r="23">
      <c r="C23" s="102"/>
      <c r="D23" s="103"/>
      <c r="E23" s="105"/>
      <c r="O23" s="8"/>
      <c r="P23" s="97"/>
    </row>
    <row r="24">
      <c r="C24" s="102"/>
      <c r="D24" s="105"/>
      <c r="E24" s="103"/>
      <c r="O24" s="8"/>
      <c r="P24" s="96"/>
    </row>
    <row r="25">
      <c r="C25" s="106"/>
      <c r="D25" s="105"/>
      <c r="E25" s="105"/>
      <c r="M25" s="107"/>
    </row>
    <row r="26">
      <c r="D26" s="96"/>
      <c r="E26" s="96"/>
      <c r="O26" s="8"/>
      <c r="P26" s="97"/>
    </row>
    <row r="27">
      <c r="D27" s="96"/>
      <c r="E27" s="96"/>
      <c r="O27" s="8"/>
      <c r="P27" s="97"/>
    </row>
    <row r="28">
      <c r="D28" s="96"/>
      <c r="E28" s="96"/>
      <c r="O28" s="8"/>
      <c r="P28" s="97"/>
    </row>
    <row r="29">
      <c r="D29" s="96"/>
      <c r="E29" s="96"/>
      <c r="O29" s="8"/>
      <c r="P29" s="97"/>
    </row>
    <row r="30">
      <c r="D30" s="96"/>
      <c r="E30" s="96"/>
      <c r="O30" s="8"/>
    </row>
    <row r="31">
      <c r="D31" s="96"/>
      <c r="E31" s="96"/>
    </row>
    <row r="32">
      <c r="D32" s="108"/>
      <c r="E32" s="108"/>
    </row>
  </sheetData>
  <mergeCells count="16">
    <mergeCell ref="F8:F9"/>
    <mergeCell ref="G8:G9"/>
    <mergeCell ref="H8:H9"/>
    <mergeCell ref="K8:K9"/>
    <mergeCell ref="L8:L9"/>
    <mergeCell ref="M8:M9"/>
    <mergeCell ref="N8:N9"/>
    <mergeCell ref="M10:M11"/>
    <mergeCell ref="N10:N11"/>
    <mergeCell ref="B8:B9"/>
    <mergeCell ref="B10:B11"/>
    <mergeCell ref="F10:F11"/>
    <mergeCell ref="G10:G11"/>
    <mergeCell ref="H10:H11"/>
    <mergeCell ref="K10:K11"/>
    <mergeCell ref="L10:L11"/>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3" max="3" width="18.38"/>
    <col customWidth="1" min="4" max="4" width="17.0"/>
    <col customWidth="1" min="5" max="5" width="19.88"/>
    <col customWidth="1" min="11" max="11" width="19.88"/>
    <col customWidth="1" min="12" max="12" width="27.38"/>
  </cols>
  <sheetData>
    <row r="1">
      <c r="A1" s="11"/>
      <c r="B1" s="3" t="s">
        <v>101</v>
      </c>
      <c r="C1" s="3" t="s">
        <v>102</v>
      </c>
      <c r="D1" s="3" t="s">
        <v>103</v>
      </c>
      <c r="E1" s="3" t="s">
        <v>104</v>
      </c>
      <c r="F1" s="3" t="s">
        <v>86</v>
      </c>
      <c r="G1" s="8" t="s">
        <v>105</v>
      </c>
      <c r="J1" s="8" t="s">
        <v>106</v>
      </c>
    </row>
    <row r="2">
      <c r="A2" s="148" t="s">
        <v>52</v>
      </c>
      <c r="B2" s="149">
        <f>'январь'!N3+'февраль'!E3+'февраль'!G3+'март'!O3+'апрель'!O3+'май'!O3+'июнь'!O3+'июль'!O3+'август'!O3+'сентябрь'!O3+'октябрь'!O3+'ноябрь'!O3+'декабрь'!O3</f>
        <v>226523.74</v>
      </c>
      <c r="C2" s="150">
        <f>'февраль'!I3</f>
        <v>16500</v>
      </c>
      <c r="D2" s="150">
        <f>'февраль'!K3</f>
        <v>2000</v>
      </c>
      <c r="E2" s="151"/>
      <c r="F2" s="151"/>
      <c r="G2" s="152">
        <f>'январь'!N3+'февраль'!N3+'март'!O3+'апрель'!O3+'май'!O3+'июнь'!O3+'июль'!O3+'август'!O3+'сентябрь'!O3+'октябрь'!O3+'ноябрь'!O3+'декабрь'!O3</f>
        <v>245023.74</v>
      </c>
      <c r="H2" s="152">
        <f t="shared" ref="H2:H12" si="1">B2+C2+D2+F2+E2</f>
        <v>245023.74</v>
      </c>
      <c r="I2" s="152">
        <f t="shared" ref="I2:I12" si="2">H2-G2</f>
        <v>0</v>
      </c>
      <c r="J2" s="153">
        <v>112500.0</v>
      </c>
      <c r="K2" s="152">
        <f>G2-J2-D2</f>
        <v>130523.74</v>
      </c>
      <c r="L2" s="154"/>
      <c r="M2" s="154"/>
      <c r="N2" s="154"/>
      <c r="O2" s="154"/>
      <c r="P2" s="154"/>
      <c r="Q2" s="154"/>
      <c r="R2" s="154"/>
      <c r="S2" s="154"/>
      <c r="T2" s="154"/>
      <c r="U2" s="154"/>
      <c r="V2" s="154"/>
      <c r="W2" s="154"/>
      <c r="X2" s="154"/>
      <c r="Y2" s="154"/>
      <c r="Z2" s="154"/>
    </row>
    <row r="3">
      <c r="A3" s="148" t="s">
        <v>54</v>
      </c>
      <c r="B3" s="149">
        <f>'январь'!N4+'февраль'!N4+'март'!O4+'апрель'!O4+'май'!O4+'июнь'!O4+'июль'!O4+'август'!O4+'сентябрь'!O4+'октябрь'!O4+'ноябрь'!O4+'декабрь'!O4</f>
        <v>126980.42</v>
      </c>
      <c r="C3" s="150"/>
      <c r="D3" s="150"/>
      <c r="E3" s="151"/>
      <c r="F3" s="151"/>
      <c r="G3" s="152">
        <f>'январь'!N4+'февраль'!N4+'март'!O4+'апрель'!O4+'май'!O4+'июнь'!O4+'июль'!O4+'август'!O4+'сентябрь'!O4+'октябрь'!O4+'ноябрь'!O4+'декабрь'!O4</f>
        <v>126980.42</v>
      </c>
      <c r="H3" s="152">
        <f t="shared" si="1"/>
        <v>126980.42</v>
      </c>
      <c r="I3" s="152">
        <f t="shared" si="2"/>
        <v>0</v>
      </c>
      <c r="J3" s="153"/>
      <c r="K3" s="152"/>
      <c r="L3" s="154"/>
      <c r="M3" s="154"/>
      <c r="N3" s="154"/>
      <c r="O3" s="154"/>
      <c r="P3" s="154"/>
      <c r="Q3" s="154"/>
      <c r="R3" s="154"/>
      <c r="S3" s="154"/>
      <c r="T3" s="154"/>
      <c r="U3" s="154"/>
      <c r="V3" s="154"/>
      <c r="W3" s="154"/>
      <c r="X3" s="154"/>
      <c r="Y3" s="154"/>
      <c r="Z3" s="154"/>
    </row>
    <row r="4">
      <c r="A4" s="155" t="s">
        <v>98</v>
      </c>
      <c r="B4" s="149">
        <f>'январь'!N5+'февраль'!E5+'февраль'!G5+'март'!E5+'март'!G5+'март'!H5+'апрель'!E5+'апрель'!G5+'май'!E5+'июнь'!E5+'июнь'!G5+'июнь'!H5+'июль'!E5+'июль'!G5+'август'!E5+'август'!G5+'сентябрь'!E5+'сентябрь'!G5+'октябрь'!E5+'октябрь'!G5+'ноябрь'!E5+'ноябрь'!G5+'декабрь'!E12+'декабрь'!G12</f>
        <v>695980.74</v>
      </c>
      <c r="C4" s="150">
        <f>'февраль'!I5+'март'!J5+'май'!J5+'июнь'!J5+'июль'!J5</f>
        <v>270500</v>
      </c>
      <c r="D4" s="150">
        <f>'февраль'!K5+'май'!K5+'август'!K5</f>
        <v>9000</v>
      </c>
      <c r="E4" s="150">
        <f>'май'!L5+'декабрь'!L12</f>
        <v>82000</v>
      </c>
      <c r="F4" s="150">
        <f>'март'!I5</f>
        <v>16000</v>
      </c>
      <c r="G4" s="152">
        <f>'январь'!N5+'февраль'!N5+'март'!O5+'апрель'!O5+'май'!O5+'июнь'!O5+'июль'!O5+'август'!O5+'сентябрь'!O5+'октябрь'!O5+'ноябрь'!O5+'декабрь'!O12</f>
        <v>1073480.74</v>
      </c>
      <c r="H4" s="152">
        <f t="shared" si="1"/>
        <v>1073480.74</v>
      </c>
      <c r="I4" s="152">
        <f t="shared" si="2"/>
        <v>0.0000000004656612873</v>
      </c>
      <c r="J4" s="152">
        <f>G4-C4-D4-E4-F4</f>
        <v>695980.74</v>
      </c>
      <c r="K4" s="154"/>
      <c r="L4" s="154"/>
      <c r="M4" s="154"/>
      <c r="N4" s="154"/>
      <c r="O4" s="154"/>
      <c r="P4" s="154"/>
      <c r="Q4" s="154"/>
      <c r="R4" s="154"/>
      <c r="S4" s="154"/>
      <c r="T4" s="154"/>
      <c r="U4" s="154"/>
      <c r="V4" s="154"/>
      <c r="W4" s="154"/>
      <c r="X4" s="154"/>
      <c r="Y4" s="154"/>
      <c r="Z4" s="154"/>
    </row>
    <row r="5">
      <c r="A5" s="156" t="s">
        <v>62</v>
      </c>
      <c r="B5" s="149">
        <f>'январь'!N6+'февраль'!N6+'март'!O6+'апрель'!O6+'июль'!E7+'июль'!G7+'июль'!H7+'август'!O7+'сентябрь'!E7+'сентябрь'!G7+'сентябрь'!H7+'октябрь'!E7+'октябрь'!G7+'ноябрь'!O7+'декабрь'!O13+'июнь'!O6+'май'!E6+'май'!G6+'май'!H6</f>
        <v>480420.04</v>
      </c>
      <c r="C5" s="148"/>
      <c r="D5" s="150" t="str">
        <f>'октябрь'!K7</f>
        <v/>
      </c>
      <c r="E5" s="150">
        <f>'октябрь'!L7</f>
        <v>10000</v>
      </c>
      <c r="F5" s="150">
        <f>'июль'!I7+'сентябрь'!I7+'октябрь'!I7</f>
        <v>2500</v>
      </c>
      <c r="G5" s="152">
        <f>'декабрь'!O13+'ноябрь'!O7+'октябрь'!O7+'сентябрь'!O7+'август'!O7+'июль'!O7+'июнь'!O6+'май'!O6+'апрель'!O6+'март'!O6+'февраль'!N6+'январь'!N6</f>
        <v>497720.04</v>
      </c>
      <c r="H5" s="152">
        <f t="shared" si="1"/>
        <v>492920.04</v>
      </c>
      <c r="I5" s="152">
        <f t="shared" si="2"/>
        <v>-4800</v>
      </c>
      <c r="J5" s="154"/>
      <c r="K5" s="152">
        <f>H5-F5-E5</f>
        <v>480420.04</v>
      </c>
      <c r="L5" s="154"/>
      <c r="M5" s="154"/>
      <c r="N5" s="154"/>
      <c r="O5" s="154"/>
      <c r="P5" s="154"/>
      <c r="Q5" s="154"/>
      <c r="R5" s="154"/>
      <c r="S5" s="154"/>
      <c r="T5" s="154"/>
      <c r="U5" s="154"/>
      <c r="V5" s="154"/>
      <c r="W5" s="154"/>
      <c r="X5" s="154"/>
      <c r="Y5" s="154"/>
      <c r="Z5" s="154"/>
    </row>
    <row r="6">
      <c r="A6" s="156" t="s">
        <v>107</v>
      </c>
      <c r="B6" s="149">
        <f>'июль'!E6+'август'!G6+'август'!E6+'сентябрь'!G6+'сентябрь'!E6+'октябрь'!E6+'октябрь'!G6+'ноябрь'!E6+'ноябрь'!G6+'декабрь'!O5</f>
        <v>278296.78</v>
      </c>
      <c r="C6" s="150">
        <f>'июль'!J6</f>
        <v>6500</v>
      </c>
      <c r="D6" s="150">
        <f>'сентябрь'!K6+'октябрь'!K6</f>
        <v>13200</v>
      </c>
      <c r="E6" s="150">
        <f>'август'!L6+'ноябрь'!L6</f>
        <v>55500</v>
      </c>
      <c r="F6" s="151"/>
      <c r="G6" s="152">
        <f t="shared" ref="G6:G7" si="3">B6+C6+D6+E6+F6</f>
        <v>353496.78</v>
      </c>
      <c r="H6" s="152">
        <f t="shared" si="1"/>
        <v>353496.78</v>
      </c>
      <c r="I6" s="152">
        <f t="shared" si="2"/>
        <v>0</v>
      </c>
      <c r="J6" s="152">
        <f>G6-E6-D6-C6</f>
        <v>278296.78</v>
      </c>
      <c r="K6" s="154"/>
      <c r="L6" s="154"/>
      <c r="M6" s="154"/>
      <c r="N6" s="154"/>
      <c r="O6" s="154"/>
      <c r="P6" s="154"/>
      <c r="Q6" s="154"/>
      <c r="R6" s="154"/>
      <c r="S6" s="154"/>
      <c r="T6" s="154"/>
      <c r="U6" s="154"/>
      <c r="V6" s="154"/>
      <c r="W6" s="154"/>
      <c r="X6" s="154"/>
      <c r="Y6" s="154"/>
      <c r="Z6" s="154"/>
    </row>
    <row r="7">
      <c r="A7" s="148" t="s">
        <v>57</v>
      </c>
      <c r="B7" s="149">
        <f>'январь'!E7+'февраль'!E7+'март'!E7+'апрель'!E7+'май'!E7+'май'!H7+'июнь'!E7+'июль'!E8+'август'!E8+'сентябрь'!E8+'октябрь'!E8+'ноябрь'!E8+'декабрь'!E6</f>
        <v>394726</v>
      </c>
      <c r="C7" s="150"/>
      <c r="D7" s="150"/>
      <c r="E7" s="151"/>
      <c r="F7" s="151"/>
      <c r="G7" s="152">
        <f t="shared" si="3"/>
        <v>394726</v>
      </c>
      <c r="H7" s="152">
        <f t="shared" si="1"/>
        <v>394726</v>
      </c>
      <c r="I7" s="152">
        <f t="shared" si="2"/>
        <v>0</v>
      </c>
      <c r="J7" s="153"/>
      <c r="K7" s="152"/>
      <c r="L7" s="154"/>
      <c r="M7" s="154"/>
      <c r="N7" s="154"/>
      <c r="O7" s="154"/>
      <c r="P7" s="154"/>
      <c r="Q7" s="154"/>
      <c r="R7" s="154"/>
      <c r="S7" s="154"/>
      <c r="T7" s="154"/>
      <c r="U7" s="154"/>
      <c r="V7" s="154"/>
      <c r="W7" s="154"/>
      <c r="X7" s="154"/>
      <c r="Y7" s="154"/>
      <c r="Z7" s="154"/>
    </row>
    <row r="8">
      <c r="A8" s="157" t="s">
        <v>58</v>
      </c>
      <c r="B8" s="149">
        <f>'январь'!E8+'январь'!E9+'январь'!F8+'январь'!G8+'февраль'!E8+'февраль'!E9+'февраль'!F8+'февраль'!G8+'март'!E8+'март'!E9+'март'!F8+'март'!G8+'март'!H8+'апрель'!E8+'апрель'!E9+'апрель'!F8+'апрель'!G8+'апрель'!H8+'май'!E8+'май'!E9+'май'!F8+'май'!H8+'июнь'!E8+'июнь'!E9+'июнь'!F8+'июнь'!G8+'июль'!E9+'июль'!E10+'июль'!F9+'июль'!G9+'август'!E9+'август'!E10+'август'!F9+'август'!G9+'сентябрь'!E9+'сентябрь'!E10+'сентябрь'!F9+'сентябрь'!G9+'сентябрь'!H9+'октябрь'!E9+'октябрь'!E10+'октябрь'!F9+'октябрь'!G9+'ноябрь'!E9+'ноябрь'!E10+'ноябрь'!F9+'ноябрь'!G9+'декабрь'!E7+'декабрь'!E8+'декабрь'!F7+'декабрь'!G7+'декабрь'!H7+'май'!G8</f>
        <v>993251.02</v>
      </c>
      <c r="C8" s="151"/>
      <c r="D8" s="150">
        <f>'май'!K8+'июль'!K9+'август'!K9</f>
        <v>24700</v>
      </c>
      <c r="E8" s="150">
        <f>'январь'!K8+'февраль'!J8+'март'!L8+'апрель'!L8+'май'!L8+'июнь'!L8+'июль'!L9+'август'!L9+'сентябрь'!L9+'ноябрь'!L9+'декабрь'!L7</f>
        <v>276000</v>
      </c>
      <c r="F8" s="151"/>
      <c r="G8" s="152">
        <f>'январь'!N8+'февраль'!N8+'март'!O8+'апрель'!O8+'май'!O8+'июнь'!O8+'июль'!O9+'август'!O9+'сентябрь'!O9+'октябрь'!O9+'ноябрь'!O9+'декабрь'!O7</f>
        <v>1677764.02</v>
      </c>
      <c r="H8" s="152">
        <f t="shared" si="1"/>
        <v>1293951.02</v>
      </c>
      <c r="I8" s="152">
        <f t="shared" si="2"/>
        <v>-383813</v>
      </c>
      <c r="J8" s="152">
        <f>H8+G7</f>
        <v>1688677.02</v>
      </c>
      <c r="K8" s="152">
        <f>G8-J8</f>
        <v>-10913</v>
      </c>
      <c r="L8" s="152">
        <f>B8-66000-25200</f>
        <v>902051.02</v>
      </c>
      <c r="M8" s="154"/>
      <c r="N8" s="154"/>
      <c r="O8" s="154"/>
      <c r="P8" s="154"/>
      <c r="Q8" s="154"/>
      <c r="R8" s="154"/>
      <c r="S8" s="154"/>
      <c r="T8" s="154"/>
      <c r="U8" s="154"/>
      <c r="V8" s="154"/>
      <c r="W8" s="154"/>
      <c r="X8" s="154"/>
      <c r="Y8" s="154"/>
      <c r="Z8" s="154"/>
    </row>
    <row r="9">
      <c r="A9" s="134" t="s">
        <v>59</v>
      </c>
      <c r="B9" s="11"/>
      <c r="C9" s="11"/>
      <c r="D9" s="11"/>
      <c r="E9" s="11"/>
      <c r="F9" s="11"/>
      <c r="G9">
        <f t="shared" ref="G9:G10" si="4">B9+C9+D9+E9+F9</f>
        <v>0</v>
      </c>
      <c r="H9">
        <f t="shared" si="1"/>
        <v>0</v>
      </c>
      <c r="I9" s="22">
        <f t="shared" si="2"/>
        <v>0</v>
      </c>
      <c r="K9" s="8" t="s">
        <v>108</v>
      </c>
      <c r="L9" s="8" t="s">
        <v>109</v>
      </c>
    </row>
    <row r="10">
      <c r="A10" s="62"/>
      <c r="B10" s="149">
        <f>'январь'!N10+'февраль'!N10+'март'!O10+'апрель'!O10+'май'!O10+'июнь'!O10+'июль'!O11+'август'!O11+'сентябрь'!O11+'октябрь'!O11+'ноябрь'!O11+'декабрь'!O9</f>
        <v>637617.82</v>
      </c>
      <c r="C10" s="151"/>
      <c r="D10" s="151"/>
      <c r="E10" s="151"/>
      <c r="F10" s="151"/>
      <c r="G10" s="152">
        <f t="shared" si="4"/>
        <v>637617.82</v>
      </c>
      <c r="H10" s="152">
        <f t="shared" si="1"/>
        <v>637617.82</v>
      </c>
      <c r="I10" s="126">
        <f t="shared" si="2"/>
        <v>0</v>
      </c>
      <c r="J10" s="154"/>
      <c r="K10" s="154"/>
      <c r="L10" s="154"/>
      <c r="M10" s="154"/>
      <c r="N10" s="154"/>
      <c r="O10" s="154"/>
      <c r="P10" s="154"/>
      <c r="Q10" s="154"/>
      <c r="R10" s="154"/>
      <c r="S10" s="154"/>
      <c r="T10" s="154"/>
      <c r="U10" s="154"/>
      <c r="V10" s="154"/>
      <c r="W10" s="154"/>
      <c r="X10" s="154"/>
      <c r="Y10" s="154"/>
      <c r="Z10" s="154"/>
    </row>
    <row r="11">
      <c r="A11" s="158" t="s">
        <v>63</v>
      </c>
      <c r="B11" s="149">
        <f>'январь'!E12+'февраль'!E12+'февраль'!H12+'март'!E12+'март'!G12+'март'!H12+'апрель'!E12+'апрель'!G12+'апрель'!H12+'май'!E12+'май'!G12+'май'!H12+'июнь'!E12+'июнь'!G12+'июнь'!H12+'июль'!E13+'июль'!G13+'июль'!H13+'август'!E13+'август'!G13+'август'!H13+'сентябрь'!E13+'сентябрь'!G13+'октябрь'!E13+'октябрь'!G13+'ноябрь'!E13+'ноябрь'!H13+'декабрь'!E14+'декабрь'!G14+'декабрь'!H14</f>
        <v>305868.04</v>
      </c>
      <c r="C11" s="150">
        <f>'февраль'!I12+'июнь'!J12+'июль'!J13+'август'!J13+'сентябрь'!J13+'октябрь'!J13+'ноябрь'!J13+'декабрь'!J14</f>
        <v>916500</v>
      </c>
      <c r="D11" s="150">
        <f>'июнь'!K12+'сентябрь'!K13+'октябрь'!K13</f>
        <v>41300</v>
      </c>
      <c r="E11" s="150">
        <f>'май'!L12</f>
        <v>4500</v>
      </c>
      <c r="F11" s="150">
        <f>'март'!I12</f>
        <v>5500</v>
      </c>
      <c r="G11" s="152">
        <f>'январь'!N12+'февраль'!N12+'март'!O12+'апрель'!O12+'май'!O12+'июнь'!O12+'июль'!O13+'август'!O13+'сентябрь'!O13+'октябрь'!O13+'ноябрь'!O13+'декабрь'!O14</f>
        <v>1273668.04</v>
      </c>
      <c r="H11" s="152">
        <f t="shared" si="1"/>
        <v>1273668.04</v>
      </c>
      <c r="I11" s="152">
        <f t="shared" si="2"/>
        <v>0</v>
      </c>
      <c r="J11" s="154"/>
      <c r="K11" s="154"/>
      <c r="L11" s="154"/>
      <c r="M11" s="154"/>
      <c r="N11" s="154"/>
      <c r="O11" s="154"/>
      <c r="P11" s="154"/>
      <c r="Q11" s="154"/>
      <c r="R11" s="154"/>
      <c r="S11" s="154"/>
      <c r="T11" s="154"/>
      <c r="U11" s="154"/>
      <c r="V11" s="154"/>
      <c r="W11" s="154"/>
      <c r="X11" s="154"/>
      <c r="Y11" s="154"/>
      <c r="Z11" s="154"/>
    </row>
    <row r="12">
      <c r="A12" s="159" t="s">
        <v>81</v>
      </c>
      <c r="B12" s="149">
        <f>'январь'!N13+'февраль'!N13+'март'!O13+'апрель'!O13+'май'!O13+'июнь'!E13+'июнь'!H13+'июль'!E14+'июль'!H14+'август'!E14+'август'!H14+'сентябрь'!E14+'сентябрь'!H14+'октябрь'!O14+'ноябрь'!O14+'декабрь'!O15</f>
        <v>385610</v>
      </c>
      <c r="C12" s="151"/>
      <c r="D12" s="151"/>
      <c r="E12" s="151"/>
      <c r="F12" s="150">
        <f>'июнь'!I13+'июль'!I14</f>
        <v>59600</v>
      </c>
      <c r="G12" s="152">
        <f>'январь'!N13+'февраль'!N13+'март'!O13+'апрель'!O13+'май'!O13+'июнь'!O13+'июль'!O14+'август'!O14+'сентябрь'!O14+'октябрь'!O14+'ноябрь'!O14+'декабрь'!O15</f>
        <v>445210</v>
      </c>
      <c r="H12" s="152">
        <f t="shared" si="1"/>
        <v>445210</v>
      </c>
      <c r="I12" s="152">
        <f t="shared" si="2"/>
        <v>0</v>
      </c>
      <c r="J12" s="153">
        <v>402810.0</v>
      </c>
      <c r="K12" s="154"/>
      <c r="L12" s="154"/>
      <c r="M12" s="154"/>
      <c r="N12" s="154"/>
      <c r="O12" s="154"/>
      <c r="P12" s="154"/>
      <c r="Q12" s="154"/>
      <c r="R12" s="154"/>
      <c r="S12" s="154"/>
      <c r="T12" s="154"/>
      <c r="U12" s="154"/>
      <c r="V12" s="154"/>
      <c r="W12" s="154"/>
      <c r="X12" s="154"/>
      <c r="Y12" s="154"/>
      <c r="Z12" s="154"/>
    </row>
  </sheetData>
  <mergeCells count="1">
    <mergeCell ref="A9:A10"/>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3" max="3" width="10.25"/>
  </cols>
  <sheetData>
    <row r="1">
      <c r="A1" s="3"/>
      <c r="B1" s="2" t="s">
        <v>2</v>
      </c>
      <c r="C1" s="2" t="s">
        <v>1</v>
      </c>
      <c r="D1" s="11"/>
    </row>
    <row r="2">
      <c r="A2" s="3" t="s">
        <v>110</v>
      </c>
      <c r="B2" s="13">
        <v>459.0</v>
      </c>
      <c r="C2" s="13">
        <v>50.0</v>
      </c>
      <c r="D2" s="12">
        <f t="shared" ref="D2:D3" si="1">B2*C2</f>
        <v>22950</v>
      </c>
    </row>
    <row r="3">
      <c r="A3" s="3" t="s">
        <v>111</v>
      </c>
      <c r="B3" s="13">
        <v>365.0</v>
      </c>
      <c r="C3" s="13">
        <v>120.0</v>
      </c>
      <c r="D3" s="12">
        <f t="shared" si="1"/>
        <v>43800</v>
      </c>
    </row>
    <row r="4">
      <c r="A4" s="3" t="s">
        <v>72</v>
      </c>
      <c r="B4" s="12"/>
      <c r="C4" s="12"/>
      <c r="D4" s="13">
        <v>5718.36</v>
      </c>
    </row>
    <row r="5">
      <c r="A5" s="11"/>
      <c r="B5" s="11"/>
      <c r="C5" s="11"/>
      <c r="D5" s="12">
        <f>SUM(D2:D4)</f>
        <v>72468.36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4" max="4" width="17.0"/>
  </cols>
  <sheetData>
    <row r="1">
      <c r="A1" s="160"/>
      <c r="B1" s="161" t="s">
        <v>112</v>
      </c>
      <c r="C1" s="99"/>
      <c r="D1" s="8" t="s">
        <v>113</v>
      </c>
      <c r="E1" s="8" t="s">
        <v>114</v>
      </c>
    </row>
    <row r="2">
      <c r="A2" s="8"/>
      <c r="B2" s="3" t="s">
        <v>110</v>
      </c>
      <c r="C2" s="3">
        <v>769.0</v>
      </c>
      <c r="D2" s="3">
        <v>859.0</v>
      </c>
      <c r="E2" s="3">
        <v>905.0</v>
      </c>
      <c r="F2" s="11"/>
    </row>
    <row r="3">
      <c r="A3" s="8"/>
      <c r="B3" s="3" t="s">
        <v>115</v>
      </c>
      <c r="C3" s="3">
        <v>421.0</v>
      </c>
      <c r="D3" s="3">
        <v>448.0</v>
      </c>
      <c r="E3" s="3">
        <v>556.0</v>
      </c>
      <c r="F3" s="11"/>
    </row>
    <row r="4">
      <c r="A4" s="8"/>
      <c r="B4" s="3" t="s">
        <v>3</v>
      </c>
      <c r="C4" s="162">
        <f t="shared" ref="C4:E4" si="1">SUM(C2:C3)</f>
        <v>1190</v>
      </c>
      <c r="D4" s="11">
        <f t="shared" si="1"/>
        <v>1307</v>
      </c>
      <c r="E4" s="11">
        <f t="shared" si="1"/>
        <v>1461</v>
      </c>
      <c r="F4" s="11"/>
    </row>
    <row r="6">
      <c r="A6" s="8"/>
      <c r="B6" s="8" t="s">
        <v>116</v>
      </c>
    </row>
    <row r="7">
      <c r="A7" s="3"/>
      <c r="B7" s="3" t="s">
        <v>2</v>
      </c>
      <c r="C7" s="3" t="s">
        <v>1</v>
      </c>
      <c r="D7" s="3" t="s">
        <v>117</v>
      </c>
      <c r="E7" s="8" t="s">
        <v>118</v>
      </c>
    </row>
    <row r="8">
      <c r="A8" s="163" t="s">
        <v>119</v>
      </c>
      <c r="B8" s="163">
        <v>1085.0</v>
      </c>
      <c r="C8" s="13">
        <v>4000.0</v>
      </c>
      <c r="D8" s="12">
        <f>C8/B8</f>
        <v>3.686635945</v>
      </c>
    </row>
    <row r="9">
      <c r="A9" s="3" t="s">
        <v>120</v>
      </c>
      <c r="B9" s="162">
        <f>C4</f>
        <v>1190</v>
      </c>
      <c r="C9" s="11"/>
      <c r="D9" s="11"/>
      <c r="E9" s="8">
        <v>31.0</v>
      </c>
      <c r="F9" s="8">
        <v>2.0</v>
      </c>
    </row>
    <row r="10">
      <c r="A10" s="3" t="s">
        <v>121</v>
      </c>
      <c r="B10" s="162">
        <f>B9-B8</f>
        <v>105</v>
      </c>
      <c r="C10" s="164">
        <f>B10*D8</f>
        <v>387.0967742</v>
      </c>
      <c r="D10" s="12">
        <f>C8+C10</f>
        <v>4387.096774</v>
      </c>
      <c r="E10" s="165">
        <f t="shared" ref="E10:F10" si="2">D10/E9</f>
        <v>141.5192508</v>
      </c>
      <c r="F10" s="165">
        <f t="shared" si="2"/>
        <v>70.75962539</v>
      </c>
      <c r="G10" s="8" t="s">
        <v>122</v>
      </c>
    </row>
    <row r="11">
      <c r="A11" s="3" t="s">
        <v>123</v>
      </c>
      <c r="B11" s="11">
        <f>4+13</f>
        <v>17</v>
      </c>
      <c r="C11" s="164">
        <f>B11*D8</f>
        <v>62.67281106</v>
      </c>
      <c r="D11" s="3">
        <v>4453.83</v>
      </c>
      <c r="E11" s="165"/>
      <c r="F11" s="165"/>
    </row>
    <row r="12">
      <c r="A12" s="3" t="s">
        <v>124</v>
      </c>
      <c r="B12" s="3">
        <v>154.0</v>
      </c>
      <c r="C12" s="164">
        <f>B12*D8</f>
        <v>567.7419355</v>
      </c>
      <c r="D12" s="12">
        <f>D10+C12</f>
        <v>4954.83871</v>
      </c>
      <c r="E12" s="165">
        <f t="shared" ref="E12:F12" si="3">D12/E9</f>
        <v>159.8335068</v>
      </c>
      <c r="F12" s="165">
        <f t="shared" si="3"/>
        <v>79.91675338</v>
      </c>
      <c r="G12" s="8" t="s">
        <v>122</v>
      </c>
    </row>
    <row r="13">
      <c r="A13" s="11"/>
      <c r="B13" s="11"/>
      <c r="C13" s="11"/>
      <c r="D13" s="11"/>
    </row>
    <row r="14">
      <c r="A14" s="11"/>
      <c r="B14" s="11"/>
      <c r="C14" s="11"/>
      <c r="D14" s="11"/>
    </row>
    <row r="16">
      <c r="A16" s="8" t="s">
        <v>125</v>
      </c>
    </row>
    <row r="17">
      <c r="A17" s="8" t="s">
        <v>126</v>
      </c>
    </row>
    <row r="18">
      <c r="A18" s="8" t="s">
        <v>127</v>
      </c>
    </row>
    <row r="19">
      <c r="A19" s="8" t="s">
        <v>128</v>
      </c>
    </row>
    <row r="20">
      <c r="A20" s="8" t="s">
        <v>129</v>
      </c>
    </row>
    <row r="21">
      <c r="A21" s="8" t="s">
        <v>130</v>
      </c>
    </row>
    <row r="22">
      <c r="A22" s="8" t="s">
        <v>131</v>
      </c>
    </row>
    <row r="23">
      <c r="A23" s="8" t="s">
        <v>132</v>
      </c>
    </row>
    <row r="24">
      <c r="A24" s="8"/>
    </row>
    <row r="25">
      <c r="A25" s="8"/>
    </row>
    <row r="26">
      <c r="A26" s="8" t="s">
        <v>133</v>
      </c>
    </row>
    <row r="28">
      <c r="A28" s="8" t="s">
        <v>134</v>
      </c>
      <c r="B28" s="8" t="s">
        <v>135</v>
      </c>
      <c r="C28" s="8" t="s">
        <v>136</v>
      </c>
    </row>
    <row r="29">
      <c r="A29" s="8" t="s">
        <v>137</v>
      </c>
    </row>
  </sheetData>
  <mergeCells count="2">
    <mergeCell ref="B1:C1"/>
    <mergeCell ref="A17:E17"/>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9.63"/>
    <col customWidth="1" min="4" max="4" width="17.88"/>
    <col customWidth="1" min="5" max="5" width="13.38"/>
    <col customWidth="1" min="6" max="6" width="9.0"/>
    <col customWidth="1" min="7" max="7" width="14.75"/>
    <col customWidth="1" min="8" max="8" width="13.38"/>
  </cols>
  <sheetData>
    <row r="1">
      <c r="J1" s="8" t="s">
        <v>138</v>
      </c>
    </row>
    <row r="2">
      <c r="A2" s="166" t="s">
        <v>139</v>
      </c>
      <c r="B2" s="99"/>
      <c r="D2" s="166" t="s">
        <v>140</v>
      </c>
      <c r="E2" s="99"/>
      <c r="G2" s="166" t="s">
        <v>141</v>
      </c>
      <c r="H2" s="99"/>
    </row>
    <row r="3">
      <c r="A3" s="3" t="s">
        <v>142</v>
      </c>
      <c r="B3" s="13">
        <v>32000.0</v>
      </c>
      <c r="D3" s="3" t="s">
        <v>143</v>
      </c>
      <c r="E3" s="13">
        <f>35000+3000+3500</f>
        <v>41500</v>
      </c>
      <c r="G3" s="3" t="s">
        <v>142</v>
      </c>
      <c r="H3" s="13">
        <v>10000.0</v>
      </c>
    </row>
    <row r="4">
      <c r="A4" s="3" t="s">
        <v>144</v>
      </c>
      <c r="B4" s="13">
        <v>10001.55</v>
      </c>
      <c r="D4" s="3" t="s">
        <v>144</v>
      </c>
      <c r="E4" s="13">
        <v>10062.13</v>
      </c>
      <c r="G4" s="3" t="s">
        <v>145</v>
      </c>
      <c r="H4" s="13">
        <f>6*71</f>
        <v>426</v>
      </c>
    </row>
    <row r="5">
      <c r="A5" s="3" t="s">
        <v>146</v>
      </c>
      <c r="B5" s="113">
        <v>10000.25</v>
      </c>
      <c r="D5" s="3" t="s">
        <v>146</v>
      </c>
      <c r="E5" s="13">
        <v>10062.12</v>
      </c>
      <c r="G5" s="3" t="s">
        <v>147</v>
      </c>
      <c r="H5" s="113">
        <v>3750.0</v>
      </c>
    </row>
    <row r="6">
      <c r="A6" s="167" t="s">
        <v>148</v>
      </c>
      <c r="B6" s="109">
        <f>B3-B4-B5</f>
        <v>11998.2</v>
      </c>
      <c r="D6" s="167" t="s">
        <v>148</v>
      </c>
      <c r="E6" s="109">
        <f>E3-E4-E5</f>
        <v>21375.75</v>
      </c>
      <c r="G6" s="3" t="s">
        <v>149</v>
      </c>
      <c r="H6" s="13">
        <v>7500.0</v>
      </c>
    </row>
    <row r="7">
      <c r="A7" s="3" t="s">
        <v>150</v>
      </c>
      <c r="B7" s="13">
        <f>17*71</f>
        <v>1207</v>
      </c>
      <c r="D7" s="168" t="s">
        <v>47</v>
      </c>
      <c r="E7" s="169"/>
      <c r="G7" s="3"/>
      <c r="H7" s="13"/>
    </row>
    <row r="8">
      <c r="A8" s="3"/>
      <c r="B8" s="13"/>
      <c r="D8" s="3" t="s">
        <v>151</v>
      </c>
      <c r="E8" s="13">
        <v>750.0</v>
      </c>
      <c r="G8" s="3"/>
      <c r="H8" s="113"/>
    </row>
    <row r="9">
      <c r="A9" s="170" t="s">
        <v>3</v>
      </c>
      <c r="B9" s="171">
        <f>B6+B7</f>
        <v>13205.2</v>
      </c>
      <c r="D9" s="3"/>
      <c r="E9" s="13"/>
      <c r="G9" s="170" t="s">
        <v>3</v>
      </c>
      <c r="H9" s="171">
        <f>SUM(H3:H8)</f>
        <v>21676</v>
      </c>
      <c r="J9" s="172">
        <f>B9+E10+H9</f>
        <v>57006.95</v>
      </c>
      <c r="L9" s="96">
        <f>E10+H9+E21+H20+E32+H30+E44+H42+E54+H54+E68+H66+E85+H83+E97+H95+E108+H107+E120+H118+E133+H131+E144+H143</f>
        <v>540052.54</v>
      </c>
    </row>
    <row r="10">
      <c r="D10" s="170" t="s">
        <v>3</v>
      </c>
      <c r="E10" s="171">
        <f>E6+E7+E8</f>
        <v>22125.75</v>
      </c>
    </row>
    <row r="12">
      <c r="L12" s="96"/>
    </row>
    <row r="13">
      <c r="A13" s="166" t="s">
        <v>152</v>
      </c>
      <c r="B13" s="99"/>
      <c r="D13" s="166" t="s">
        <v>153</v>
      </c>
      <c r="E13" s="99"/>
      <c r="G13" s="166" t="s">
        <v>154</v>
      </c>
      <c r="H13" s="99"/>
      <c r="I13" s="8"/>
      <c r="J13" s="8"/>
    </row>
    <row r="14">
      <c r="A14" s="3" t="s">
        <v>142</v>
      </c>
      <c r="B14" s="13">
        <v>32000.0</v>
      </c>
      <c r="D14" s="3" t="s">
        <v>142</v>
      </c>
      <c r="E14" s="13">
        <v>41500.0</v>
      </c>
      <c r="G14" s="3" t="s">
        <v>142</v>
      </c>
      <c r="H14" s="13">
        <v>10000.0</v>
      </c>
    </row>
    <row r="15">
      <c r="A15" s="3" t="s">
        <v>144</v>
      </c>
      <c r="B15" s="13">
        <v>10003.55</v>
      </c>
      <c r="D15" s="3" t="s">
        <v>144</v>
      </c>
      <c r="E15" s="13">
        <v>10062.13</v>
      </c>
      <c r="G15" s="3" t="s">
        <v>149</v>
      </c>
      <c r="H15" s="13">
        <v>7500.0</v>
      </c>
    </row>
    <row r="16">
      <c r="A16" s="3" t="s">
        <v>146</v>
      </c>
      <c r="B16" s="113">
        <v>10001.55</v>
      </c>
      <c r="D16" s="3" t="s">
        <v>146</v>
      </c>
      <c r="E16" s="113">
        <v>10062.12</v>
      </c>
      <c r="G16" s="3"/>
      <c r="H16" s="113"/>
    </row>
    <row r="17">
      <c r="A17" s="167" t="s">
        <v>148</v>
      </c>
      <c r="B17" s="109">
        <f>B14-B15-B16</f>
        <v>11994.9</v>
      </c>
      <c r="D17" s="167" t="s">
        <v>148</v>
      </c>
      <c r="E17" s="109">
        <f>E14-E15-E16</f>
        <v>21375.75</v>
      </c>
      <c r="G17" s="3"/>
      <c r="H17" s="13"/>
    </row>
    <row r="18">
      <c r="A18" s="3" t="s">
        <v>155</v>
      </c>
      <c r="B18" s="13">
        <f>20*71</f>
        <v>1420</v>
      </c>
      <c r="D18" s="3" t="s">
        <v>47</v>
      </c>
      <c r="E18" s="13"/>
      <c r="G18" s="3"/>
      <c r="H18" s="13"/>
    </row>
    <row r="19">
      <c r="A19" s="170" t="s">
        <v>156</v>
      </c>
      <c r="B19" s="171">
        <f>B17+B18</f>
        <v>13414.9</v>
      </c>
      <c r="D19" s="3"/>
      <c r="E19" s="13"/>
      <c r="G19" s="3"/>
      <c r="H19" s="113"/>
    </row>
    <row r="20">
      <c r="D20" s="3"/>
      <c r="E20" s="13"/>
      <c r="G20" s="170" t="s">
        <v>3</v>
      </c>
      <c r="H20" s="171">
        <f>SUM(H14:H19)</f>
        <v>17500</v>
      </c>
      <c r="J20" s="172">
        <f>B19+E21+H20</f>
        <v>52290.65</v>
      </c>
    </row>
    <row r="21">
      <c r="D21" s="170" t="s">
        <v>156</v>
      </c>
      <c r="E21" s="171">
        <f>E17+E18+E19+E20</f>
        <v>21375.75</v>
      </c>
      <c r="G21" s="96">
        <f>B19+E21</f>
        <v>34790.65</v>
      </c>
    </row>
    <row r="23">
      <c r="A23" s="166" t="s">
        <v>157</v>
      </c>
      <c r="B23" s="99"/>
      <c r="D23" s="166" t="s">
        <v>158</v>
      </c>
      <c r="E23" s="99"/>
      <c r="G23" s="166" t="s">
        <v>159</v>
      </c>
      <c r="H23" s="99"/>
    </row>
    <row r="24">
      <c r="A24" s="173" t="s">
        <v>142</v>
      </c>
      <c r="B24" s="174">
        <v>32000.0</v>
      </c>
      <c r="D24" s="173" t="s">
        <v>142</v>
      </c>
      <c r="E24" s="174">
        <v>41500.0</v>
      </c>
      <c r="G24" s="173" t="s">
        <v>142</v>
      </c>
      <c r="H24" s="174">
        <v>10000.0</v>
      </c>
    </row>
    <row r="25">
      <c r="A25" s="29" t="s">
        <v>160</v>
      </c>
      <c r="B25" s="113">
        <v>10001.55</v>
      </c>
      <c r="D25" s="3" t="s">
        <v>160</v>
      </c>
      <c r="E25" s="13">
        <v>10062.13</v>
      </c>
      <c r="G25" s="3" t="s">
        <v>149</v>
      </c>
      <c r="H25" s="13">
        <v>7500.0</v>
      </c>
    </row>
    <row r="26">
      <c r="A26" s="29" t="s">
        <v>161</v>
      </c>
      <c r="B26" s="113">
        <v>10002.55</v>
      </c>
      <c r="D26" s="3" t="s">
        <v>161</v>
      </c>
      <c r="E26" s="113">
        <v>10062.12</v>
      </c>
      <c r="G26" s="3" t="s">
        <v>162</v>
      </c>
      <c r="H26" s="113">
        <v>5000.0</v>
      </c>
    </row>
    <row r="27">
      <c r="A27" s="167" t="s">
        <v>148</v>
      </c>
      <c r="B27" s="13">
        <f>B24-B25-B26</f>
        <v>11995.9</v>
      </c>
      <c r="D27" s="3" t="s">
        <v>163</v>
      </c>
      <c r="E27" s="13">
        <f>E24-E25-E26</f>
        <v>21375.75</v>
      </c>
      <c r="G27" s="3"/>
      <c r="H27" s="3"/>
    </row>
    <row r="28">
      <c r="A28" s="3" t="s">
        <v>164</v>
      </c>
      <c r="B28" s="13">
        <f>21*72</f>
        <v>1512</v>
      </c>
      <c r="D28" s="3" t="s">
        <v>165</v>
      </c>
      <c r="E28" s="13">
        <v>3000.0</v>
      </c>
      <c r="G28" s="3"/>
      <c r="H28" s="13"/>
    </row>
    <row r="29">
      <c r="A29" s="3" t="s">
        <v>166</v>
      </c>
      <c r="B29" s="13"/>
      <c r="D29" s="3" t="s">
        <v>47</v>
      </c>
      <c r="E29" s="13"/>
      <c r="G29" s="3"/>
      <c r="H29" s="113"/>
    </row>
    <row r="30">
      <c r="A30" s="170" t="s">
        <v>156</v>
      </c>
      <c r="B30" s="171">
        <f>B27+B28+B29</f>
        <v>13507.9</v>
      </c>
      <c r="D30" s="3" t="s">
        <v>167</v>
      </c>
      <c r="E30" s="113">
        <v>0.0</v>
      </c>
      <c r="G30" s="170" t="s">
        <v>156</v>
      </c>
      <c r="H30" s="171">
        <f>SUM(H24:H29)</f>
        <v>22500</v>
      </c>
      <c r="J30" s="172">
        <f>B30+E32+H30</f>
        <v>65383.65</v>
      </c>
    </row>
    <row r="31">
      <c r="D31" s="3" t="s">
        <v>162</v>
      </c>
      <c r="E31" s="13">
        <v>5000.0</v>
      </c>
    </row>
    <row r="32">
      <c r="D32" s="170" t="s">
        <v>156</v>
      </c>
      <c r="E32" s="171">
        <f>E27+E28+E29+E30+E31</f>
        <v>29375.75</v>
      </c>
    </row>
    <row r="35">
      <c r="A35" s="166" t="s">
        <v>168</v>
      </c>
      <c r="B35" s="99"/>
      <c r="D35" s="166" t="s">
        <v>169</v>
      </c>
      <c r="E35" s="99"/>
      <c r="G35" s="166" t="s">
        <v>170</v>
      </c>
      <c r="H35" s="99"/>
    </row>
    <row r="36">
      <c r="A36" s="173" t="s">
        <v>142</v>
      </c>
      <c r="B36" s="174">
        <v>32000.0</v>
      </c>
      <c r="D36" s="173" t="s">
        <v>142</v>
      </c>
      <c r="E36" s="174">
        <v>41500.0</v>
      </c>
      <c r="G36" s="173" t="s">
        <v>142</v>
      </c>
      <c r="H36" s="174">
        <v>10000.0</v>
      </c>
    </row>
    <row r="37">
      <c r="A37" s="29" t="s">
        <v>160</v>
      </c>
      <c r="B37" s="113">
        <v>10001.55</v>
      </c>
      <c r="D37" s="3" t="s">
        <v>160</v>
      </c>
      <c r="E37" s="13">
        <v>10062.13</v>
      </c>
      <c r="G37" s="3" t="s">
        <v>171</v>
      </c>
      <c r="H37" s="13">
        <v>800.0</v>
      </c>
    </row>
    <row r="38">
      <c r="A38" s="29" t="s">
        <v>161</v>
      </c>
      <c r="B38" s="113">
        <v>10002.55</v>
      </c>
      <c r="D38" s="3" t="s">
        <v>161</v>
      </c>
      <c r="E38" s="113">
        <v>10062.12</v>
      </c>
      <c r="G38" s="3" t="s">
        <v>149</v>
      </c>
      <c r="H38" s="13">
        <v>7500.0</v>
      </c>
    </row>
    <row r="39">
      <c r="A39" s="167" t="s">
        <v>163</v>
      </c>
      <c r="B39" s="109">
        <f>B36-B37-B38</f>
        <v>11995.9</v>
      </c>
      <c r="D39" s="167" t="s">
        <v>163</v>
      </c>
      <c r="E39" s="109">
        <f>E36-E37-E38</f>
        <v>21375.75</v>
      </c>
      <c r="G39" s="3" t="s">
        <v>172</v>
      </c>
      <c r="H39" s="13">
        <v>3200.0</v>
      </c>
    </row>
    <row r="40">
      <c r="A40" s="3" t="s">
        <v>155</v>
      </c>
      <c r="B40" s="13">
        <f>22*72</f>
        <v>1584</v>
      </c>
      <c r="D40" s="3" t="s">
        <v>47</v>
      </c>
      <c r="E40" s="13"/>
      <c r="G40" s="3" t="s">
        <v>173</v>
      </c>
      <c r="H40" s="13">
        <f>3*72</f>
        <v>216</v>
      </c>
    </row>
    <row r="41">
      <c r="A41" s="3" t="s">
        <v>166</v>
      </c>
      <c r="B41" s="13">
        <v>4040.0</v>
      </c>
      <c r="D41" s="3" t="s">
        <v>167</v>
      </c>
      <c r="E41" s="13"/>
      <c r="F41" s="8">
        <v>4964.45</v>
      </c>
      <c r="G41" s="3" t="s">
        <v>174</v>
      </c>
      <c r="H41" s="113">
        <v>131.77</v>
      </c>
    </row>
    <row r="42">
      <c r="A42" s="170" t="s">
        <v>156</v>
      </c>
      <c r="B42" s="171">
        <f>B39+B40+B41</f>
        <v>17619.9</v>
      </c>
      <c r="D42" s="3" t="s">
        <v>174</v>
      </c>
      <c r="E42" s="113">
        <v>109.37</v>
      </c>
      <c r="G42" s="170" t="s">
        <v>156</v>
      </c>
      <c r="H42" s="171">
        <f>SUM(H36:H41)</f>
        <v>21847.77</v>
      </c>
    </row>
    <row r="43">
      <c r="D43" s="3"/>
      <c r="E43" s="13"/>
    </row>
    <row r="44">
      <c r="D44" s="170" t="s">
        <v>156</v>
      </c>
      <c r="E44" s="171">
        <f>E39+E40+E41+E42+E43</f>
        <v>21485.12</v>
      </c>
      <c r="J44" s="172">
        <f>B42+E44+H42</f>
        <v>60952.79</v>
      </c>
    </row>
    <row r="47">
      <c r="A47" s="166" t="s">
        <v>175</v>
      </c>
      <c r="B47" s="99"/>
      <c r="D47" s="166" t="s">
        <v>176</v>
      </c>
      <c r="E47" s="99"/>
      <c r="G47" s="166" t="s">
        <v>177</v>
      </c>
      <c r="H47" s="99"/>
    </row>
    <row r="48">
      <c r="A48" s="173" t="s">
        <v>142</v>
      </c>
      <c r="B48" s="174">
        <v>32000.0</v>
      </c>
      <c r="D48" s="173" t="s">
        <v>142</v>
      </c>
      <c r="E48" s="174">
        <v>41500.0</v>
      </c>
      <c r="G48" s="173" t="s">
        <v>142</v>
      </c>
      <c r="H48" s="174">
        <v>10000.0</v>
      </c>
    </row>
    <row r="49">
      <c r="A49" s="29" t="s">
        <v>160</v>
      </c>
      <c r="B49" s="113">
        <f>4286+4249.32</f>
        <v>8535.32</v>
      </c>
      <c r="C49" s="113"/>
      <c r="D49" s="3" t="s">
        <v>160</v>
      </c>
      <c r="E49" s="13">
        <v>10062.13</v>
      </c>
      <c r="G49" s="3" t="s">
        <v>149</v>
      </c>
      <c r="H49" s="13">
        <v>7500.0</v>
      </c>
    </row>
    <row r="50">
      <c r="A50" s="29" t="s">
        <v>161</v>
      </c>
      <c r="B50" s="113">
        <v>10160.13</v>
      </c>
      <c r="C50" s="113"/>
      <c r="D50" s="3" t="s">
        <v>161</v>
      </c>
      <c r="E50" s="113">
        <v>10063.12</v>
      </c>
      <c r="G50" s="3" t="s">
        <v>178</v>
      </c>
      <c r="H50" s="113">
        <v>3200.0</v>
      </c>
    </row>
    <row r="51">
      <c r="A51" s="3" t="s">
        <v>163</v>
      </c>
      <c r="B51" s="113">
        <v>8668.0</v>
      </c>
      <c r="D51" s="3" t="s">
        <v>163</v>
      </c>
      <c r="E51" s="13">
        <f>E48-E49-E50</f>
        <v>21374.75</v>
      </c>
      <c r="G51" s="3" t="s">
        <v>173</v>
      </c>
      <c r="H51" s="13">
        <f>3*72</f>
        <v>216</v>
      </c>
    </row>
    <row r="52">
      <c r="A52" s="3" t="s">
        <v>155</v>
      </c>
      <c r="B52" s="13">
        <v>936.0</v>
      </c>
      <c r="D52" s="3" t="s">
        <v>47</v>
      </c>
      <c r="E52" s="13"/>
      <c r="G52" s="3" t="s">
        <v>174</v>
      </c>
      <c r="H52" s="113">
        <v>131.77</v>
      </c>
    </row>
    <row r="53">
      <c r="A53" s="3"/>
      <c r="B53" s="13"/>
      <c r="D53" s="3" t="s">
        <v>179</v>
      </c>
      <c r="E53" s="113">
        <f>109.37+4165.03</f>
        <v>4274.4</v>
      </c>
      <c r="G53" s="3"/>
      <c r="H53" s="113"/>
    </row>
    <row r="54">
      <c r="A54" s="170" t="s">
        <v>156</v>
      </c>
      <c r="B54" s="175">
        <f>B51+B52+B53</f>
        <v>9604</v>
      </c>
      <c r="D54" s="170" t="s">
        <v>156</v>
      </c>
      <c r="E54" s="171">
        <f>E51+E52+E53</f>
        <v>25649.15</v>
      </c>
      <c r="G54" s="170" t="s">
        <v>156</v>
      </c>
      <c r="H54" s="171">
        <f>SUM(H48:H53)</f>
        <v>21047.77</v>
      </c>
      <c r="J54" s="172">
        <f>B54+E54+H54</f>
        <v>56300.92</v>
      </c>
    </row>
    <row r="55">
      <c r="C55" s="22"/>
      <c r="D55" s="101"/>
      <c r="E55" s="104"/>
      <c r="F55" s="22"/>
    </row>
    <row r="56">
      <c r="C56" s="22"/>
      <c r="D56" s="176"/>
      <c r="E56" s="177"/>
      <c r="F56" s="22"/>
      <c r="I56" s="96">
        <f>B54+E54+H54</f>
        <v>56300.92</v>
      </c>
      <c r="K56" s="8">
        <v>60435.0</v>
      </c>
    </row>
    <row r="57">
      <c r="C57" s="22"/>
      <c r="D57" s="22"/>
      <c r="E57" s="22"/>
      <c r="F57" s="22"/>
    </row>
    <row r="58">
      <c r="J58" s="96">
        <f>I56-K56</f>
        <v>-4134.08</v>
      </c>
    </row>
    <row r="59">
      <c r="A59" s="166" t="s">
        <v>180</v>
      </c>
      <c r="B59" s="99"/>
      <c r="D59" s="166" t="s">
        <v>181</v>
      </c>
      <c r="E59" s="99"/>
      <c r="G59" s="166" t="s">
        <v>182</v>
      </c>
      <c r="H59" s="99"/>
    </row>
    <row r="60">
      <c r="A60" s="173" t="s">
        <v>142</v>
      </c>
      <c r="B60" s="174">
        <v>32000.0</v>
      </c>
      <c r="D60" s="173" t="s">
        <v>142</v>
      </c>
      <c r="E60" s="174">
        <v>41500.0</v>
      </c>
      <c r="G60" s="173" t="s">
        <v>142</v>
      </c>
      <c r="H60" s="174">
        <v>10000.0</v>
      </c>
    </row>
    <row r="61">
      <c r="A61" s="29" t="s">
        <v>160</v>
      </c>
      <c r="B61" s="113">
        <v>10002.55</v>
      </c>
      <c r="C61" s="113"/>
      <c r="D61" s="3" t="s">
        <v>160</v>
      </c>
      <c r="E61" s="13">
        <v>10063.13</v>
      </c>
      <c r="G61" s="3" t="s">
        <v>149</v>
      </c>
      <c r="H61" s="13">
        <v>7500.0</v>
      </c>
    </row>
    <row r="62">
      <c r="A62" s="29" t="s">
        <v>161</v>
      </c>
      <c r="B62" s="113">
        <v>10002.55</v>
      </c>
      <c r="C62" s="113"/>
      <c r="D62" s="3" t="s">
        <v>161</v>
      </c>
      <c r="E62" s="113">
        <v>10062.12</v>
      </c>
      <c r="G62" s="3" t="s">
        <v>174</v>
      </c>
      <c r="H62" s="113">
        <v>131.77</v>
      </c>
    </row>
    <row r="63">
      <c r="A63" s="3" t="s">
        <v>163</v>
      </c>
      <c r="B63" s="13">
        <f>B60-B61-B62</f>
        <v>11994.9</v>
      </c>
      <c r="D63" s="3" t="s">
        <v>163</v>
      </c>
      <c r="E63" s="13">
        <f>E60-E61-E62</f>
        <v>21374.75</v>
      </c>
      <c r="G63" s="3"/>
      <c r="H63" s="113"/>
    </row>
    <row r="64">
      <c r="A64" s="3" t="s">
        <v>155</v>
      </c>
      <c r="B64" s="13">
        <v>1368.0</v>
      </c>
      <c r="D64" s="3" t="s">
        <v>47</v>
      </c>
      <c r="E64" s="13"/>
      <c r="G64" s="3"/>
      <c r="H64" s="13"/>
    </row>
    <row r="65">
      <c r="A65" s="3"/>
      <c r="B65" s="13"/>
      <c r="D65" s="3" t="s">
        <v>174</v>
      </c>
      <c r="E65" s="113">
        <v>109.37</v>
      </c>
      <c r="G65" s="3"/>
      <c r="H65" s="113"/>
    </row>
    <row r="66">
      <c r="A66" s="170" t="s">
        <v>156</v>
      </c>
      <c r="B66" s="171">
        <f>B63+B64+B65</f>
        <v>13362.9</v>
      </c>
      <c r="D66" s="3" t="s">
        <v>167</v>
      </c>
      <c r="E66" s="113"/>
      <c r="F66" s="113">
        <v>5273.82</v>
      </c>
      <c r="G66" s="170" t="s">
        <v>156</v>
      </c>
      <c r="H66" s="171">
        <f>SUM(H60:H65)</f>
        <v>17631.77</v>
      </c>
    </row>
    <row r="67">
      <c r="D67" s="3"/>
      <c r="E67" s="113"/>
    </row>
    <row r="68">
      <c r="D68" s="170" t="s">
        <v>156</v>
      </c>
      <c r="E68" s="171">
        <f>E63+E64+E65+E66+E67</f>
        <v>21484.12</v>
      </c>
      <c r="J68" s="178">
        <f>B66+E68+H66</f>
        <v>52478.79</v>
      </c>
    </row>
    <row r="69">
      <c r="E69" s="8">
        <v>11790.19</v>
      </c>
      <c r="J69" s="97">
        <v>11790.19</v>
      </c>
      <c r="K69" s="97" t="s">
        <v>183</v>
      </c>
    </row>
    <row r="70">
      <c r="B70" s="96">
        <f>B66+B54+B42+B30+B19+B9</f>
        <v>80714.8</v>
      </c>
      <c r="E70" s="96">
        <f>E10+E21+E32+E44+E54+E68</f>
        <v>141495.64</v>
      </c>
      <c r="H70" s="96">
        <f>H66+H54+H42+H30+H20+H9</f>
        <v>122203.31</v>
      </c>
      <c r="J70" s="97">
        <f>SUM(J68:J69)</f>
        <v>64268.98</v>
      </c>
      <c r="K70" s="96"/>
    </row>
    <row r="71">
      <c r="B71" s="97">
        <v>6.0</v>
      </c>
      <c r="E71" s="97">
        <v>6.0</v>
      </c>
      <c r="H71" s="97">
        <v>6.0</v>
      </c>
      <c r="J71" s="97"/>
      <c r="K71" s="96"/>
    </row>
    <row r="72">
      <c r="B72" s="96">
        <f>B70/B71</f>
        <v>13452.46667</v>
      </c>
      <c r="E72" s="96">
        <f>E70/E71</f>
        <v>23582.60667</v>
      </c>
      <c r="H72" s="96">
        <f>H70/H71</f>
        <v>20367.21833</v>
      </c>
      <c r="J72" s="97"/>
      <c r="K72" s="96"/>
    </row>
    <row r="73">
      <c r="B73" s="96"/>
      <c r="H73" s="96"/>
      <c r="J73" s="97"/>
      <c r="K73" s="96"/>
    </row>
    <row r="74">
      <c r="B74" s="96"/>
      <c r="H74" s="96"/>
      <c r="J74" s="97"/>
      <c r="K74" s="96"/>
    </row>
    <row r="76">
      <c r="A76" s="166" t="s">
        <v>184</v>
      </c>
      <c r="B76" s="99"/>
      <c r="D76" s="166" t="s">
        <v>185</v>
      </c>
      <c r="E76" s="99"/>
      <c r="G76" s="166" t="s">
        <v>186</v>
      </c>
      <c r="H76" s="99"/>
    </row>
    <row r="77">
      <c r="A77" s="173" t="s">
        <v>142</v>
      </c>
      <c r="B77" s="174">
        <v>32000.0</v>
      </c>
      <c r="D77" s="173" t="s">
        <v>142</v>
      </c>
      <c r="E77" s="174">
        <v>41500.0</v>
      </c>
      <c r="G77" s="173" t="s">
        <v>142</v>
      </c>
      <c r="H77" s="174">
        <v>10000.0</v>
      </c>
    </row>
    <row r="78">
      <c r="A78" s="29" t="s">
        <v>187</v>
      </c>
      <c r="B78" s="113">
        <v>10001.55</v>
      </c>
      <c r="C78" s="113"/>
      <c r="D78" s="3" t="s">
        <v>160</v>
      </c>
      <c r="E78" s="13">
        <v>10063.13</v>
      </c>
      <c r="G78" s="3" t="s">
        <v>149</v>
      </c>
      <c r="H78" s="13">
        <v>7500.0</v>
      </c>
    </row>
    <row r="79">
      <c r="A79" s="29" t="s">
        <v>161</v>
      </c>
      <c r="B79" s="113">
        <v>10002.55</v>
      </c>
      <c r="C79" s="113"/>
      <c r="D79" s="3" t="s">
        <v>188</v>
      </c>
      <c r="E79" s="179">
        <f>2187.37+9616+11790.19</f>
        <v>23593.56</v>
      </c>
      <c r="G79" s="3" t="s">
        <v>189</v>
      </c>
      <c r="H79" s="113">
        <v>149.55</v>
      </c>
    </row>
    <row r="80">
      <c r="A80" s="3" t="s">
        <v>163</v>
      </c>
      <c r="B80" s="13">
        <f>B77-B78-B79</f>
        <v>11995.9</v>
      </c>
      <c r="D80" s="3" t="s">
        <v>163</v>
      </c>
      <c r="E80" s="13">
        <f>E77-E78-E79</f>
        <v>7843.31</v>
      </c>
      <c r="G80" s="3"/>
      <c r="H80" s="3"/>
    </row>
    <row r="81">
      <c r="A81" s="3" t="s">
        <v>155</v>
      </c>
      <c r="B81" s="13">
        <v>1797.0</v>
      </c>
      <c r="D81" s="3" t="s">
        <v>47</v>
      </c>
      <c r="E81" s="13"/>
      <c r="G81" s="3"/>
      <c r="H81" s="13"/>
    </row>
    <row r="82">
      <c r="A82" s="3"/>
      <c r="B82" s="13"/>
      <c r="D82" s="3" t="s">
        <v>189</v>
      </c>
      <c r="E82" s="13">
        <v>107.94</v>
      </c>
      <c r="G82" s="3"/>
      <c r="H82" s="113"/>
    </row>
    <row r="83">
      <c r="A83" s="170" t="s">
        <v>156</v>
      </c>
      <c r="B83" s="171">
        <f>B80+B81+B82</f>
        <v>13792.9</v>
      </c>
      <c r="D83" s="3" t="s">
        <v>167</v>
      </c>
      <c r="E83" s="113"/>
      <c r="F83" s="113">
        <v>4382.57</v>
      </c>
      <c r="G83" s="170" t="s">
        <v>156</v>
      </c>
      <c r="H83" s="171">
        <f>SUM(H77:H82)</f>
        <v>17649.55</v>
      </c>
    </row>
    <row r="84">
      <c r="D84" s="3" t="s">
        <v>190</v>
      </c>
      <c r="E84" s="113">
        <v>13792.0</v>
      </c>
    </row>
    <row r="85">
      <c r="D85" s="170" t="s">
        <v>156</v>
      </c>
      <c r="E85" s="171">
        <f>E80+E81+E82+E83+E84</f>
        <v>21743.25</v>
      </c>
      <c r="I85" s="12">
        <f>B83+E85+H83</f>
        <v>53185.7</v>
      </c>
    </row>
    <row r="86">
      <c r="E86" s="96">
        <f>E85-E83</f>
        <v>21743.25</v>
      </c>
      <c r="I86" s="96">
        <f>B83+E83+H83</f>
        <v>31442.45</v>
      </c>
    </row>
    <row r="88">
      <c r="A88" s="166" t="s">
        <v>191</v>
      </c>
      <c r="B88" s="99"/>
      <c r="D88" s="166" t="s">
        <v>192</v>
      </c>
      <c r="E88" s="99"/>
      <c r="G88" s="166" t="s">
        <v>193</v>
      </c>
      <c r="H88" s="99"/>
    </row>
    <row r="89">
      <c r="A89" s="173" t="s">
        <v>142</v>
      </c>
      <c r="B89" s="174">
        <v>32000.0</v>
      </c>
      <c r="D89" s="173" t="s">
        <v>142</v>
      </c>
      <c r="E89" s="174">
        <v>41500.0</v>
      </c>
      <c r="G89" s="173" t="s">
        <v>142</v>
      </c>
      <c r="H89" s="174">
        <v>10000.0</v>
      </c>
    </row>
    <row r="90">
      <c r="A90" s="29" t="s">
        <v>187</v>
      </c>
      <c r="B90" s="113">
        <v>10001.55</v>
      </c>
      <c r="C90" s="113"/>
      <c r="D90" s="3" t="s">
        <v>160</v>
      </c>
      <c r="E90" s="13">
        <v>10063.13</v>
      </c>
      <c r="G90" s="3" t="s">
        <v>149</v>
      </c>
      <c r="H90" s="13">
        <v>7500.0</v>
      </c>
    </row>
    <row r="91">
      <c r="A91" s="29" t="s">
        <v>161</v>
      </c>
      <c r="B91" s="113">
        <f>5240+7919.06</f>
        <v>13159.06</v>
      </c>
      <c r="C91" s="113"/>
      <c r="D91" s="3" t="s">
        <v>161</v>
      </c>
      <c r="E91" s="113">
        <v>10019.05</v>
      </c>
      <c r="G91" s="3" t="s">
        <v>189</v>
      </c>
      <c r="H91" s="113">
        <v>149.55</v>
      </c>
    </row>
    <row r="92">
      <c r="A92" s="3" t="s">
        <v>163</v>
      </c>
      <c r="B92" s="13">
        <f>B89-B90-B91</f>
        <v>8839.39</v>
      </c>
      <c r="D92" s="3" t="s">
        <v>163</v>
      </c>
      <c r="E92" s="13">
        <f>E89-E90-E91</f>
        <v>21417.82</v>
      </c>
      <c r="G92" s="3" t="s">
        <v>194</v>
      </c>
      <c r="H92" s="13">
        <f>1256*10</f>
        <v>12560</v>
      </c>
    </row>
    <row r="93">
      <c r="A93" s="3" t="s">
        <v>155</v>
      </c>
      <c r="B93" s="13">
        <v>1248.0</v>
      </c>
      <c r="D93" s="3" t="s">
        <v>47</v>
      </c>
      <c r="E93" s="13"/>
      <c r="G93" s="3" t="s">
        <v>195</v>
      </c>
      <c r="H93" s="13">
        <v>780.0</v>
      </c>
    </row>
    <row r="94">
      <c r="A94" s="3"/>
      <c r="B94" s="13"/>
      <c r="D94" s="3" t="s">
        <v>189</v>
      </c>
      <c r="E94" s="13">
        <v>107.94</v>
      </c>
      <c r="G94" s="3"/>
      <c r="H94" s="113"/>
    </row>
    <row r="95">
      <c r="A95" s="170" t="s">
        <v>156</v>
      </c>
      <c r="B95" s="171">
        <f>B92+B93+B94</f>
        <v>10087.39</v>
      </c>
      <c r="D95" s="3" t="s">
        <v>167</v>
      </c>
      <c r="E95" s="113"/>
      <c r="F95" s="113">
        <v>3664.1</v>
      </c>
      <c r="G95" s="170" t="s">
        <v>156</v>
      </c>
      <c r="H95" s="171">
        <f>SUM(H89:H94)</f>
        <v>30989.55</v>
      </c>
    </row>
    <row r="96">
      <c r="D96" s="3"/>
      <c r="E96" s="113"/>
    </row>
    <row r="97">
      <c r="A97" s="8" t="s">
        <v>196</v>
      </c>
      <c r="B97" s="8">
        <v>13362.0</v>
      </c>
      <c r="D97" s="170" t="s">
        <v>156</v>
      </c>
      <c r="E97" s="171">
        <f>E92+E93+E94+E95+E96</f>
        <v>21525.76</v>
      </c>
      <c r="J97" s="172">
        <f>B95+E97+H95</f>
        <v>62602.7</v>
      </c>
    </row>
    <row r="98">
      <c r="B98" s="96">
        <f>B95+B83+B66+B54+B42+B30+B19+B9+B97</f>
        <v>117957.09</v>
      </c>
    </row>
    <row r="100">
      <c r="A100" s="166" t="s">
        <v>197</v>
      </c>
      <c r="B100" s="99"/>
      <c r="D100" s="166" t="s">
        <v>198</v>
      </c>
      <c r="E100" s="99"/>
      <c r="G100" s="166" t="s">
        <v>199</v>
      </c>
      <c r="H100" s="99"/>
    </row>
    <row r="101">
      <c r="A101" s="173" t="s">
        <v>142</v>
      </c>
      <c r="B101" s="174">
        <v>32000.0</v>
      </c>
      <c r="D101" s="173" t="s">
        <v>142</v>
      </c>
      <c r="E101" s="174">
        <v>41500.0</v>
      </c>
      <c r="G101" s="173" t="s">
        <v>142</v>
      </c>
      <c r="H101" s="174">
        <v>8750.0</v>
      </c>
    </row>
    <row r="102">
      <c r="A102" s="29" t="s">
        <v>187</v>
      </c>
      <c r="B102" s="113">
        <f>5454.85+4459.5</f>
        <v>9914.35</v>
      </c>
      <c r="C102" s="113"/>
      <c r="D102" s="3" t="s">
        <v>160</v>
      </c>
      <c r="E102" s="13">
        <v>10063.13</v>
      </c>
      <c r="G102" s="3" t="s">
        <v>166</v>
      </c>
      <c r="H102" s="13">
        <v>8785.88</v>
      </c>
    </row>
    <row r="103">
      <c r="A103" s="29" t="s">
        <v>161</v>
      </c>
      <c r="B103" s="113">
        <v>10001.55</v>
      </c>
      <c r="C103" s="113"/>
      <c r="D103" s="3" t="s">
        <v>161</v>
      </c>
      <c r="E103" s="113">
        <v>10061.12</v>
      </c>
      <c r="G103" s="3" t="s">
        <v>189</v>
      </c>
      <c r="H103" s="113">
        <v>149.55</v>
      </c>
    </row>
    <row r="104">
      <c r="A104" s="3" t="s">
        <v>163</v>
      </c>
      <c r="B104" s="13">
        <f>B101-B102-B103</f>
        <v>12084.1</v>
      </c>
      <c r="D104" s="3" t="s">
        <v>163</v>
      </c>
      <c r="E104" s="13">
        <f>E101-E102-E103</f>
        <v>21375.75</v>
      </c>
      <c r="G104" s="3"/>
      <c r="H104" s="3"/>
    </row>
    <row r="105">
      <c r="A105" s="3" t="s">
        <v>155</v>
      </c>
      <c r="B105" s="13">
        <v>1326.0</v>
      </c>
      <c r="D105" s="3" t="s">
        <v>189</v>
      </c>
      <c r="E105" s="13">
        <v>107.94</v>
      </c>
      <c r="G105" s="3"/>
      <c r="H105" s="13"/>
    </row>
    <row r="106">
      <c r="A106" s="3"/>
      <c r="B106" s="13"/>
      <c r="D106" s="3" t="s">
        <v>47</v>
      </c>
      <c r="E106" s="13"/>
      <c r="G106" s="3"/>
      <c r="H106" s="113"/>
    </row>
    <row r="107">
      <c r="A107" s="170" t="s">
        <v>156</v>
      </c>
      <c r="B107" s="171">
        <f>B104+B105+B106</f>
        <v>13410.1</v>
      </c>
      <c r="D107" s="3" t="s">
        <v>167</v>
      </c>
      <c r="E107" s="113"/>
      <c r="F107" s="113">
        <v>4186.01</v>
      </c>
      <c r="G107" s="170" t="s">
        <v>156</v>
      </c>
      <c r="H107" s="171">
        <f>SUM(H101:H106)</f>
        <v>17685.43</v>
      </c>
    </row>
    <row r="108">
      <c r="D108" s="170" t="s">
        <v>156</v>
      </c>
      <c r="E108" s="171">
        <f>E104+E105+E106+E107</f>
        <v>21483.69</v>
      </c>
      <c r="J108" s="172">
        <f>B107+E108+H107</f>
        <v>52579.22</v>
      </c>
    </row>
    <row r="111">
      <c r="A111" s="166" t="s">
        <v>200</v>
      </c>
      <c r="B111" s="99"/>
      <c r="D111" s="166" t="s">
        <v>201</v>
      </c>
      <c r="E111" s="99"/>
      <c r="G111" s="166" t="s">
        <v>202</v>
      </c>
      <c r="H111" s="99"/>
    </row>
    <row r="112">
      <c r="A112" s="173" t="s">
        <v>142</v>
      </c>
      <c r="B112" s="174">
        <f>32000+3000</f>
        <v>35000</v>
      </c>
      <c r="D112" s="173" t="s">
        <v>142</v>
      </c>
      <c r="E112" s="174">
        <v>41500.0</v>
      </c>
      <c r="G112" s="173" t="s">
        <v>142</v>
      </c>
      <c r="H112" s="174">
        <v>10000.0</v>
      </c>
    </row>
    <row r="113">
      <c r="A113" s="29" t="s">
        <v>160</v>
      </c>
      <c r="B113" s="113">
        <v>10002.55</v>
      </c>
      <c r="C113" s="113"/>
      <c r="D113" s="3" t="s">
        <v>160</v>
      </c>
      <c r="E113" s="13">
        <v>10063.13</v>
      </c>
      <c r="G113" s="3" t="s">
        <v>149</v>
      </c>
      <c r="H113" s="13">
        <v>7500.0</v>
      </c>
    </row>
    <row r="114">
      <c r="A114" s="29" t="s">
        <v>161</v>
      </c>
      <c r="B114" s="113">
        <v>10002.55</v>
      </c>
      <c r="C114" s="113"/>
      <c r="D114" s="3" t="s">
        <v>161</v>
      </c>
      <c r="E114" s="113">
        <f>4814.66+5686.37</f>
        <v>10501.03</v>
      </c>
      <c r="G114" s="3" t="s">
        <v>203</v>
      </c>
      <c r="H114" s="113">
        <v>3051.95</v>
      </c>
    </row>
    <row r="115">
      <c r="A115" s="3" t="s">
        <v>163</v>
      </c>
      <c r="B115" s="13">
        <f>B112-B113-B114</f>
        <v>14994.9</v>
      </c>
      <c r="D115" s="3" t="s">
        <v>163</v>
      </c>
      <c r="E115" s="13">
        <f>E112-E113-E114</f>
        <v>20935.84</v>
      </c>
      <c r="G115" s="3"/>
      <c r="H115" s="113"/>
    </row>
    <row r="116">
      <c r="A116" s="3" t="s">
        <v>155</v>
      </c>
      <c r="B116" s="13">
        <v>1840.0</v>
      </c>
      <c r="D116" s="3" t="s">
        <v>47</v>
      </c>
      <c r="E116" s="13"/>
      <c r="G116" s="3"/>
      <c r="H116" s="13"/>
    </row>
    <row r="117">
      <c r="A117" s="3"/>
      <c r="B117" s="13"/>
      <c r="D117" s="3" t="s">
        <v>204</v>
      </c>
      <c r="E117" s="113">
        <v>2202.71</v>
      </c>
      <c r="G117" s="3"/>
      <c r="H117" s="113"/>
    </row>
    <row r="118">
      <c r="A118" s="170" t="s">
        <v>156</v>
      </c>
      <c r="B118" s="171">
        <f>B115+B116+B117</f>
        <v>16834.9</v>
      </c>
      <c r="D118" s="3" t="s">
        <v>167</v>
      </c>
      <c r="E118" s="113"/>
      <c r="F118" s="97">
        <v>5273.82</v>
      </c>
      <c r="G118" s="170" t="s">
        <v>156</v>
      </c>
      <c r="H118" s="171">
        <f>SUM(H112:H117)</f>
        <v>20551.95</v>
      </c>
      <c r="J118" s="178">
        <f>B118+E120+H118</f>
        <v>66943.44</v>
      </c>
    </row>
    <row r="119">
      <c r="D119" s="3" t="s">
        <v>205</v>
      </c>
      <c r="E119" s="113">
        <v>6418.04</v>
      </c>
    </row>
    <row r="120">
      <c r="D120" s="170" t="s">
        <v>156</v>
      </c>
      <c r="E120" s="171">
        <f>E115+E116+E117+E118+E119</f>
        <v>29556.59</v>
      </c>
    </row>
    <row r="121">
      <c r="D121" s="3" t="s">
        <v>205</v>
      </c>
      <c r="E121" s="113">
        <v>6418.04</v>
      </c>
    </row>
    <row r="122">
      <c r="B122" s="96">
        <f>B118+B107+B95+B83+B66+B54+B42+B30+B19+B9</f>
        <v>134840.09</v>
      </c>
      <c r="E122" s="96">
        <f>E120+E108+E97+E85+E68+E54+E44+E32+E21+E10+E121</f>
        <v>242222.97</v>
      </c>
      <c r="H122" s="96">
        <f>H118+H107+H95+H83+H66+H54+H42+H30+H20+H9</f>
        <v>209079.79</v>
      </c>
      <c r="J122" s="96">
        <f>B122+E122+H122</f>
        <v>586142.85</v>
      </c>
    </row>
    <row r="124">
      <c r="A124" s="166" t="s">
        <v>206</v>
      </c>
      <c r="B124" s="99"/>
      <c r="D124" s="166" t="s">
        <v>207</v>
      </c>
      <c r="E124" s="99"/>
      <c r="G124" s="166" t="s">
        <v>208</v>
      </c>
      <c r="H124" s="99"/>
    </row>
    <row r="125">
      <c r="A125" s="173" t="s">
        <v>142</v>
      </c>
      <c r="B125" s="174">
        <v>35000.0</v>
      </c>
      <c r="D125" s="173" t="s">
        <v>142</v>
      </c>
      <c r="E125" s="174">
        <v>41500.0</v>
      </c>
      <c r="G125" s="173" t="s">
        <v>142</v>
      </c>
      <c r="H125" s="174">
        <v>10000.0</v>
      </c>
    </row>
    <row r="126">
      <c r="A126" s="29" t="s">
        <v>160</v>
      </c>
      <c r="B126" s="113">
        <v>10001.55</v>
      </c>
      <c r="C126" s="113"/>
      <c r="D126" s="3" t="s">
        <v>160</v>
      </c>
      <c r="E126" s="13">
        <v>10063.13</v>
      </c>
      <c r="G126" s="3" t="s">
        <v>149</v>
      </c>
      <c r="H126" s="13">
        <v>7500.0</v>
      </c>
    </row>
    <row r="127">
      <c r="A127" s="29" t="s">
        <v>161</v>
      </c>
      <c r="B127" s="113">
        <v>10002.55</v>
      </c>
      <c r="C127" s="113"/>
      <c r="D127" s="3" t="s">
        <v>161</v>
      </c>
      <c r="E127" s="113">
        <v>10062.12</v>
      </c>
      <c r="G127" s="3" t="s">
        <v>203</v>
      </c>
      <c r="H127" s="113">
        <v>3051.95</v>
      </c>
    </row>
    <row r="128">
      <c r="A128" s="3" t="s">
        <v>163</v>
      </c>
      <c r="B128" s="13">
        <f>B125-B126-B127</f>
        <v>14995.9</v>
      </c>
      <c r="D128" s="3" t="s">
        <v>163</v>
      </c>
      <c r="E128" s="13">
        <f>E125-E126-E127</f>
        <v>21374.75</v>
      </c>
      <c r="G128" s="3"/>
      <c r="H128" s="113"/>
    </row>
    <row r="129">
      <c r="A129" s="3" t="s">
        <v>155</v>
      </c>
      <c r="B129" s="13">
        <v>1520.0</v>
      </c>
      <c r="D129" s="3" t="s">
        <v>47</v>
      </c>
      <c r="E129" s="13"/>
      <c r="G129" s="3"/>
      <c r="H129" s="13"/>
    </row>
    <row r="130">
      <c r="A130" s="3"/>
      <c r="B130" s="13"/>
      <c r="D130" s="3" t="s">
        <v>204</v>
      </c>
      <c r="E130" s="113">
        <v>2202.71</v>
      </c>
      <c r="G130" s="3"/>
      <c r="H130" s="113"/>
    </row>
    <row r="131">
      <c r="A131" s="170" t="s">
        <v>156</v>
      </c>
      <c r="B131" s="171">
        <f>B128+B129+B130</f>
        <v>16515.9</v>
      </c>
      <c r="D131" s="3" t="s">
        <v>167</v>
      </c>
      <c r="E131" s="113"/>
      <c r="F131" s="113">
        <v>4543.02</v>
      </c>
      <c r="G131" s="170" t="s">
        <v>156</v>
      </c>
      <c r="H131" s="171">
        <f>SUM(H125:H130)</f>
        <v>20551.95</v>
      </c>
      <c r="J131" s="180">
        <f>B131+E133+H131</f>
        <v>60645.31</v>
      </c>
    </row>
    <row r="132">
      <c r="D132" s="3"/>
      <c r="E132" s="113"/>
    </row>
    <row r="133">
      <c r="D133" s="170" t="s">
        <v>156</v>
      </c>
      <c r="E133" s="171">
        <f>E128+E129+E130+E131+E132</f>
        <v>23577.46</v>
      </c>
    </row>
    <row r="136">
      <c r="A136" s="166" t="s">
        <v>209</v>
      </c>
      <c r="B136" s="99"/>
      <c r="D136" s="166" t="s">
        <v>210</v>
      </c>
      <c r="E136" s="99"/>
      <c r="G136" s="166" t="s">
        <v>211</v>
      </c>
      <c r="H136" s="99"/>
    </row>
    <row r="137">
      <c r="A137" s="173" t="s">
        <v>142</v>
      </c>
      <c r="B137" s="174">
        <v>35000.0</v>
      </c>
      <c r="D137" s="173" t="s">
        <v>142</v>
      </c>
      <c r="E137" s="174">
        <v>41500.0</v>
      </c>
      <c r="G137" s="173" t="s">
        <v>142</v>
      </c>
      <c r="H137" s="174">
        <v>10000.0</v>
      </c>
    </row>
    <row r="138">
      <c r="A138" s="29" t="s">
        <v>160</v>
      </c>
      <c r="B138" s="113">
        <v>10001.55</v>
      </c>
      <c r="C138" s="113"/>
      <c r="D138" s="3" t="s">
        <v>160</v>
      </c>
      <c r="E138" s="13">
        <v>10063.13</v>
      </c>
      <c r="G138" s="3" t="s">
        <v>149</v>
      </c>
      <c r="H138" s="13">
        <v>7500.0</v>
      </c>
    </row>
    <row r="139">
      <c r="A139" s="29" t="s">
        <v>161</v>
      </c>
      <c r="B139" s="113">
        <v>10001.55</v>
      </c>
      <c r="C139" s="113"/>
      <c r="D139" s="3" t="s">
        <v>161</v>
      </c>
      <c r="E139" s="113">
        <v>10063.12</v>
      </c>
      <c r="G139" s="3" t="s">
        <v>203</v>
      </c>
      <c r="H139" s="113">
        <v>3051.95</v>
      </c>
    </row>
    <row r="140">
      <c r="A140" s="3" t="s">
        <v>163</v>
      </c>
      <c r="B140" s="13">
        <f>B137-B138-B139</f>
        <v>14996.9</v>
      </c>
      <c r="D140" s="3" t="s">
        <v>163</v>
      </c>
      <c r="E140" s="13">
        <f>E137-E138-E139</f>
        <v>21373.75</v>
      </c>
      <c r="G140" s="3" t="s">
        <v>212</v>
      </c>
      <c r="H140" s="113">
        <v>6910.0</v>
      </c>
    </row>
    <row r="141">
      <c r="A141" s="3" t="s">
        <v>155</v>
      </c>
      <c r="B141" s="13">
        <v>1760.0</v>
      </c>
      <c r="D141" s="3" t="s">
        <v>47</v>
      </c>
      <c r="E141" s="13"/>
      <c r="G141" s="3"/>
      <c r="H141" s="13"/>
    </row>
    <row r="142">
      <c r="A142" s="3"/>
      <c r="B142" s="13"/>
      <c r="D142" s="3" t="s">
        <v>204</v>
      </c>
      <c r="E142" s="113">
        <v>2202.71</v>
      </c>
      <c r="G142" s="3"/>
      <c r="H142" s="113"/>
    </row>
    <row r="143">
      <c r="A143" s="170" t="s">
        <v>156</v>
      </c>
      <c r="B143" s="171">
        <f>B140+B141+B142</f>
        <v>16756.9</v>
      </c>
      <c r="D143" s="3" t="s">
        <v>167</v>
      </c>
      <c r="E143" s="113"/>
      <c r="F143" s="113">
        <v>4121.34</v>
      </c>
      <c r="G143" s="170" t="s">
        <v>156</v>
      </c>
      <c r="H143" s="171">
        <f>SUM(H137:H142)</f>
        <v>27461.95</v>
      </c>
      <c r="J143" s="180">
        <f>B143+E144+H143</f>
        <v>67795.31</v>
      </c>
    </row>
    <row r="144">
      <c r="D144" s="170" t="s">
        <v>156</v>
      </c>
      <c r="E144" s="171">
        <f>E140+E141+E142+E143</f>
        <v>23576.46</v>
      </c>
      <c r="F144">
        <f>SUM(F2:F143)</f>
        <v>36409.13</v>
      </c>
      <c r="J144" s="96">
        <f>B143+E147+H143</f>
        <v>69080.31</v>
      </c>
    </row>
    <row r="145">
      <c r="D145" s="176" t="s">
        <v>213</v>
      </c>
      <c r="E145" s="176">
        <v>450.0</v>
      </c>
    </row>
    <row r="146">
      <c r="D146" s="8" t="s">
        <v>214</v>
      </c>
      <c r="E146" s="8">
        <v>835.0</v>
      </c>
    </row>
    <row r="147">
      <c r="B147" s="96">
        <f>B9+B19+B30+B42+B54+B66+B83+B95+B107+B118+B131+B143</f>
        <v>168112.89</v>
      </c>
      <c r="E147" s="96">
        <f>E144+E145+E146</f>
        <v>24861.46</v>
      </c>
    </row>
    <row r="149">
      <c r="A149" s="8" t="s">
        <v>20</v>
      </c>
      <c r="B149" s="127">
        <f>'январь'!E7+'февраль'!E7+'март'!E7+'апрель'!E7+'май'!E7+'июнь'!E7+'июль'!E8+'август'!E8+'сентябрь'!E8+'октябрь'!E8+'ноябрь'!E8+'декабрь'!E6</f>
        <v>389926</v>
      </c>
    </row>
  </sheetData>
  <mergeCells count="36">
    <mergeCell ref="D23:E23"/>
    <mergeCell ref="G23:H23"/>
    <mergeCell ref="A2:B2"/>
    <mergeCell ref="D2:E2"/>
    <mergeCell ref="G2:H2"/>
    <mergeCell ref="A13:B13"/>
    <mergeCell ref="D13:E13"/>
    <mergeCell ref="G13:H13"/>
    <mergeCell ref="A23:B23"/>
    <mergeCell ref="D59:E59"/>
    <mergeCell ref="G59:H59"/>
    <mergeCell ref="A35:B35"/>
    <mergeCell ref="D35:E35"/>
    <mergeCell ref="G35:H35"/>
    <mergeCell ref="A47:B47"/>
    <mergeCell ref="D47:E47"/>
    <mergeCell ref="G47:H47"/>
    <mergeCell ref="A59:B59"/>
    <mergeCell ref="D100:E100"/>
    <mergeCell ref="G100:H100"/>
    <mergeCell ref="A76:B76"/>
    <mergeCell ref="D76:E76"/>
    <mergeCell ref="G76:H76"/>
    <mergeCell ref="A88:B88"/>
    <mergeCell ref="D88:E88"/>
    <mergeCell ref="G88:H88"/>
    <mergeCell ref="A100:B100"/>
    <mergeCell ref="D136:E136"/>
    <mergeCell ref="G136:H136"/>
    <mergeCell ref="A111:B111"/>
    <mergeCell ref="D111:E111"/>
    <mergeCell ref="G111:H111"/>
    <mergeCell ref="A124:B124"/>
    <mergeCell ref="D124:E124"/>
    <mergeCell ref="G124:H124"/>
    <mergeCell ref="A136:B136"/>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88"/>
    <col customWidth="1" min="3" max="3" width="15.0"/>
  </cols>
  <sheetData>
    <row r="1">
      <c r="A1" s="22"/>
    </row>
    <row r="2">
      <c r="A2" s="181"/>
      <c r="B2" s="166" t="s">
        <v>215</v>
      </c>
      <c r="C2" s="99"/>
    </row>
    <row r="3">
      <c r="A3" s="101"/>
      <c r="B3" s="3" t="s">
        <v>142</v>
      </c>
      <c r="C3" s="13"/>
    </row>
    <row r="4">
      <c r="A4" s="101"/>
      <c r="B4" s="3" t="s">
        <v>144</v>
      </c>
      <c r="C4" s="13"/>
    </row>
    <row r="5">
      <c r="A5" s="101"/>
      <c r="B5" s="3" t="s">
        <v>146</v>
      </c>
      <c r="C5" s="113"/>
    </row>
    <row r="6">
      <c r="A6" s="176"/>
      <c r="B6" s="167" t="s">
        <v>148</v>
      </c>
      <c r="C6" s="167"/>
    </row>
    <row r="7">
      <c r="A7" s="101"/>
      <c r="B7" s="3"/>
      <c r="C7" s="13"/>
    </row>
    <row r="8">
      <c r="A8" s="101"/>
      <c r="B8" s="3"/>
      <c r="C8" s="13"/>
    </row>
    <row r="9">
      <c r="A9" s="176"/>
      <c r="B9" s="170" t="s">
        <v>3</v>
      </c>
      <c r="C9" s="175">
        <v>85000.0</v>
      </c>
      <c r="E9" s="96">
        <f>C18+C27+C36+C45+C54+C64+C74+C84+C9+C95+C105+C115</f>
        <v>1115472.25</v>
      </c>
    </row>
    <row r="10">
      <c r="A10" s="22"/>
    </row>
    <row r="11">
      <c r="A11" s="181"/>
      <c r="B11" s="166" t="s">
        <v>216</v>
      </c>
      <c r="C11" s="99"/>
    </row>
    <row r="12">
      <c r="A12" s="101"/>
      <c r="B12" s="3" t="s">
        <v>142</v>
      </c>
      <c r="C12" s="13">
        <v>125000.0</v>
      </c>
    </row>
    <row r="13">
      <c r="A13" s="101"/>
      <c r="B13" s="3" t="s">
        <v>144</v>
      </c>
      <c r="C13" s="13">
        <v>19999.5</v>
      </c>
    </row>
    <row r="14">
      <c r="A14" s="101"/>
      <c r="B14" s="3" t="s">
        <v>146</v>
      </c>
      <c r="C14" s="113">
        <v>20000.5</v>
      </c>
    </row>
    <row r="15">
      <c r="A15" s="176"/>
      <c r="B15" s="167" t="s">
        <v>148</v>
      </c>
      <c r="C15" s="109">
        <f>C12-C13-C14</f>
        <v>85000</v>
      </c>
    </row>
    <row r="16">
      <c r="A16" s="101"/>
      <c r="B16" s="3"/>
      <c r="C16" s="13"/>
    </row>
    <row r="17">
      <c r="A17" s="101"/>
      <c r="B17" s="3"/>
      <c r="C17" s="13"/>
    </row>
    <row r="18">
      <c r="A18" s="176"/>
      <c r="B18" s="170" t="s">
        <v>3</v>
      </c>
      <c r="C18" s="171">
        <f>C15+C16</f>
        <v>85000</v>
      </c>
    </row>
    <row r="19">
      <c r="A19" s="22"/>
    </row>
    <row r="20">
      <c r="A20" s="22"/>
      <c r="B20" s="166" t="s">
        <v>217</v>
      </c>
      <c r="C20" s="99"/>
    </row>
    <row r="21">
      <c r="A21" s="22"/>
      <c r="B21" s="3" t="s">
        <v>142</v>
      </c>
      <c r="C21" s="13">
        <v>125000.0</v>
      </c>
    </row>
    <row r="22">
      <c r="A22" s="22"/>
      <c r="B22" s="3" t="s">
        <v>144</v>
      </c>
      <c r="C22" s="13">
        <v>19999.5</v>
      </c>
    </row>
    <row r="23">
      <c r="A23" s="22"/>
      <c r="B23" s="3" t="s">
        <v>146</v>
      </c>
      <c r="C23" s="113">
        <v>20000.5</v>
      </c>
    </row>
    <row r="24">
      <c r="A24" s="22"/>
      <c r="B24" s="167" t="s">
        <v>148</v>
      </c>
      <c r="C24" s="109">
        <f>C21-C22-C23</f>
        <v>85000</v>
      </c>
    </row>
    <row r="25">
      <c r="A25" s="22"/>
      <c r="B25" s="3"/>
      <c r="C25" s="13"/>
    </row>
    <row r="26">
      <c r="A26" s="22"/>
      <c r="B26" s="3"/>
      <c r="C26" s="13"/>
    </row>
    <row r="27">
      <c r="A27" s="22"/>
      <c r="B27" s="170" t="s">
        <v>3</v>
      </c>
      <c r="C27" s="171">
        <f>C24+C25</f>
        <v>85000</v>
      </c>
    </row>
    <row r="28">
      <c r="A28" s="22"/>
    </row>
    <row r="29">
      <c r="A29" s="22"/>
      <c r="B29" s="166" t="s">
        <v>218</v>
      </c>
      <c r="C29" s="99"/>
    </row>
    <row r="30">
      <c r="A30" s="22"/>
      <c r="B30" s="3" t="s">
        <v>142</v>
      </c>
      <c r="C30" s="13">
        <v>125000.0</v>
      </c>
    </row>
    <row r="31">
      <c r="A31" s="22"/>
      <c r="B31" s="3" t="s">
        <v>144</v>
      </c>
      <c r="C31" s="13">
        <v>19999.5</v>
      </c>
    </row>
    <row r="32">
      <c r="A32" s="22"/>
      <c r="B32" s="3" t="s">
        <v>146</v>
      </c>
      <c r="C32" s="113">
        <v>20000.5</v>
      </c>
    </row>
    <row r="33">
      <c r="A33" s="22"/>
      <c r="B33" s="167" t="s">
        <v>148</v>
      </c>
      <c r="C33" s="109">
        <f>C30-C31-C32</f>
        <v>85000</v>
      </c>
    </row>
    <row r="34">
      <c r="A34" s="22"/>
      <c r="B34" s="3" t="s">
        <v>219</v>
      </c>
      <c r="C34" s="13">
        <v>275.99</v>
      </c>
    </row>
    <row r="35">
      <c r="A35" s="22"/>
      <c r="B35" s="3"/>
      <c r="C35" s="13"/>
    </row>
    <row r="36">
      <c r="A36" s="22"/>
      <c r="B36" s="170" t="s">
        <v>3</v>
      </c>
      <c r="C36" s="171">
        <f>C33+C34</f>
        <v>85275.99</v>
      </c>
    </row>
    <row r="37">
      <c r="A37" s="22"/>
    </row>
    <row r="38">
      <c r="A38" s="22"/>
      <c r="B38" s="166" t="s">
        <v>220</v>
      </c>
      <c r="C38" s="99"/>
    </row>
    <row r="39">
      <c r="A39" s="22"/>
      <c r="B39" s="3" t="s">
        <v>142</v>
      </c>
      <c r="C39" s="13">
        <v>125000.0</v>
      </c>
    </row>
    <row r="40">
      <c r="A40" s="22"/>
      <c r="B40" s="3" t="s">
        <v>144</v>
      </c>
      <c r="C40" s="13">
        <v>19999.5</v>
      </c>
    </row>
    <row r="41">
      <c r="A41" s="22"/>
      <c r="B41" s="3" t="s">
        <v>146</v>
      </c>
      <c r="C41" s="113">
        <v>20000.5</v>
      </c>
    </row>
    <row r="42">
      <c r="A42" s="22"/>
      <c r="B42" s="167" t="s">
        <v>148</v>
      </c>
      <c r="C42" s="109">
        <f>C39-C40-C41</f>
        <v>85000</v>
      </c>
    </row>
    <row r="43">
      <c r="A43" s="22"/>
      <c r="B43" s="3" t="s">
        <v>219</v>
      </c>
      <c r="C43" s="13">
        <v>275.99</v>
      </c>
    </row>
    <row r="44">
      <c r="A44" s="22"/>
      <c r="B44" s="3"/>
      <c r="C44" s="13"/>
    </row>
    <row r="45">
      <c r="A45" s="22"/>
      <c r="B45" s="170" t="s">
        <v>3</v>
      </c>
      <c r="C45" s="171">
        <f>C42+C43</f>
        <v>85275.99</v>
      </c>
    </row>
    <row r="46">
      <c r="A46" s="22"/>
    </row>
    <row r="47">
      <c r="A47" s="22"/>
      <c r="B47" s="166" t="s">
        <v>221</v>
      </c>
      <c r="C47" s="99"/>
    </row>
    <row r="48">
      <c r="A48" s="22"/>
      <c r="B48" s="3" t="s">
        <v>142</v>
      </c>
      <c r="C48" s="13">
        <v>125000.0</v>
      </c>
    </row>
    <row r="49">
      <c r="A49" s="22"/>
      <c r="B49" s="3" t="s">
        <v>144</v>
      </c>
      <c r="C49" s="13">
        <v>19999.5</v>
      </c>
    </row>
    <row r="50">
      <c r="A50" s="22"/>
      <c r="B50" s="3" t="s">
        <v>146</v>
      </c>
      <c r="C50" s="113">
        <v>20000.5</v>
      </c>
    </row>
    <row r="51">
      <c r="A51" s="22"/>
      <c r="B51" s="167" t="s">
        <v>148</v>
      </c>
      <c r="C51" s="109">
        <f>C48-C49-C50</f>
        <v>85000</v>
      </c>
    </row>
    <row r="52">
      <c r="A52" s="22"/>
      <c r="B52" s="3" t="s">
        <v>219</v>
      </c>
      <c r="C52" s="13">
        <v>275.99</v>
      </c>
    </row>
    <row r="53">
      <c r="A53" s="22"/>
      <c r="B53" s="3"/>
      <c r="C53" s="13"/>
    </row>
    <row r="54">
      <c r="A54" s="22"/>
      <c r="B54" s="170" t="s">
        <v>3</v>
      </c>
      <c r="C54" s="171">
        <f>C51+C52</f>
        <v>85275.99</v>
      </c>
    </row>
    <row r="55">
      <c r="A55" s="22"/>
    </row>
    <row r="56">
      <c r="A56" s="22"/>
      <c r="B56" s="166" t="s">
        <v>222</v>
      </c>
      <c r="C56" s="99"/>
    </row>
    <row r="57">
      <c r="A57" s="22"/>
      <c r="B57" s="3" t="s">
        <v>142</v>
      </c>
      <c r="C57" s="13">
        <f>125000+5000</f>
        <v>130000</v>
      </c>
    </row>
    <row r="58">
      <c r="A58" s="22"/>
      <c r="B58" s="3" t="s">
        <v>144</v>
      </c>
      <c r="C58" s="13">
        <v>19999.5</v>
      </c>
    </row>
    <row r="59">
      <c r="A59" s="22"/>
      <c r="B59" s="3" t="s">
        <v>146</v>
      </c>
      <c r="C59" s="113">
        <v>20000.5</v>
      </c>
    </row>
    <row r="60">
      <c r="A60" s="22"/>
      <c r="B60" s="167" t="s">
        <v>148</v>
      </c>
      <c r="C60" s="109">
        <f>C57-C58-C59</f>
        <v>90000</v>
      </c>
    </row>
    <row r="61">
      <c r="A61" s="22"/>
      <c r="B61" s="3" t="s">
        <v>223</v>
      </c>
      <c r="C61" s="13">
        <v>275.99</v>
      </c>
    </row>
    <row r="62">
      <c r="A62" s="22"/>
      <c r="B62" s="3" t="s">
        <v>224</v>
      </c>
      <c r="C62" s="13">
        <f>2000+500</f>
        <v>2500</v>
      </c>
    </row>
    <row r="63">
      <c r="A63" s="22"/>
      <c r="B63" s="3" t="s">
        <v>72</v>
      </c>
      <c r="C63" s="113">
        <v>9043.16</v>
      </c>
    </row>
    <row r="64">
      <c r="A64" s="22"/>
      <c r="B64" s="170" t="s">
        <v>3</v>
      </c>
      <c r="C64" s="171">
        <f>C60+C61+C62+C63</f>
        <v>101819.15</v>
      </c>
    </row>
    <row r="65">
      <c r="A65" s="22"/>
    </row>
    <row r="66">
      <c r="A66" s="22"/>
      <c r="B66" s="166" t="s">
        <v>225</v>
      </c>
      <c r="C66" s="99"/>
    </row>
    <row r="67">
      <c r="A67" s="22"/>
      <c r="B67" s="3" t="s">
        <v>142</v>
      </c>
      <c r="C67" s="13">
        <f>125000</f>
        <v>125000</v>
      </c>
    </row>
    <row r="68">
      <c r="A68" s="22"/>
      <c r="B68" s="3" t="s">
        <v>144</v>
      </c>
      <c r="C68" s="13">
        <v>19999.5</v>
      </c>
    </row>
    <row r="69">
      <c r="A69" s="22"/>
      <c r="B69" s="3" t="s">
        <v>146</v>
      </c>
      <c r="C69" s="113">
        <v>20000.5</v>
      </c>
    </row>
    <row r="70">
      <c r="A70" s="22"/>
      <c r="B70" s="167" t="s">
        <v>148</v>
      </c>
      <c r="C70" s="109">
        <f>C67-C68-C69</f>
        <v>85000</v>
      </c>
    </row>
    <row r="71">
      <c r="A71" s="22"/>
      <c r="B71" s="3" t="s">
        <v>223</v>
      </c>
      <c r="C71" s="13">
        <v>275.99</v>
      </c>
    </row>
    <row r="72">
      <c r="A72" s="22"/>
      <c r="B72" s="3" t="s">
        <v>72</v>
      </c>
      <c r="C72" s="113">
        <v>7109.15</v>
      </c>
    </row>
    <row r="73">
      <c r="A73" s="22"/>
      <c r="B73" s="3"/>
      <c r="C73" s="113"/>
    </row>
    <row r="74">
      <c r="A74" s="22"/>
      <c r="B74" s="170" t="s">
        <v>3</v>
      </c>
      <c r="C74" s="171">
        <f>C70+C71+C72+C73</f>
        <v>92385.14</v>
      </c>
    </row>
    <row r="75">
      <c r="A75" s="22"/>
    </row>
    <row r="76">
      <c r="A76" s="22"/>
      <c r="B76" s="166" t="s">
        <v>226</v>
      </c>
      <c r="C76" s="99"/>
    </row>
    <row r="77">
      <c r="A77" s="22"/>
      <c r="B77" s="3" t="s">
        <v>142</v>
      </c>
      <c r="C77" s="13">
        <f>125000</f>
        <v>125000</v>
      </c>
    </row>
    <row r="78">
      <c r="A78" s="22"/>
      <c r="B78" s="3" t="s">
        <v>144</v>
      </c>
      <c r="C78" s="13">
        <v>19999.5</v>
      </c>
    </row>
    <row r="79">
      <c r="A79" s="22"/>
      <c r="B79" s="3" t="s">
        <v>146</v>
      </c>
      <c r="C79" s="113">
        <v>20000.5</v>
      </c>
    </row>
    <row r="80">
      <c r="A80" s="22"/>
      <c r="B80" s="167" t="s">
        <v>148</v>
      </c>
      <c r="C80" s="109">
        <f>C77-C78-C79</f>
        <v>85000</v>
      </c>
    </row>
    <row r="81">
      <c r="A81" s="22"/>
      <c r="B81" s="3" t="s">
        <v>223</v>
      </c>
      <c r="C81" s="13">
        <v>275.99</v>
      </c>
    </row>
    <row r="82">
      <c r="A82" s="22"/>
      <c r="B82" s="3" t="s">
        <v>72</v>
      </c>
      <c r="C82" s="113">
        <v>7043.11</v>
      </c>
    </row>
    <row r="83">
      <c r="A83" s="22"/>
      <c r="B83" s="3" t="s">
        <v>227</v>
      </c>
      <c r="C83" s="113"/>
    </row>
    <row r="84">
      <c r="A84" s="22"/>
      <c r="B84" s="170" t="s">
        <v>3</v>
      </c>
      <c r="C84" s="171">
        <f>C80+C81+C82+C83</f>
        <v>92319.1</v>
      </c>
    </row>
    <row r="85">
      <c r="A85" s="22"/>
    </row>
    <row r="86">
      <c r="A86" s="22"/>
      <c r="B86" s="166" t="s">
        <v>228</v>
      </c>
      <c r="C86" s="99"/>
    </row>
    <row r="87">
      <c r="A87" s="22"/>
      <c r="B87" s="3" t="s">
        <v>142</v>
      </c>
      <c r="C87" s="13">
        <f>125000+5000</f>
        <v>130000</v>
      </c>
    </row>
    <row r="88">
      <c r="A88" s="22"/>
      <c r="B88" s="3" t="s">
        <v>144</v>
      </c>
      <c r="C88" s="13">
        <v>19999.5</v>
      </c>
    </row>
    <row r="89">
      <c r="A89" s="22"/>
      <c r="B89" s="3" t="s">
        <v>146</v>
      </c>
      <c r="C89" s="113">
        <v>20000.5</v>
      </c>
    </row>
    <row r="90">
      <c r="A90" s="22"/>
      <c r="B90" s="167" t="s">
        <v>148</v>
      </c>
      <c r="C90" s="109">
        <f>C87-C88-C89</f>
        <v>90000</v>
      </c>
    </row>
    <row r="91">
      <c r="A91" s="22"/>
      <c r="B91" s="3" t="s">
        <v>229</v>
      </c>
      <c r="C91" s="13">
        <f>5000+5000</f>
        <v>10000</v>
      </c>
    </row>
    <row r="92">
      <c r="A92" s="22"/>
      <c r="B92" s="3" t="s">
        <v>230</v>
      </c>
      <c r="C92" s="13">
        <v>5573.13</v>
      </c>
    </row>
    <row r="93">
      <c r="A93" s="22"/>
      <c r="B93" s="3" t="s">
        <v>72</v>
      </c>
      <c r="C93" s="113">
        <v>5580.0</v>
      </c>
    </row>
    <row r="94">
      <c r="A94" s="22"/>
      <c r="B94" s="3" t="s">
        <v>231</v>
      </c>
      <c r="C94" s="113">
        <v>200.0</v>
      </c>
    </row>
    <row r="95">
      <c r="A95" s="22"/>
      <c r="B95" s="170" t="s">
        <v>3</v>
      </c>
      <c r="C95" s="171">
        <f>C90+C92+C93+C94+C91</f>
        <v>111353.13</v>
      </c>
    </row>
    <row r="96">
      <c r="A96" s="22"/>
    </row>
    <row r="97">
      <c r="A97" s="22"/>
      <c r="B97" s="166" t="s">
        <v>232</v>
      </c>
      <c r="C97" s="99"/>
    </row>
    <row r="98">
      <c r="A98" s="22"/>
      <c r="B98" s="3" t="s">
        <v>142</v>
      </c>
      <c r="C98" s="13">
        <f>125000+5000</f>
        <v>130000</v>
      </c>
    </row>
    <row r="99">
      <c r="A99" s="22"/>
      <c r="B99" s="3" t="s">
        <v>144</v>
      </c>
      <c r="C99" s="13">
        <v>19999.5</v>
      </c>
    </row>
    <row r="100">
      <c r="A100" s="22"/>
      <c r="B100" s="3" t="s">
        <v>146</v>
      </c>
      <c r="C100" s="113">
        <v>20000.5</v>
      </c>
    </row>
    <row r="101">
      <c r="A101" s="22"/>
      <c r="B101" s="167" t="s">
        <v>148</v>
      </c>
      <c r="C101" s="109">
        <f>C98-C99-C100</f>
        <v>90000</v>
      </c>
    </row>
    <row r="102">
      <c r="A102" s="22"/>
      <c r="B102" s="3" t="s">
        <v>230</v>
      </c>
      <c r="C102" s="13">
        <v>5573.13</v>
      </c>
    </row>
    <row r="103">
      <c r="A103" s="22"/>
      <c r="B103" s="3" t="s">
        <v>72</v>
      </c>
      <c r="C103" s="113">
        <v>8101.5</v>
      </c>
    </row>
    <row r="104">
      <c r="A104" s="22"/>
      <c r="B104" s="3" t="s">
        <v>233</v>
      </c>
      <c r="C104" s="113"/>
      <c r="D104" s="8">
        <v>5000.0</v>
      </c>
    </row>
    <row r="105">
      <c r="A105" s="22"/>
      <c r="B105" s="170" t="s">
        <v>3</v>
      </c>
      <c r="C105" s="171">
        <f>C101+C102+C103+C104</f>
        <v>103674.63</v>
      </c>
    </row>
    <row r="106">
      <c r="A106" s="22"/>
    </row>
    <row r="107">
      <c r="A107" s="22"/>
      <c r="B107" s="166" t="s">
        <v>234</v>
      </c>
      <c r="C107" s="99"/>
    </row>
    <row r="108">
      <c r="A108" s="22"/>
      <c r="B108" s="3" t="s">
        <v>142</v>
      </c>
      <c r="C108" s="13">
        <f>125000+5000</f>
        <v>130000</v>
      </c>
    </row>
    <row r="109">
      <c r="A109" s="22"/>
      <c r="B109" s="3" t="s">
        <v>144</v>
      </c>
      <c r="C109" s="13">
        <v>19999.5</v>
      </c>
    </row>
    <row r="110">
      <c r="A110" s="22"/>
      <c r="B110" s="3" t="s">
        <v>146</v>
      </c>
      <c r="C110" s="113">
        <v>20000.5</v>
      </c>
    </row>
    <row r="111">
      <c r="A111" s="22"/>
      <c r="B111" s="167" t="s">
        <v>148</v>
      </c>
      <c r="C111" s="109">
        <f>C108-C109-C110</f>
        <v>90000</v>
      </c>
    </row>
    <row r="112">
      <c r="A112" s="22"/>
      <c r="B112" s="3" t="s">
        <v>230</v>
      </c>
      <c r="C112" s="13">
        <v>5573.13</v>
      </c>
    </row>
    <row r="113">
      <c r="A113" s="22"/>
      <c r="B113" s="3" t="s">
        <v>72</v>
      </c>
      <c r="C113" s="113">
        <v>7520.0</v>
      </c>
    </row>
    <row r="114">
      <c r="A114" s="22"/>
      <c r="B114" s="3" t="s">
        <v>235</v>
      </c>
      <c r="C114" s="113"/>
      <c r="D114" s="8">
        <v>4500.0</v>
      </c>
    </row>
    <row r="115">
      <c r="A115" s="22"/>
      <c r="B115" s="170" t="s">
        <v>3</v>
      </c>
      <c r="C115" s="171">
        <f>C111+C112+C113+C114</f>
        <v>103093.13</v>
      </c>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sheetData>
  <mergeCells count="12">
    <mergeCell ref="B66:C66"/>
    <mergeCell ref="B76:C76"/>
    <mergeCell ref="B86:C86"/>
    <mergeCell ref="B97:C97"/>
    <mergeCell ref="B107:C107"/>
    <mergeCell ref="B2:C2"/>
    <mergeCell ref="B11:C11"/>
    <mergeCell ref="B20:C20"/>
    <mergeCell ref="B29:C29"/>
    <mergeCell ref="B38:C38"/>
    <mergeCell ref="B47:C47"/>
    <mergeCell ref="B56:C56"/>
  </mergeCells>
  <drawing r:id="rId1"/>
</worksheet>
</file>