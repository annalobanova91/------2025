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7.xml"/>
  <Override ContentType="application/vnd.openxmlformats-officedocument.spreadsheetml.worksheet+xml" PartName="/xl/worksheets/sheet28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17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27.xml"/>
  <Override ContentType="application/vnd.openxmlformats-officedocument.drawing+xml" PartName="/xl/drawings/drawing44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50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расходы спутника" sheetId="1" r:id="rId5"/>
    <sheet state="visible" name="Химки" sheetId="2" r:id="rId6"/>
    <sheet state="visible" name="Общие расходы г. Казань" sheetId="3" r:id="rId7"/>
    <sheet state="visible" name="Общие расходы г. Тюмень" sheetId="4" r:id="rId8"/>
    <sheet state="visible" name="Исходные данные" sheetId="5" r:id="rId9"/>
    <sheet state="visible" name="Общие расходы г. Инно" sheetId="6" r:id="rId10"/>
    <sheet state="visible" name="Общие расходы г. Зеленодольск" sheetId="7" r:id="rId11"/>
    <sheet state="visible" name="Общие расходы г. Альметьевск" sheetId="8" r:id="rId12"/>
    <sheet state="visible" name="Общие расходы ГЭ" sheetId="9" r:id="rId13"/>
    <sheet state="visible" name="Доход-Расход" sheetId="10" r:id="rId14"/>
    <sheet state="visible" name="по годам" sheetId="11" r:id="rId15"/>
    <sheet state="visible" name="Монолит" sheetId="12" r:id="rId16"/>
    <sheet state="visible" name="Усадьба" sheetId="13" r:id="rId17"/>
    <sheet state="visible" name="Тобол" sheetId="14" r:id="rId18"/>
    <sheet state="visible" name="Высота" sheetId="15" r:id="rId19"/>
    <sheet state="visible" name="Электрон" sheetId="16" r:id="rId20"/>
    <sheet state="visible" name="Запад" sheetId="17" r:id="rId21"/>
    <sheet state="visible" name="Вавилон" sheetId="18" r:id="rId22"/>
    <sheet state="visible" name="Юг" sheetId="19" r:id="rId23"/>
    <sheet state="visible" name="Суходолье" sheetId="20" r:id="rId24"/>
    <sheet state="visible" name="Надежное управление" sheetId="21" r:id="rId25"/>
    <sheet state="visible" name="УК линейная" sheetId="22" r:id="rId26"/>
    <sheet state="visible" name="ЖЭУ 9" sheetId="23" r:id="rId27"/>
    <sheet state="visible" name="УК на Ткацком" sheetId="24" r:id="rId28"/>
    <sheet state="visible" name="УК на пражской" sheetId="25" r:id="rId29"/>
    <sheet state="visible" name="ЖСУ" sheetId="26" r:id="rId30"/>
    <sheet state="visible" name="Восток сити" sheetId="27" r:id="rId31"/>
    <sheet state="visible" name="Аурика " sheetId="28" r:id="rId32"/>
    <sheet state="visible" name="УК на Полевой" sheetId="29" r:id="rId33"/>
    <sheet state="visible" name="Ирида" sheetId="30" r:id="rId34"/>
    <sheet state="visible" name="ТЭСК" sheetId="31" r:id="rId35"/>
    <sheet state="visible" name="Ладья" sheetId="32" r:id="rId36"/>
    <sheet state="visible" name="Алсу" sheetId="33" r:id="rId37"/>
    <sheet state="visible" name="интернет юр лица" sheetId="34" r:id="rId38"/>
    <sheet state="visible" name="УК Альметьевск" sheetId="35" r:id="rId39"/>
    <sheet state="visible" name="Новация" sheetId="36" r:id="rId40"/>
    <sheet state="visible" name="Жилкомплекс" sheetId="37" r:id="rId41"/>
    <sheet state="visible" name="Радужный_З" sheetId="38" r:id="rId42"/>
    <sheet state="visible" name="Салават Купере" sheetId="39" r:id="rId43"/>
    <sheet state="visible" name="ТСЖ №6" sheetId="40" r:id="rId44"/>
    <sheet state="visible" name="Прямые" sheetId="41" r:id="rId45"/>
    <sheet state="visible" name="ЖК Моск рай-на" sheetId="42" r:id="rId46"/>
    <sheet state="visible" name="Радужный (Казань)" sheetId="43" r:id="rId47"/>
    <sheet state="visible" name="Фукса 12" sheetId="44" r:id="rId48"/>
    <sheet state="visible" name="ТСЖ Соврменник" sheetId="45" r:id="rId49"/>
    <sheet state="visible" name="ЭРТХ_К" sheetId="46" r:id="rId50"/>
    <sheet state="visible" name="Тринити" sheetId="47" r:id="rId51"/>
    <sheet state="visible" name="ЗИОН" sheetId="48" r:id="rId52"/>
    <sheet state="visible" name="Жилищный фонд" sheetId="49" r:id="rId53"/>
    <sheet state="visible" name="СК Иннокомфорт" sheetId="50" r:id="rId54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34">
      <text>
        <t xml:space="preserve">693 это уже с газопромысловой
139 аб газопромысловая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6">
      <text>
        <t xml:space="preserve"> 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4">
      <text>
        <t xml:space="preserve">Агинов 502494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Агинов 502494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в этом году не обслуживали, только монтаж сделалаи</t>
      </text>
    </comment>
    <comment authorId="0" ref="E5">
      <text>
        <t xml:space="preserve">Агинов 502494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">
      <text>
        <t xml:space="preserve">Агинов 502494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4">
      <text>
        <t xml:space="preserve">Агинов 502494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4">
      <text>
        <t xml:space="preserve">всего 235-22=213
22 агинова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3">
      <text>
        <t xml:space="preserve">388, из них агинова 22 шт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0">
      <text>
        <t xml:space="preserve">285 город
106 меж.город</t>
      </text>
    </comment>
    <comment authorId="0" ref="B12">
      <text>
        <t xml:space="preserve">19 город
9 меж.город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22">
      <text>
        <t xml:space="preserve">за декабритсов 127</t>
      </text>
    </comment>
  </commentList>
</comments>
</file>

<file path=xl/sharedStrings.xml><?xml version="1.0" encoding="utf-8"?>
<sst xmlns="http://schemas.openxmlformats.org/spreadsheetml/2006/main" count="1420" uniqueCount="329">
  <si>
    <t>Наименование товара</t>
  </si>
  <si>
    <t>Контрагент</t>
  </si>
  <si>
    <t>Сумма к оплате</t>
  </si>
  <si>
    <t>Дата оплаты</t>
  </si>
  <si>
    <t xml:space="preserve">Общая сумма </t>
  </si>
  <si>
    <t>кол-во мес</t>
  </si>
  <si>
    <t>Сумма за месяц</t>
  </si>
  <si>
    <t>Расходники</t>
  </si>
  <si>
    <t>Казань</t>
  </si>
  <si>
    <t>р/аб</t>
  </si>
  <si>
    <t xml:space="preserve">ФОТ </t>
  </si>
  <si>
    <t>Тюмень</t>
  </si>
  <si>
    <t>интернет</t>
  </si>
  <si>
    <t>расходники</t>
  </si>
  <si>
    <t>подарки</t>
  </si>
  <si>
    <t xml:space="preserve">ремонт пв </t>
  </si>
  <si>
    <t>транспортные</t>
  </si>
  <si>
    <t>диагностика</t>
  </si>
  <si>
    <t>кол-во аб.</t>
  </si>
  <si>
    <t>цена</t>
  </si>
  <si>
    <t>Налог УСН</t>
  </si>
  <si>
    <t>Город</t>
  </si>
  <si>
    <t>кол-во аб.по домофонам</t>
  </si>
  <si>
    <t>кол-во по ВН</t>
  </si>
  <si>
    <t>кол-во под</t>
  </si>
  <si>
    <t>ВСЕГО</t>
  </si>
  <si>
    <t>Альметьевск</t>
  </si>
  <si>
    <t>ЗД+о,в,н</t>
  </si>
  <si>
    <t>Инно</t>
  </si>
  <si>
    <t>Зион</t>
  </si>
  <si>
    <t>Мастер</t>
  </si>
  <si>
    <t>Всего под. на обслу</t>
  </si>
  <si>
    <t>всего домов</t>
  </si>
  <si>
    <t>Олег</t>
  </si>
  <si>
    <t>Воронцов</t>
  </si>
  <si>
    <t>Полуянов</t>
  </si>
  <si>
    <t>Балашов</t>
  </si>
  <si>
    <t>ТЮМЕНЬ</t>
  </si>
  <si>
    <t>кол-во под.</t>
  </si>
  <si>
    <t xml:space="preserve">Полуянов </t>
  </si>
  <si>
    <t>Балашов (кол. домов)</t>
  </si>
  <si>
    <t>ЖСУ</t>
  </si>
  <si>
    <t>Надежное управление</t>
  </si>
  <si>
    <t>УК Линейная</t>
  </si>
  <si>
    <t>УК на Пражской</t>
  </si>
  <si>
    <t>Аурика</t>
  </si>
  <si>
    <t>УК на Ткацком</t>
  </si>
  <si>
    <t>УК Суходолье</t>
  </si>
  <si>
    <t>ТЭСК</t>
  </si>
  <si>
    <t>ЖЭУ № 9</t>
  </si>
  <si>
    <t>Запад</t>
  </si>
  <si>
    <t>ЮГ</t>
  </si>
  <si>
    <t>УК Ладья</t>
  </si>
  <si>
    <t>ИРИДА</t>
  </si>
  <si>
    <t>Восток-Сити</t>
  </si>
  <si>
    <t>На Полевой</t>
  </si>
  <si>
    <t>Монолит</t>
  </si>
  <si>
    <t>УК Тобол</t>
  </si>
  <si>
    <t>УК Усадьба</t>
  </si>
  <si>
    <t>УК Высота</t>
  </si>
  <si>
    <t>ТСЖ Электрон</t>
  </si>
  <si>
    <t>ТСН Вавилон</t>
  </si>
  <si>
    <t>ИТОГО</t>
  </si>
  <si>
    <t>АЛЬМЕТЬЕВСК</t>
  </si>
  <si>
    <t xml:space="preserve">Кол-во камер </t>
  </si>
  <si>
    <t>УК Алсу</t>
  </si>
  <si>
    <t>УК Альметьевск</t>
  </si>
  <si>
    <t>Новация</t>
  </si>
  <si>
    <t>ЗД</t>
  </si>
  <si>
    <t>Жилкомп.</t>
  </si>
  <si>
    <t>Салат</t>
  </si>
  <si>
    <t>Радужный</t>
  </si>
  <si>
    <t>ТСЖ6</t>
  </si>
  <si>
    <t>Тринити</t>
  </si>
  <si>
    <t>СК Иннокомфорт</t>
  </si>
  <si>
    <t>Прямые</t>
  </si>
  <si>
    <t>КАЗАНЬ</t>
  </si>
  <si>
    <t>УК Московского</t>
  </si>
  <si>
    <t>Фукса 12</t>
  </si>
  <si>
    <t>ТСЖ Современник</t>
  </si>
  <si>
    <t>ЭРТХА</t>
  </si>
  <si>
    <t>ИННО</t>
  </si>
  <si>
    <t>кол-во аб.по домофонам/биометрия</t>
  </si>
  <si>
    <t>Жилфонд</t>
  </si>
  <si>
    <t>ЗИОН</t>
  </si>
  <si>
    <t>Застройщик</t>
  </si>
  <si>
    <t>ГСМ</t>
  </si>
  <si>
    <t>ГСМ н.вязовые</t>
  </si>
  <si>
    <t>Зеленодольсе +п.г.т.</t>
  </si>
  <si>
    <t>комиссия Марат Расход</t>
  </si>
  <si>
    <t>Аренда офиса</t>
  </si>
  <si>
    <t>Коммисия МаратРасход</t>
  </si>
  <si>
    <t>перенести на Альмет и Зел 75% Альм 25 % зел</t>
  </si>
  <si>
    <t>Транспортные</t>
  </si>
  <si>
    <t>командировка Марат, Раниф</t>
  </si>
  <si>
    <t>гараж</t>
  </si>
  <si>
    <t>Кол-во абон</t>
  </si>
  <si>
    <t xml:space="preserve"> </t>
  </si>
  <si>
    <t>Аренда офиса Тюмень</t>
  </si>
  <si>
    <t xml:space="preserve">Интернет Раниф тест </t>
  </si>
  <si>
    <t>Интернет офис</t>
  </si>
  <si>
    <t>ФОТ Рафаэль</t>
  </si>
  <si>
    <t>Процент, штраф,</t>
  </si>
  <si>
    <t>хостинг</t>
  </si>
  <si>
    <t>прочие (канц.товары и т.п.)</t>
  </si>
  <si>
    <t>подключение интернта в офисе Тюмень</t>
  </si>
  <si>
    <t>сервер, бот</t>
  </si>
  <si>
    <t>комиссия банка</t>
  </si>
  <si>
    <t>ФОТ колл-центр вторичка</t>
  </si>
  <si>
    <t>ФОТ БГ и СБ вторичка</t>
  </si>
  <si>
    <t>ФОТ БГ и СБ первичка</t>
  </si>
  <si>
    <t>налог Малащенко ТН</t>
  </si>
  <si>
    <t>Налоги с ФОТ БГ и СБ</t>
  </si>
  <si>
    <t>Прочие, почтовые</t>
  </si>
  <si>
    <t>ЭДО, почта</t>
  </si>
  <si>
    <t>Аренда склада в Казани</t>
  </si>
  <si>
    <t>подарки (представительские расходы)</t>
  </si>
  <si>
    <t>ЗЕЛЕНОДОЛЬСК</t>
  </si>
  <si>
    <t>ИННОПОЛИС</t>
  </si>
  <si>
    <t>УК</t>
  </si>
  <si>
    <t>Усадьба</t>
  </si>
  <si>
    <t>Тобол</t>
  </si>
  <si>
    <t>Высота</t>
  </si>
  <si>
    <t>Вавилон</t>
  </si>
  <si>
    <t>Электрон</t>
  </si>
  <si>
    <t>Ирида</t>
  </si>
  <si>
    <t>Суходолье</t>
  </si>
  <si>
    <t>Линейная</t>
  </si>
  <si>
    <t>Надежное</t>
  </si>
  <si>
    <t>ЖЭУ 9</t>
  </si>
  <si>
    <t>На Пражской</t>
  </si>
  <si>
    <t>Восток-сити</t>
  </si>
  <si>
    <t>Ладья</t>
  </si>
  <si>
    <t>УК на Полевой</t>
  </si>
  <si>
    <t>Жилкомплекс</t>
  </si>
  <si>
    <t>Салават</t>
  </si>
  <si>
    <t>ТСЖ №6</t>
  </si>
  <si>
    <t>Радужный (Казань)</t>
  </si>
  <si>
    <t>ЖК Моск.р-на</t>
  </si>
  <si>
    <t>Современник</t>
  </si>
  <si>
    <t>Жилищный фонд</t>
  </si>
  <si>
    <t>Иннокомфорт</t>
  </si>
  <si>
    <t>Доход (выставленные счета)</t>
  </si>
  <si>
    <t>Доход (фактически полученные ДС)</t>
  </si>
  <si>
    <t>разница</t>
  </si>
  <si>
    <t xml:space="preserve">Доход от продаж </t>
  </si>
  <si>
    <t>Расход</t>
  </si>
  <si>
    <t>ФОТ</t>
  </si>
  <si>
    <t>Оборудование (Сервис)</t>
  </si>
  <si>
    <t>Оборудование (Модернизация)</t>
  </si>
  <si>
    <t>Оборудование (Кап.вложения)</t>
  </si>
  <si>
    <t>Интернет</t>
  </si>
  <si>
    <t>Общие расходы ГЭ</t>
  </si>
  <si>
    <t>Общие расходы города</t>
  </si>
  <si>
    <t>Услуги УК</t>
  </si>
  <si>
    <t>Кап.вложения</t>
  </si>
  <si>
    <t>УСН</t>
  </si>
  <si>
    <t>Итого расходов</t>
  </si>
  <si>
    <t>ИТОГ 2025</t>
  </si>
  <si>
    <t>Название УК</t>
  </si>
  <si>
    <t>2022 год</t>
  </si>
  <si>
    <t>2023 год</t>
  </si>
  <si>
    <t>2024 год</t>
  </si>
  <si>
    <t>2025 год</t>
  </si>
  <si>
    <t>ООО УК Запад</t>
  </si>
  <si>
    <t>ООО УК Ирида</t>
  </si>
  <si>
    <t>ООО ЖСУ</t>
  </si>
  <si>
    <t>ООО УК Суходолье</t>
  </si>
  <si>
    <t>ООО УК Линейная</t>
  </si>
  <si>
    <t>ООО Надежное управление</t>
  </si>
  <si>
    <t>ООО УК Аурика</t>
  </si>
  <si>
    <t>ООО ЖЭУ № 9</t>
  </si>
  <si>
    <t>ООО УК На Ткацком</t>
  </si>
  <si>
    <t>ООО УК На Пражской</t>
  </si>
  <si>
    <t>ООО ТЭСК</t>
  </si>
  <si>
    <t>ООО Восток-сити</t>
  </si>
  <si>
    <t>ООО УК Ладья</t>
  </si>
  <si>
    <t>ООО Юг</t>
  </si>
  <si>
    <t>ООО УК на Полевой</t>
  </si>
  <si>
    <t>ООО УК Алсу</t>
  </si>
  <si>
    <t>ООО УК Альметьевск</t>
  </si>
  <si>
    <t>ООО УКЖД Новация</t>
  </si>
  <si>
    <t>ООО Жилкомплекс</t>
  </si>
  <si>
    <t>ООО Радужный (зелек)</t>
  </si>
  <si>
    <t>ООО УК Саловат</t>
  </si>
  <si>
    <t>ТСЖ № 6</t>
  </si>
  <si>
    <t>ООО Радужный (КЗН)</t>
  </si>
  <si>
    <t xml:space="preserve">ООО ЖКХ Московского района </t>
  </si>
  <si>
    <t>ТСЖ Фукса 12</t>
  </si>
  <si>
    <t>ООО Современник</t>
  </si>
  <si>
    <t>ЭРТХА (КЗН)</t>
  </si>
  <si>
    <t>ООО Тринити</t>
  </si>
  <si>
    <t>ООО Жилищный фонд</t>
  </si>
  <si>
    <t>ООО Иннокомфорт</t>
  </si>
  <si>
    <t>МОНОЛИТ</t>
  </si>
  <si>
    <t>Всего на обсл. под.</t>
  </si>
  <si>
    <t>Кол-во под. по ук</t>
  </si>
  <si>
    <t>Кол-во абонентов</t>
  </si>
  <si>
    <t>Сумма расхода на УК</t>
  </si>
  <si>
    <t>ФОТ Полуянов</t>
  </si>
  <si>
    <t>ФОТ Артем</t>
  </si>
  <si>
    <t>ФОТ Балашев</t>
  </si>
  <si>
    <t>Интернет физ.лица</t>
  </si>
  <si>
    <t>Расходники по УК</t>
  </si>
  <si>
    <t>Транспортные по УК</t>
  </si>
  <si>
    <t>Абонентов домофония</t>
  </si>
  <si>
    <t>Абонентов ВН</t>
  </si>
  <si>
    <t>Подъездов</t>
  </si>
  <si>
    <t>КАП.ВЛОЖЕНИЯ</t>
  </si>
  <si>
    <t>Наименование</t>
  </si>
  <si>
    <t>Общая сумма</t>
  </si>
  <si>
    <t>Итого</t>
  </si>
  <si>
    <t>Монтажи фот</t>
  </si>
  <si>
    <t>подключение новых точек</t>
  </si>
  <si>
    <t xml:space="preserve">расходники </t>
  </si>
  <si>
    <t>УСАДЬБА</t>
  </si>
  <si>
    <t>ФОТ Воронцов</t>
  </si>
  <si>
    <t xml:space="preserve">подключение новой точки </t>
  </si>
  <si>
    <t>ВЫСОТА</t>
  </si>
  <si>
    <t>ФОТ монтаж модер</t>
  </si>
  <si>
    <t>подключение новой точки Малышева 24</t>
  </si>
  <si>
    <t>ЭЛЕКТРОН</t>
  </si>
  <si>
    <t>подключение новой точки</t>
  </si>
  <si>
    <t>ЗАПАД</t>
  </si>
  <si>
    <t>Интернет ЭРТХА</t>
  </si>
  <si>
    <t>ремонт шлагбаума</t>
  </si>
  <si>
    <t>сервис</t>
  </si>
  <si>
    <t>представительские</t>
  </si>
  <si>
    <t>Поключение точки пархоменко 1</t>
  </si>
  <si>
    <t>расходники на монтаж</t>
  </si>
  <si>
    <t>ВАВИЛОН</t>
  </si>
  <si>
    <t>подкл новой точки</t>
  </si>
  <si>
    <t>ФОТ Олег</t>
  </si>
  <si>
    <t>ФОТ Балашов</t>
  </si>
  <si>
    <t>Интернет позитив</t>
  </si>
  <si>
    <t>Общие расходы по Тюмени</t>
  </si>
  <si>
    <t>Расходники по Ук</t>
  </si>
  <si>
    <t>Ук на Ткацком</t>
  </si>
  <si>
    <t>ФОТ монтажи</t>
  </si>
  <si>
    <t>УК на пражской</t>
  </si>
  <si>
    <t>сварка</t>
  </si>
  <si>
    <t>Кап.вложение</t>
  </si>
  <si>
    <t>Монтаж фот</t>
  </si>
  <si>
    <t xml:space="preserve">подключение новых точек </t>
  </si>
  <si>
    <t>за согласование вн</t>
  </si>
  <si>
    <t>Интернет ЭРТХ</t>
  </si>
  <si>
    <t>кап.вложения</t>
  </si>
  <si>
    <t>ФОТ  Полуянов</t>
  </si>
  <si>
    <t>ФОТ  Балашов</t>
  </si>
  <si>
    <t xml:space="preserve">Интернет </t>
  </si>
  <si>
    <t xml:space="preserve">Монтаж фот </t>
  </si>
  <si>
    <t xml:space="preserve">ФОТ  </t>
  </si>
  <si>
    <t>ФОТ  Воронцов</t>
  </si>
  <si>
    <t>Интернет фл</t>
  </si>
  <si>
    <t>монтаж фот</t>
  </si>
  <si>
    <t>Воров 27 восстан линии</t>
  </si>
  <si>
    <t>Ка.вложения</t>
  </si>
  <si>
    <t>подключ новой точки</t>
  </si>
  <si>
    <t xml:space="preserve">интернет </t>
  </si>
  <si>
    <t>Оборудование по УК</t>
  </si>
  <si>
    <t>Алсу</t>
  </si>
  <si>
    <t>Всего на обсл. под./камер</t>
  </si>
  <si>
    <t>ФОТ Васильев</t>
  </si>
  <si>
    <t>ФОТ Касимов</t>
  </si>
  <si>
    <t>Доп.работа+монтажные работы</t>
  </si>
  <si>
    <t>Представительские и подарки</t>
  </si>
  <si>
    <t>Услуги Ук</t>
  </si>
  <si>
    <t>Общие расходы Города</t>
  </si>
  <si>
    <t xml:space="preserve">ФОТ монтажи Касимов </t>
  </si>
  <si>
    <t>ФОТ монтажи Богдан</t>
  </si>
  <si>
    <t>расходники кап вложения</t>
  </si>
  <si>
    <t>сумма за год</t>
  </si>
  <si>
    <t>50 лет окт 60</t>
  </si>
  <si>
    <t>50 лет окт 68</t>
  </si>
  <si>
    <t>Белин 14</t>
  </si>
  <si>
    <t>Белин 28</t>
  </si>
  <si>
    <t>Бел 28а</t>
  </si>
  <si>
    <t>Моск 108 а</t>
  </si>
  <si>
    <t>Моск 119</t>
  </si>
  <si>
    <t>Перм 24</t>
  </si>
  <si>
    <t>Пролет 120</t>
  </si>
  <si>
    <t>Респ 181</t>
  </si>
  <si>
    <t>Рижс 63</t>
  </si>
  <si>
    <t>Рижс 80</t>
  </si>
  <si>
    <t>Севаст 25</t>
  </si>
  <si>
    <t xml:space="preserve">Степ 1 а </t>
  </si>
  <si>
    <t>Транс 108</t>
  </si>
  <si>
    <t>Ям 102а</t>
  </si>
  <si>
    <t>Ям 96</t>
  </si>
  <si>
    <t>запад</t>
  </si>
  <si>
    <t>Общие расходы по Городу</t>
  </si>
  <si>
    <t>Общие расходы по Альм</t>
  </si>
  <si>
    <t>усн</t>
  </si>
  <si>
    <t>ФОТ Калачев</t>
  </si>
  <si>
    <t>Интернет интердол+житель</t>
  </si>
  <si>
    <t>двери (фин помощь)</t>
  </si>
  <si>
    <t>МОДЕРНИЗАЦИЯ</t>
  </si>
  <si>
    <t>Фот монтаж</t>
  </si>
  <si>
    <t>радужный</t>
  </si>
  <si>
    <t>Салават Купере</t>
  </si>
  <si>
    <t>прямые</t>
  </si>
  <si>
    <t>Кап.влажение</t>
  </si>
  <si>
    <t>фот монтаж</t>
  </si>
  <si>
    <t>моск района</t>
  </si>
  <si>
    <t>всего на обслуж</t>
  </si>
  <si>
    <t>ФОТ Ильдус ВН</t>
  </si>
  <si>
    <t xml:space="preserve">ФОТ доп Ильдус </t>
  </si>
  <si>
    <t>канц товары</t>
  </si>
  <si>
    <t>голосование</t>
  </si>
  <si>
    <t>РАДУЖНЫЙ</t>
  </si>
  <si>
    <t xml:space="preserve"> ФОТ Ильдус</t>
  </si>
  <si>
    <t>фукса 12</t>
  </si>
  <si>
    <t>ФОТ Ильдус</t>
  </si>
  <si>
    <t>Оборудование</t>
  </si>
  <si>
    <t>ФОТ  Ильдус</t>
  </si>
  <si>
    <t>Интернет йота</t>
  </si>
  <si>
    <t>Общие расходы по городу</t>
  </si>
  <si>
    <t>фот монтадж</t>
  </si>
  <si>
    <t>ЭРТХ</t>
  </si>
  <si>
    <t>подъезды ЭРТХ</t>
  </si>
  <si>
    <t>сумма из фота на ЭРТХ</t>
  </si>
  <si>
    <t>Участив в тендере</t>
  </si>
  <si>
    <t>ФОТ Калачев вн</t>
  </si>
  <si>
    <t xml:space="preserve">80 камер тринити </t>
  </si>
  <si>
    <t>Доп. работы</t>
  </si>
  <si>
    <t>Оборудование по ук</t>
  </si>
  <si>
    <t>Абонентов домофонии</t>
  </si>
  <si>
    <t xml:space="preserve">23 камеры зион застройщик </t>
  </si>
  <si>
    <t>Абонентов биометрия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</si>
</sst>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#,##0.00_р_."/>
    <numFmt numFmtId="165" formatCode="_-* #,##0.00\ &quot;р.&quot;_-;\-* #,##0.00\ &quot;р.&quot;_-;_-* &quot;-&quot;??\ &quot;р.&quot;_-;_-@"/>
    <numFmt numFmtId="166" formatCode="dd.mm.yy"/>
    <numFmt numFmtId="167" formatCode="d.m.yy"/>
    <numFmt numFmtId="168" formatCode="[$р.-419]#,##0"/>
    <numFmt numFmtId="169" formatCode="0.000"/>
    <numFmt numFmtId="170" formatCode="0.0"/>
  </numFmts>
  <fonts count="31">
    <font>
      <sz val="10.0"/>
      <color rgb="FF000000"/>
      <name val="Arial"/>
      <scheme val="minor"/>
    </font>
    <font>
      <b/>
      <sz val="11.0"/>
      <color theme="1"/>
      <name val="Calibri"/>
    </font>
    <font>
      <sz val="11.0"/>
      <color theme="1"/>
      <name val="Times New Roman"/>
    </font>
    <font>
      <color theme="1"/>
      <name val="Calibri"/>
    </font>
    <font>
      <color theme="1"/>
      <name val="Arial"/>
    </font>
    <font>
      <sz val="11.0"/>
      <color rgb="FFFF0000"/>
      <name val="Times New Roman"/>
    </font>
    <font>
      <color theme="1"/>
      <name val="Arial"/>
      <scheme val="minor"/>
    </font>
    <font>
      <color rgb="FF0000FF"/>
      <name val="Calibri"/>
    </font>
    <font>
      <sz val="11.0"/>
      <color rgb="FF0000FF"/>
      <name val="Times New Roman"/>
    </font>
    <font>
      <b/>
      <color theme="1"/>
      <name val="Arial"/>
    </font>
    <font>
      <b/>
      <color theme="1"/>
      <name val="Arial"/>
      <scheme val="minor"/>
    </font>
    <font>
      <color theme="1"/>
      <name val="Roboto"/>
    </font>
    <font>
      <b/>
      <sz val="11.0"/>
      <color theme="1"/>
      <name val="&quot;Times New Roman&quot;"/>
    </font>
    <font>
      <color rgb="FF000000"/>
      <name val="Roboto"/>
    </font>
    <font>
      <sz val="11.0"/>
      <color rgb="FF000000"/>
      <name val="&quot;Times New Roman&quot;"/>
    </font>
    <font>
      <color rgb="FF000000"/>
      <name val="Arial"/>
      <scheme val="minor"/>
    </font>
    <font>
      <sz val="11.0"/>
      <color rgb="FF000000"/>
      <name val="Inconsolata"/>
    </font>
    <font>
      <sz val="9.0"/>
      <color rgb="FF1F1F1F"/>
      <name val="&quot;Google Sans&quot;"/>
    </font>
    <font>
      <sz val="11.0"/>
      <color theme="1"/>
      <name val="&quot;Times New Roman&quot;"/>
    </font>
    <font>
      <sz val="11.0"/>
      <color rgb="FF1F1F1F"/>
      <name val="&quot;Google Sans&quot;"/>
    </font>
    <font>
      <sz val="11.0"/>
      <color theme="1"/>
      <name val="Inconsolata"/>
    </font>
    <font>
      <b/>
      <sz val="12.0"/>
      <color theme="1"/>
      <name val="Arial"/>
      <scheme val="minor"/>
    </font>
    <font/>
    <font>
      <b/>
      <sz val="11.0"/>
      <color theme="1"/>
      <name val="Arial"/>
      <scheme val="minor"/>
    </font>
    <font>
      <b/>
      <color rgb="FF000000"/>
      <name val="Arial"/>
      <scheme val="minor"/>
    </font>
    <font>
      <sz val="9.0"/>
      <color theme="1"/>
      <name val="Arial"/>
    </font>
    <font>
      <sz val="11.0"/>
      <color rgb="FF000000"/>
      <name val="Times New Roman"/>
    </font>
    <font>
      <color rgb="FF000000"/>
      <name val="Docs-Calibri"/>
    </font>
    <font>
      <color rgb="FF000000"/>
      <name val="Calibri"/>
    </font>
    <font>
      <color rgb="FFFF0000"/>
      <name val="Arial"/>
      <scheme val="minor"/>
    </font>
    <font>
      <sz val="10.0"/>
      <color rgb="FF000000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00FF00"/>
        <bgColor rgb="FF00FF00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00FFFF"/>
        <bgColor rgb="FF00FFFF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40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wrapText="1"/>
    </xf>
    <xf borderId="1" fillId="2" fontId="1" numFmtId="0" xfId="0" applyAlignment="1" applyBorder="1" applyFont="1">
      <alignment horizontal="center" shrinkToFit="0" wrapText="1"/>
    </xf>
    <xf borderId="1" fillId="2" fontId="1" numFmtId="164" xfId="0" applyAlignment="1" applyBorder="1" applyFont="1" applyNumberFormat="1">
      <alignment horizontal="center" shrinkToFit="0" wrapText="1"/>
    </xf>
    <xf borderId="1" fillId="2" fontId="1" numFmtId="0" xfId="0" applyAlignment="1" applyBorder="1" applyFont="1">
      <alignment horizontal="center" readingOrder="0" shrinkToFit="0" wrapText="1"/>
    </xf>
    <xf borderId="2" fillId="2" fontId="2" numFmtId="0" xfId="0" applyAlignment="1" applyBorder="1" applyFont="1">
      <alignment horizontal="center" vertical="bottom"/>
    </xf>
    <xf borderId="3" fillId="2" fontId="2" numFmtId="4" xfId="0" applyAlignment="1" applyBorder="1" applyFont="1" applyNumberFormat="1">
      <alignment horizontal="center" vertical="bottom"/>
    </xf>
    <xf borderId="3" fillId="2" fontId="2" numFmtId="165" xfId="0" applyAlignment="1" applyBorder="1" applyFont="1" applyNumberFormat="1">
      <alignment horizontal="center" vertical="bottom"/>
    </xf>
    <xf borderId="3" fillId="2" fontId="2" numFmtId="166" xfId="0" applyAlignment="1" applyBorder="1" applyFont="1" applyNumberFormat="1">
      <alignment horizontal="center" vertical="bottom"/>
    </xf>
    <xf borderId="2" fillId="2" fontId="3" numFmtId="0" xfId="0" applyAlignment="1" applyBorder="1" applyFont="1">
      <alignment vertical="bottom"/>
    </xf>
    <xf borderId="2" fillId="2" fontId="2" numFmtId="0" xfId="0" applyAlignment="1" applyBorder="1" applyFont="1">
      <alignment horizontal="center" vertical="bottom"/>
    </xf>
    <xf borderId="2" fillId="2" fontId="4" numFmtId="165" xfId="0" applyAlignment="1" applyBorder="1" applyFont="1" applyNumberFormat="1">
      <alignment horizontal="right" vertical="bottom"/>
    </xf>
    <xf borderId="2" fillId="2" fontId="2" numFmtId="166" xfId="0" applyAlignment="1" applyBorder="1" applyFont="1" applyNumberFormat="1">
      <alignment horizontal="center" vertical="bottom"/>
    </xf>
    <xf borderId="1" fillId="2" fontId="4" numFmtId="0" xfId="0" applyAlignment="1" applyBorder="1" applyFont="1">
      <alignment horizontal="center" shrinkToFit="0" vertical="bottom" wrapText="1"/>
    </xf>
    <xf borderId="1" fillId="2" fontId="4" numFmtId="165" xfId="0" applyAlignment="1" applyBorder="1" applyFont="1" applyNumberFormat="1">
      <alignment horizontal="right" vertical="bottom"/>
    </xf>
    <xf borderId="1" fillId="2" fontId="2" numFmtId="166" xfId="0" applyAlignment="1" applyBorder="1" applyFont="1" applyNumberFormat="1">
      <alignment horizontal="center" vertical="bottom"/>
    </xf>
    <xf borderId="3" fillId="2" fontId="3" numFmtId="0" xfId="0" applyAlignment="1" applyBorder="1" applyFont="1">
      <alignment vertical="bottom"/>
    </xf>
    <xf borderId="3" fillId="2" fontId="2" numFmtId="0" xfId="0" applyAlignment="1" applyBorder="1" applyFont="1">
      <alignment horizontal="center" vertical="bottom"/>
    </xf>
    <xf borderId="2" fillId="2" fontId="5" numFmtId="0" xfId="0" applyAlignment="1" applyBorder="1" applyFont="1">
      <alignment horizontal="center" vertical="bottom"/>
    </xf>
    <xf borderId="3" fillId="2" fontId="5" numFmtId="0" xfId="0" applyAlignment="1" applyBorder="1" applyFont="1">
      <alignment horizontal="center" vertical="bottom"/>
    </xf>
    <xf borderId="3" fillId="2" fontId="3" numFmtId="165" xfId="0" applyAlignment="1" applyBorder="1" applyFont="1" applyNumberFormat="1">
      <alignment vertical="bottom"/>
    </xf>
    <xf borderId="3" fillId="2" fontId="2" numFmtId="0" xfId="0" applyAlignment="1" applyBorder="1" applyFont="1">
      <alignment horizontal="center" shrinkToFit="0" vertical="bottom" wrapText="1"/>
    </xf>
    <xf borderId="3" fillId="2" fontId="2" numFmtId="0" xfId="0" applyAlignment="1" applyBorder="1" applyFont="1">
      <alignment horizontal="center" vertical="bottom"/>
    </xf>
    <xf borderId="3" fillId="2" fontId="2" numFmtId="0" xfId="0" applyAlignment="1" applyBorder="1" applyFont="1">
      <alignment horizontal="center" shrinkToFit="0" vertical="bottom" wrapText="1"/>
    </xf>
    <xf borderId="3" fillId="2" fontId="2" numFmtId="0" xfId="0" applyAlignment="1" applyBorder="1" applyFont="1">
      <alignment horizontal="center" vertical="bottom"/>
    </xf>
    <xf borderId="1" fillId="2" fontId="4" numFmtId="0" xfId="0" applyAlignment="1" applyBorder="1" applyFont="1">
      <alignment horizontal="center" vertical="bottom"/>
    </xf>
    <xf borderId="2" fillId="2" fontId="2" numFmtId="165" xfId="0" applyAlignment="1" applyBorder="1" applyFont="1" applyNumberFormat="1">
      <alignment horizontal="center" vertical="bottom"/>
    </xf>
    <xf borderId="3" fillId="2" fontId="2" numFmtId="167" xfId="0" applyAlignment="1" applyBorder="1" applyFont="1" applyNumberFormat="1">
      <alignment horizontal="center" vertical="bottom"/>
    </xf>
    <xf borderId="1" fillId="2" fontId="3" numFmtId="0" xfId="0" applyAlignment="1" applyBorder="1" applyFont="1">
      <alignment vertical="bottom"/>
    </xf>
    <xf borderId="3" fillId="2" fontId="4" numFmtId="165" xfId="0" applyAlignment="1" applyBorder="1" applyFont="1" applyNumberFormat="1">
      <alignment horizontal="right" vertical="bottom"/>
    </xf>
    <xf borderId="3" fillId="2" fontId="4" numFmtId="165" xfId="0" applyAlignment="1" applyBorder="1" applyFont="1" applyNumberFormat="1">
      <alignment horizontal="center" vertical="bottom"/>
    </xf>
    <xf borderId="1" fillId="2" fontId="3" numFmtId="0" xfId="0" applyAlignment="1" applyBorder="1" applyFont="1">
      <alignment horizontal="center" shrinkToFit="0" wrapText="1"/>
    </xf>
    <xf borderId="1" fillId="2" fontId="3" numFmtId="0" xfId="0" applyAlignment="1" applyBorder="1" applyFont="1">
      <alignment horizontal="center" readingOrder="0" shrinkToFit="0" wrapText="1"/>
    </xf>
    <xf borderId="1" fillId="2" fontId="4" numFmtId="165" xfId="0" applyAlignment="1" applyBorder="1" applyFont="1" applyNumberFormat="1">
      <alignment horizontal="center" vertical="bottom"/>
    </xf>
    <xf borderId="1" fillId="0" fontId="6" numFmtId="0" xfId="0" applyBorder="1" applyFont="1"/>
    <xf borderId="2" fillId="2" fontId="2" numFmtId="0" xfId="0" applyAlignment="1" applyBorder="1" applyFont="1">
      <alignment horizontal="center" shrinkToFit="0" vertical="bottom" wrapText="1"/>
    </xf>
    <xf borderId="2" fillId="0" fontId="3" numFmtId="0" xfId="0" applyAlignment="1" applyBorder="1" applyFont="1">
      <alignment horizontal="center" shrinkToFit="0" vertical="bottom" wrapText="1"/>
    </xf>
    <xf borderId="2" fillId="0" fontId="3" numFmtId="168" xfId="0" applyAlignment="1" applyBorder="1" applyFont="1" applyNumberFormat="1">
      <alignment horizontal="right" vertical="bottom"/>
    </xf>
    <xf borderId="2" fillId="0" fontId="7" numFmtId="0" xfId="0" applyAlignment="1" applyBorder="1" applyFont="1">
      <alignment horizontal="center" shrinkToFit="0" vertical="bottom" wrapText="1"/>
    </xf>
    <xf borderId="2" fillId="2" fontId="8" numFmtId="0" xfId="0" applyAlignment="1" applyBorder="1" applyFont="1">
      <alignment horizontal="center" shrinkToFit="0" vertical="bottom" wrapText="1"/>
    </xf>
    <xf borderId="2" fillId="0" fontId="7" numFmtId="168" xfId="0" applyAlignment="1" applyBorder="1" applyFont="1" applyNumberFormat="1">
      <alignment horizontal="right" vertical="bottom"/>
    </xf>
    <xf borderId="2" fillId="0" fontId="7" numFmtId="0" xfId="0" applyAlignment="1" applyBorder="1" applyFont="1">
      <alignment horizontal="center" vertical="bottom"/>
    </xf>
    <xf borderId="2" fillId="2" fontId="7" numFmtId="168" xfId="0" applyAlignment="1" applyBorder="1" applyFont="1" applyNumberFormat="1">
      <alignment horizontal="right" vertical="bottom"/>
    </xf>
    <xf borderId="1" fillId="0" fontId="4" numFmtId="0" xfId="0" applyAlignment="1" applyBorder="1" applyFont="1">
      <alignment vertical="bottom"/>
    </xf>
    <xf borderId="3" fillId="0" fontId="4" numFmtId="0" xfId="0" applyAlignment="1" applyBorder="1" applyFont="1">
      <alignment readingOrder="0" shrinkToFit="0" vertical="bottom" wrapText="1"/>
    </xf>
    <xf borderId="3" fillId="0" fontId="4" numFmtId="0" xfId="0" applyAlignment="1" applyBorder="1" applyFont="1">
      <alignment vertical="bottom"/>
    </xf>
    <xf borderId="0" fillId="0" fontId="4" numFmtId="0" xfId="0" applyAlignment="1" applyFont="1">
      <alignment vertical="bottom"/>
    </xf>
    <xf borderId="0" fillId="0" fontId="9" numFmtId="0" xfId="0" applyAlignment="1" applyFont="1">
      <alignment horizontal="center" shrinkToFit="0" vertical="bottom" wrapText="1"/>
    </xf>
    <xf borderId="0" fillId="0" fontId="9" numFmtId="4" xfId="0" applyAlignment="1" applyFont="1" applyNumberFormat="1">
      <alignment horizontal="center" shrinkToFit="0" vertical="bottom" wrapText="1"/>
    </xf>
    <xf borderId="0" fillId="0" fontId="9" numFmtId="0" xfId="0" applyAlignment="1" applyFont="1">
      <alignment horizontal="center" vertical="bottom"/>
    </xf>
    <xf borderId="4" fillId="0" fontId="4" numFmtId="0" xfId="0" applyAlignment="1" applyBorder="1" applyFont="1">
      <alignment readingOrder="0" vertical="bottom"/>
    </xf>
    <xf borderId="2" fillId="0" fontId="4" numFmtId="4" xfId="0" applyAlignment="1" applyBorder="1" applyFont="1" applyNumberFormat="1">
      <alignment horizontal="right" readingOrder="0" vertical="bottom"/>
    </xf>
    <xf borderId="1" fillId="0" fontId="4" numFmtId="4" xfId="0" applyAlignment="1" applyBorder="1" applyFont="1" applyNumberFormat="1">
      <alignment horizontal="right" vertical="bottom"/>
    </xf>
    <xf borderId="1" fillId="3" fontId="6" numFmtId="4" xfId="0" applyAlignment="1" applyBorder="1" applyFill="1" applyFont="1" applyNumberFormat="1">
      <alignment readingOrder="0"/>
    </xf>
    <xf borderId="1" fillId="0" fontId="6" numFmtId="0" xfId="0" applyAlignment="1" applyBorder="1" applyFont="1">
      <alignment readingOrder="0"/>
    </xf>
    <xf borderId="0" fillId="0" fontId="6" numFmtId="3" xfId="0" applyAlignment="1" applyFont="1" applyNumberFormat="1">
      <alignment readingOrder="0"/>
    </xf>
    <xf borderId="0" fillId="0" fontId="10" numFmtId="3" xfId="0" applyFont="1" applyNumberFormat="1"/>
    <xf borderId="4" fillId="0" fontId="4" numFmtId="0" xfId="0" applyAlignment="1" applyBorder="1" applyFont="1">
      <alignment vertical="bottom"/>
    </xf>
    <xf borderId="2" fillId="0" fontId="4" numFmtId="4" xfId="0" applyAlignment="1" applyBorder="1" applyFont="1" applyNumberFormat="1">
      <alignment horizontal="right" vertical="bottom"/>
    </xf>
    <xf borderId="1" fillId="4" fontId="6" numFmtId="2" xfId="0" applyBorder="1" applyFill="1" applyFont="1" applyNumberFormat="1"/>
    <xf borderId="1" fillId="4" fontId="6" numFmtId="0" xfId="0" applyAlignment="1" applyBorder="1" applyFont="1">
      <alignment readingOrder="0"/>
    </xf>
    <xf borderId="2" fillId="2" fontId="11" numFmtId="4" xfId="0" applyAlignment="1" applyBorder="1" applyFont="1" applyNumberFormat="1">
      <alignment horizontal="right" vertical="bottom"/>
    </xf>
    <xf borderId="1" fillId="0" fontId="4" numFmtId="165" xfId="0" applyAlignment="1" applyBorder="1" applyFont="1" applyNumberFormat="1">
      <alignment vertical="bottom"/>
    </xf>
    <xf borderId="1" fillId="0" fontId="9" numFmtId="4" xfId="0" applyAlignment="1" applyBorder="1" applyFont="1" applyNumberFormat="1">
      <alignment horizontal="right" vertical="bottom"/>
    </xf>
    <xf borderId="0" fillId="0" fontId="4" numFmtId="165" xfId="0" applyAlignment="1" applyFont="1" applyNumberFormat="1">
      <alignment vertical="bottom"/>
    </xf>
    <xf borderId="0" fillId="0" fontId="4" numFmtId="4" xfId="0" applyAlignment="1" applyFont="1" applyNumberFormat="1">
      <alignment vertical="bottom"/>
    </xf>
    <xf borderId="0" fillId="2" fontId="12" numFmtId="2" xfId="0" applyAlignment="1" applyFont="1" applyNumberFormat="1">
      <alignment horizontal="center" vertical="bottom"/>
    </xf>
    <xf borderId="0" fillId="2" fontId="4" numFmtId="0" xfId="0" applyAlignment="1" applyFont="1">
      <alignment vertical="bottom"/>
    </xf>
    <xf borderId="1" fillId="0" fontId="6" numFmtId="0" xfId="0" applyAlignment="1" applyBorder="1" applyFont="1">
      <alignment readingOrder="0" shrinkToFit="0" wrapText="1"/>
    </xf>
    <xf borderId="0" fillId="2" fontId="6" numFmtId="0" xfId="0" applyFont="1"/>
    <xf borderId="0" fillId="0" fontId="6" numFmtId="0" xfId="0" applyAlignment="1" applyFont="1">
      <alignment readingOrder="0"/>
    </xf>
    <xf borderId="1" fillId="0" fontId="6" numFmtId="4" xfId="0" applyAlignment="1" applyBorder="1" applyFont="1" applyNumberFormat="1">
      <alignment readingOrder="0"/>
    </xf>
    <xf borderId="1" fillId="0" fontId="6" numFmtId="4" xfId="0" applyBorder="1" applyFont="1" applyNumberFormat="1"/>
    <xf borderId="0" fillId="2" fontId="6" numFmtId="0" xfId="0" applyAlignment="1" applyFont="1">
      <alignment readingOrder="0"/>
    </xf>
    <xf borderId="0" fillId="2" fontId="6" numFmtId="4" xfId="0" applyAlignment="1" applyFont="1" applyNumberFormat="1">
      <alignment readingOrder="0"/>
    </xf>
    <xf borderId="1" fillId="2" fontId="6" numFmtId="0" xfId="0" applyAlignment="1" applyBorder="1" applyFont="1">
      <alignment readingOrder="0"/>
    </xf>
    <xf borderId="0" fillId="2" fontId="13" numFmtId="4" xfId="0" applyAlignment="1" applyFont="1" applyNumberFormat="1">
      <alignment readingOrder="0"/>
    </xf>
    <xf borderId="1" fillId="2" fontId="14" numFmtId="0" xfId="0" applyAlignment="1" applyBorder="1" applyFont="1">
      <alignment horizontal="left" readingOrder="0"/>
    </xf>
    <xf borderId="1" fillId="2" fontId="15" numFmtId="0" xfId="0" applyAlignment="1" applyBorder="1" applyFont="1">
      <alignment readingOrder="0"/>
    </xf>
    <xf borderId="0" fillId="2" fontId="6" numFmtId="3" xfId="0" applyAlignment="1" applyFont="1" applyNumberFormat="1">
      <alignment readingOrder="0"/>
    </xf>
    <xf borderId="1" fillId="2" fontId="2" numFmtId="0" xfId="0" applyAlignment="1" applyBorder="1" applyFont="1">
      <alignment horizontal="left" readingOrder="0" vertical="bottom"/>
    </xf>
    <xf borderId="0" fillId="2" fontId="4" numFmtId="4" xfId="0" applyAlignment="1" applyFont="1" applyNumberFormat="1">
      <alignment horizontal="right" readingOrder="0" vertical="bottom"/>
    </xf>
    <xf borderId="0" fillId="2" fontId="4" numFmtId="4" xfId="0" applyAlignment="1" applyFont="1" applyNumberFormat="1">
      <alignment horizontal="right" vertical="bottom"/>
    </xf>
    <xf borderId="0" fillId="2" fontId="4" numFmtId="0" xfId="0" applyAlignment="1" applyFont="1">
      <alignment vertical="bottom"/>
    </xf>
    <xf borderId="1" fillId="2" fontId="16" numFmtId="0" xfId="0" applyAlignment="1" applyBorder="1" applyFont="1">
      <alignment readingOrder="0"/>
    </xf>
    <xf borderId="1" fillId="2" fontId="16" numFmtId="4" xfId="0" applyAlignment="1" applyBorder="1" applyFont="1" applyNumberFormat="1">
      <alignment readingOrder="0"/>
    </xf>
    <xf borderId="1" fillId="0" fontId="2" numFmtId="0" xfId="0" applyAlignment="1" applyBorder="1" applyFont="1">
      <alignment horizontal="left" vertical="bottom"/>
    </xf>
    <xf borderId="1" fillId="2" fontId="6" numFmtId="0" xfId="0" applyAlignment="1" applyBorder="1" applyFont="1">
      <alignment readingOrder="0" shrinkToFit="0" wrapText="1"/>
    </xf>
    <xf borderId="1" fillId="4" fontId="6" numFmtId="4" xfId="0" applyAlignment="1" applyBorder="1" applyFont="1" applyNumberFormat="1">
      <alignment readingOrder="0"/>
    </xf>
    <xf borderId="1" fillId="4" fontId="6" numFmtId="4" xfId="0" applyBorder="1" applyFont="1" applyNumberFormat="1"/>
    <xf borderId="1" fillId="4" fontId="6" numFmtId="3" xfId="0" applyAlignment="1" applyBorder="1" applyFont="1" applyNumberFormat="1">
      <alignment readingOrder="0"/>
    </xf>
    <xf borderId="1" fillId="0" fontId="10" numFmtId="0" xfId="0" applyAlignment="1" applyBorder="1" applyFont="1">
      <alignment horizontal="center" readingOrder="0" shrinkToFit="0" wrapText="1"/>
    </xf>
    <xf borderId="1" fillId="0" fontId="10" numFmtId="4" xfId="0" applyAlignment="1" applyBorder="1" applyFont="1" applyNumberFormat="1">
      <alignment horizontal="center" readingOrder="0" shrinkToFit="0" wrapText="1"/>
    </xf>
    <xf borderId="1" fillId="0" fontId="10" numFmtId="0" xfId="0" applyAlignment="1" applyBorder="1" applyFont="1">
      <alignment horizontal="center" readingOrder="0"/>
    </xf>
    <xf borderId="0" fillId="0" fontId="10" numFmtId="0" xfId="0" applyAlignment="1" applyFont="1">
      <alignment horizontal="center" readingOrder="0" shrinkToFit="0" wrapText="1"/>
    </xf>
    <xf borderId="0" fillId="0" fontId="10" numFmtId="4" xfId="0" applyAlignment="1" applyFont="1" applyNumberFormat="1">
      <alignment horizontal="center" readingOrder="0" shrinkToFit="0" wrapText="1"/>
    </xf>
    <xf borderId="0" fillId="0" fontId="10" numFmtId="0" xfId="0" applyAlignment="1" applyFont="1">
      <alignment horizontal="center" readingOrder="0"/>
    </xf>
    <xf borderId="1" fillId="2" fontId="4" numFmtId="0" xfId="0" applyAlignment="1" applyBorder="1" applyFont="1">
      <alignment vertical="bottom"/>
    </xf>
    <xf borderId="1" fillId="2" fontId="6" numFmtId="3" xfId="0" applyAlignment="1" applyBorder="1" applyFont="1" applyNumberFormat="1">
      <alignment readingOrder="0"/>
    </xf>
    <xf borderId="1" fillId="2" fontId="6" numFmtId="3" xfId="0" applyBorder="1" applyFont="1" applyNumberFormat="1"/>
    <xf borderId="0" fillId="2" fontId="6" numFmtId="3" xfId="0" applyFont="1" applyNumberFormat="1"/>
    <xf borderId="1" fillId="2" fontId="4" numFmtId="0" xfId="0" applyAlignment="1" applyBorder="1" applyFont="1">
      <alignment readingOrder="0" vertical="bottom"/>
    </xf>
    <xf borderId="1" fillId="0" fontId="10" numFmtId="0" xfId="0" applyAlignment="1" applyBorder="1" applyFont="1">
      <alignment readingOrder="0"/>
    </xf>
    <xf borderId="1" fillId="0" fontId="10" numFmtId="3" xfId="0" applyBorder="1" applyFont="1" applyNumberFormat="1"/>
    <xf borderId="1" fillId="0" fontId="10" numFmtId="0" xfId="0" applyBorder="1" applyFont="1"/>
    <xf borderId="0" fillId="0" fontId="10" numFmtId="0" xfId="0" applyAlignment="1" applyFont="1">
      <alignment readingOrder="0"/>
    </xf>
    <xf borderId="0" fillId="0" fontId="10" numFmtId="0" xfId="0" applyFont="1"/>
    <xf borderId="1" fillId="0" fontId="10" numFmtId="0" xfId="0" applyAlignment="1" applyBorder="1" applyFont="1">
      <alignment horizontal="center"/>
    </xf>
    <xf borderId="1" fillId="0" fontId="6" numFmtId="3" xfId="0" applyAlignment="1" applyBorder="1" applyFont="1" applyNumberFormat="1">
      <alignment readingOrder="0"/>
    </xf>
    <xf borderId="1" fillId="2" fontId="10" numFmtId="3" xfId="0" applyAlignment="1" applyBorder="1" applyFont="1" applyNumberFormat="1">
      <alignment readingOrder="0"/>
    </xf>
    <xf borderId="1" fillId="5" fontId="6" numFmtId="0" xfId="0" applyAlignment="1" applyBorder="1" applyFill="1" applyFont="1">
      <alignment readingOrder="0"/>
    </xf>
    <xf borderId="1" fillId="5" fontId="10" numFmtId="3" xfId="0" applyAlignment="1" applyBorder="1" applyFont="1" applyNumberFormat="1">
      <alignment readingOrder="0"/>
    </xf>
    <xf borderId="1" fillId="5" fontId="6" numFmtId="3" xfId="0" applyAlignment="1" applyBorder="1" applyFont="1" applyNumberFormat="1">
      <alignment readingOrder="0"/>
    </xf>
    <xf borderId="1" fillId="5" fontId="6" numFmtId="3" xfId="0" applyBorder="1" applyFont="1" applyNumberFormat="1"/>
    <xf borderId="0" fillId="5" fontId="6" numFmtId="0" xfId="0" applyFont="1"/>
    <xf borderId="1" fillId="6" fontId="10" numFmtId="3" xfId="0" applyAlignment="1" applyBorder="1" applyFill="1" applyFont="1" applyNumberFormat="1">
      <alignment readingOrder="0"/>
    </xf>
    <xf borderId="0" fillId="7" fontId="10" numFmtId="0" xfId="0" applyAlignment="1" applyFill="1" applyFont="1">
      <alignment readingOrder="0"/>
    </xf>
    <xf borderId="0" fillId="7" fontId="6" numFmtId="3" xfId="0" applyFont="1" applyNumberFormat="1"/>
    <xf borderId="0" fillId="7" fontId="6" numFmtId="3" xfId="0" applyAlignment="1" applyFont="1" applyNumberFormat="1">
      <alignment readingOrder="0"/>
    </xf>
    <xf borderId="0" fillId="0" fontId="6" numFmtId="3" xfId="0" applyFont="1" applyNumberFormat="1"/>
    <xf borderId="1" fillId="2" fontId="10" numFmtId="0" xfId="0" applyAlignment="1" applyBorder="1" applyFont="1">
      <alignment readingOrder="0"/>
    </xf>
    <xf borderId="0" fillId="7" fontId="6" numFmtId="0" xfId="0" applyFont="1"/>
    <xf borderId="1" fillId="2" fontId="10" numFmtId="4" xfId="0" applyAlignment="1" applyBorder="1" applyFont="1" applyNumberFormat="1">
      <alignment horizontal="center" readingOrder="0" shrinkToFit="0" wrapText="1"/>
    </xf>
    <xf borderId="1" fillId="2" fontId="10" numFmtId="0" xfId="0" applyAlignment="1" applyBorder="1" applyFont="1">
      <alignment horizontal="center" readingOrder="0"/>
    </xf>
    <xf borderId="0" fillId="2" fontId="4" numFmtId="3" xfId="0" applyAlignment="1" applyFont="1" applyNumberFormat="1">
      <alignment horizontal="right" vertical="bottom"/>
    </xf>
    <xf borderId="1" fillId="8" fontId="6" numFmtId="0" xfId="0" applyAlignment="1" applyBorder="1" applyFill="1" applyFont="1">
      <alignment readingOrder="0"/>
    </xf>
    <xf borderId="1" fillId="2" fontId="10" numFmtId="0" xfId="0" applyBorder="1" applyFont="1"/>
    <xf borderId="0" fillId="9" fontId="10" numFmtId="0" xfId="0" applyAlignment="1" applyFill="1" applyFont="1">
      <alignment readingOrder="0"/>
    </xf>
    <xf borderId="0" fillId="9" fontId="6" numFmtId="0" xfId="0" applyFont="1"/>
    <xf borderId="0" fillId="2" fontId="9" numFmtId="0" xfId="0" applyAlignment="1" applyFont="1">
      <alignment horizontal="center" shrinkToFit="0" vertical="bottom" wrapText="1"/>
    </xf>
    <xf borderId="0" fillId="2" fontId="9" numFmtId="4" xfId="0" applyAlignment="1" applyFont="1" applyNumberFormat="1">
      <alignment horizontal="center" shrinkToFit="0" vertical="bottom" wrapText="1"/>
    </xf>
    <xf borderId="0" fillId="2" fontId="9" numFmtId="0" xfId="0" applyAlignment="1" applyFont="1">
      <alignment horizontal="center" vertical="bottom"/>
    </xf>
    <xf borderId="1" fillId="2" fontId="17" numFmtId="0" xfId="0" applyAlignment="1" applyBorder="1" applyFont="1">
      <alignment readingOrder="0"/>
    </xf>
    <xf borderId="1" fillId="0" fontId="4" numFmtId="4" xfId="0" applyAlignment="1" applyBorder="1" applyFont="1" applyNumberFormat="1">
      <alignment horizontal="right" readingOrder="0" vertical="bottom"/>
    </xf>
    <xf borderId="1" fillId="2" fontId="6" numFmtId="4" xfId="0" applyAlignment="1" applyBorder="1" applyFont="1" applyNumberFormat="1">
      <alignment readingOrder="0"/>
    </xf>
    <xf borderId="0" fillId="2" fontId="9" numFmtId="3" xfId="0" applyAlignment="1" applyFont="1" applyNumberFormat="1">
      <alignment horizontal="right" vertical="bottom"/>
    </xf>
    <xf borderId="0" fillId="2" fontId="4" numFmtId="2" xfId="0" applyAlignment="1" applyFont="1" applyNumberFormat="1">
      <alignment horizontal="right" vertical="bottom"/>
    </xf>
    <xf borderId="4" fillId="2" fontId="18" numFmtId="0" xfId="0" applyAlignment="1" applyBorder="1" applyFont="1">
      <alignment horizontal="center" vertical="bottom"/>
    </xf>
    <xf borderId="4" fillId="2" fontId="11" numFmtId="0" xfId="0" applyAlignment="1" applyBorder="1" applyFont="1">
      <alignment vertical="bottom"/>
    </xf>
    <xf borderId="1" fillId="0" fontId="4" numFmtId="4" xfId="0" applyAlignment="1" applyBorder="1" applyFont="1" applyNumberFormat="1">
      <alignment vertical="bottom"/>
    </xf>
    <xf borderId="1" fillId="0" fontId="4" numFmtId="2" xfId="0" applyAlignment="1" applyBorder="1" applyFont="1" applyNumberFormat="1">
      <alignment vertical="bottom"/>
    </xf>
    <xf borderId="5" fillId="0" fontId="4" numFmtId="0" xfId="0" applyAlignment="1" applyBorder="1" applyFont="1">
      <alignment vertical="bottom"/>
    </xf>
    <xf borderId="4" fillId="0" fontId="4" numFmtId="2" xfId="0" applyAlignment="1" applyBorder="1" applyFont="1" applyNumberFormat="1">
      <alignment readingOrder="0" vertical="bottom"/>
    </xf>
    <xf borderId="6" fillId="0" fontId="4" numFmtId="4" xfId="0" applyAlignment="1" applyBorder="1" applyFont="1" applyNumberFormat="1">
      <alignment horizontal="right" vertical="bottom"/>
    </xf>
    <xf borderId="0" fillId="2" fontId="4" numFmtId="4" xfId="0" applyAlignment="1" applyFont="1" applyNumberFormat="1">
      <alignment vertical="bottom"/>
    </xf>
    <xf borderId="4" fillId="0" fontId="4" numFmtId="2" xfId="0" applyAlignment="1" applyBorder="1" applyFont="1" applyNumberFormat="1">
      <alignment vertical="bottom"/>
    </xf>
    <xf borderId="2" fillId="0" fontId="4" numFmtId="4" xfId="0" applyAlignment="1" applyBorder="1" applyFont="1" applyNumberFormat="1">
      <alignment vertical="bottom"/>
    </xf>
    <xf borderId="0" fillId="0" fontId="4" numFmtId="2" xfId="0" applyAlignment="1" applyFont="1" applyNumberFormat="1">
      <alignment vertical="bottom"/>
    </xf>
    <xf borderId="6" fillId="0" fontId="4" numFmtId="2" xfId="0" applyAlignment="1" applyBorder="1" applyFont="1" applyNumberFormat="1">
      <alignment vertical="bottom"/>
    </xf>
    <xf borderId="6" fillId="0" fontId="4" numFmtId="4" xfId="0" applyAlignment="1" applyBorder="1" applyFont="1" applyNumberFormat="1">
      <alignment vertical="bottom"/>
    </xf>
    <xf borderId="6" fillId="0" fontId="4" numFmtId="0" xfId="0" applyAlignment="1" applyBorder="1" applyFont="1">
      <alignment vertical="bottom"/>
    </xf>
    <xf borderId="2" fillId="0" fontId="4" numFmtId="0" xfId="0" applyAlignment="1" applyBorder="1" applyFont="1">
      <alignment horizontal="right" readingOrder="0" vertical="bottom"/>
    </xf>
    <xf borderId="2" fillId="4" fontId="4" numFmtId="2" xfId="0" applyAlignment="1" applyBorder="1" applyFont="1" applyNumberFormat="1">
      <alignment horizontal="right" vertical="bottom"/>
    </xf>
    <xf borderId="0" fillId="2" fontId="4" numFmtId="2" xfId="0" applyAlignment="1" applyFont="1" applyNumberFormat="1">
      <alignment vertical="bottom"/>
    </xf>
    <xf borderId="1" fillId="6" fontId="6" numFmtId="0" xfId="0" applyAlignment="1" applyBorder="1" applyFont="1">
      <alignment readingOrder="0"/>
    </xf>
    <xf borderId="1" fillId="6" fontId="6" numFmtId="4" xfId="0" applyAlignment="1" applyBorder="1" applyFont="1" applyNumberFormat="1">
      <alignment readingOrder="0"/>
    </xf>
    <xf borderId="1" fillId="6" fontId="6" numFmtId="3" xfId="0" applyAlignment="1" applyBorder="1" applyFont="1" applyNumberFormat="1">
      <alignment readingOrder="0"/>
    </xf>
    <xf borderId="1" fillId="6" fontId="6" numFmtId="4" xfId="0" applyBorder="1" applyFont="1" applyNumberFormat="1"/>
    <xf borderId="0" fillId="2" fontId="19" numFmtId="0" xfId="0" applyAlignment="1" applyFont="1">
      <alignment readingOrder="0"/>
    </xf>
    <xf borderId="7" fillId="0" fontId="4" numFmtId="0" xfId="0" applyAlignment="1" applyBorder="1" applyFont="1">
      <alignment vertical="bottom"/>
    </xf>
    <xf borderId="2" fillId="2" fontId="20" numFmtId="0" xfId="0" applyAlignment="1" applyBorder="1" applyFont="1">
      <alignment readingOrder="0" vertical="bottom"/>
    </xf>
    <xf borderId="2" fillId="10" fontId="4" numFmtId="4" xfId="0" applyAlignment="1" applyBorder="1" applyFill="1" applyFont="1" applyNumberFormat="1">
      <alignment horizontal="right" vertical="bottom"/>
    </xf>
    <xf borderId="0" fillId="0" fontId="6" numFmtId="2" xfId="0" applyAlignment="1" applyFont="1" applyNumberFormat="1">
      <alignment horizontal="center" readingOrder="0"/>
    </xf>
    <xf borderId="1" fillId="2" fontId="6" numFmtId="4" xfId="0" applyBorder="1" applyFont="1" applyNumberFormat="1"/>
    <xf borderId="0" fillId="2" fontId="4" numFmtId="169" xfId="0" applyAlignment="1" applyFont="1" applyNumberFormat="1">
      <alignment horizontal="center" vertical="bottom"/>
    </xf>
    <xf borderId="1" fillId="2" fontId="6" numFmtId="0" xfId="0" applyAlignment="1" applyBorder="1" applyFont="1">
      <alignment horizontal="left" readingOrder="0"/>
    </xf>
    <xf borderId="0" fillId="2" fontId="4" numFmtId="4" xfId="0" applyAlignment="1" applyFont="1" applyNumberFormat="1">
      <alignment horizontal="center" vertical="bottom"/>
    </xf>
    <xf borderId="0" fillId="2" fontId="4" numFmtId="2" xfId="0" applyAlignment="1" applyFont="1" applyNumberFormat="1">
      <alignment horizontal="center" readingOrder="0" vertical="bottom"/>
    </xf>
    <xf borderId="0" fillId="2" fontId="10" numFmtId="4" xfId="0" applyFont="1" applyNumberFormat="1"/>
    <xf borderId="0" fillId="2" fontId="10" numFmtId="0" xfId="0" applyAlignment="1" applyFont="1">
      <alignment readingOrder="0"/>
    </xf>
    <xf borderId="0" fillId="2" fontId="9" numFmtId="4" xfId="0" applyAlignment="1" applyFont="1" applyNumberFormat="1">
      <alignment horizontal="right" vertical="bottom"/>
    </xf>
    <xf borderId="0" fillId="2" fontId="9" numFmtId="0" xfId="0" applyAlignment="1" applyFont="1">
      <alignment vertical="bottom"/>
    </xf>
    <xf borderId="0" fillId="2" fontId="9" numFmtId="2" xfId="0" applyAlignment="1" applyFont="1" applyNumberFormat="1">
      <alignment horizontal="center" vertical="bottom"/>
    </xf>
    <xf borderId="0" fillId="0" fontId="4" numFmtId="2" xfId="0" applyAlignment="1" applyFont="1" applyNumberFormat="1">
      <alignment horizontal="center" vertical="bottom"/>
    </xf>
    <xf borderId="1" fillId="4" fontId="4" numFmtId="2" xfId="0" applyAlignment="1" applyBorder="1" applyFont="1" applyNumberFormat="1">
      <alignment horizontal="right" readingOrder="0" vertical="bottom"/>
    </xf>
    <xf borderId="1" fillId="4" fontId="4" numFmtId="0" xfId="0" applyAlignment="1" applyBorder="1" applyFont="1">
      <alignment vertical="bottom"/>
    </xf>
    <xf borderId="0" fillId="0" fontId="6" numFmtId="2" xfId="0" applyAlignment="1" applyFont="1" applyNumberFormat="1">
      <alignment horizontal="center"/>
    </xf>
    <xf borderId="1" fillId="2" fontId="13" numFmtId="4" xfId="0" applyAlignment="1" applyBorder="1" applyFont="1" applyNumberFormat="1">
      <alignment readingOrder="0"/>
    </xf>
    <xf borderId="0" fillId="0" fontId="6" numFmtId="4" xfId="0" applyAlignment="1" applyFont="1" applyNumberFormat="1">
      <alignment readingOrder="0"/>
    </xf>
    <xf borderId="0" fillId="0" fontId="6" numFmtId="4" xfId="0" applyFont="1" applyNumberFormat="1"/>
    <xf borderId="0" fillId="0" fontId="6" numFmtId="0" xfId="0" applyAlignment="1" applyFont="1">
      <alignment horizontal="center"/>
    </xf>
    <xf borderId="0" fillId="2" fontId="21" numFmtId="0" xfId="0" applyAlignment="1" applyFont="1">
      <alignment horizontal="center" readingOrder="0"/>
    </xf>
    <xf borderId="0" fillId="0" fontId="21" numFmtId="0" xfId="0" applyAlignment="1" applyFont="1">
      <alignment horizontal="center" readingOrder="0"/>
    </xf>
    <xf borderId="0" fillId="2" fontId="10" numFmtId="0" xfId="0" applyAlignment="1" applyFont="1">
      <alignment horizontal="center" readingOrder="0"/>
    </xf>
    <xf borderId="8" fillId="11" fontId="10" numFmtId="0" xfId="0" applyAlignment="1" applyBorder="1" applyFill="1" applyFont="1">
      <alignment horizontal="center" readingOrder="0"/>
    </xf>
    <xf borderId="3" fillId="0" fontId="22" numFmtId="0" xfId="0" applyBorder="1" applyFont="1"/>
    <xf borderId="1" fillId="11" fontId="10" numFmtId="0" xfId="0" applyAlignment="1" applyBorder="1" applyFont="1">
      <alignment horizontal="center" readingOrder="0"/>
    </xf>
    <xf borderId="3" fillId="4" fontId="6" numFmtId="0" xfId="0" applyAlignment="1" applyBorder="1" applyFont="1">
      <alignment readingOrder="0"/>
    </xf>
    <xf borderId="3" fillId="11" fontId="9" numFmtId="0" xfId="0" applyAlignment="1" applyBorder="1" applyFont="1">
      <alignment horizontal="center" vertical="bottom"/>
    </xf>
    <xf borderId="3" fillId="12" fontId="9" numFmtId="4" xfId="0" applyAlignment="1" applyBorder="1" applyFill="1" applyFont="1" applyNumberFormat="1">
      <alignment horizontal="center" vertical="bottom"/>
    </xf>
    <xf borderId="3" fillId="12" fontId="9" numFmtId="0" xfId="0" applyAlignment="1" applyBorder="1" applyFont="1">
      <alignment horizontal="center" vertical="bottom"/>
    </xf>
    <xf borderId="1" fillId="4" fontId="6" numFmtId="0" xfId="0" applyBorder="1" applyFont="1"/>
    <xf borderId="1" fillId="11" fontId="9" numFmtId="0" xfId="0" applyAlignment="1" applyBorder="1" applyFont="1">
      <alignment horizontal="center" vertical="bottom"/>
    </xf>
    <xf borderId="3" fillId="11" fontId="9" numFmtId="0" xfId="0" applyAlignment="1" applyBorder="1" applyFont="1">
      <alignment horizontal="center" vertical="bottom"/>
    </xf>
    <xf borderId="1" fillId="9" fontId="6" numFmtId="0" xfId="0" applyBorder="1" applyFont="1"/>
    <xf borderId="3" fillId="11" fontId="9" numFmtId="0" xfId="0" applyAlignment="1" applyBorder="1" applyFont="1">
      <alignment horizontal="center" readingOrder="0" vertical="bottom"/>
    </xf>
    <xf borderId="3" fillId="4" fontId="9" numFmtId="0" xfId="0" applyAlignment="1" applyBorder="1" applyFont="1">
      <alignment horizontal="center" vertical="bottom"/>
    </xf>
    <xf borderId="3" fillId="12" fontId="9" numFmtId="0" xfId="0" applyAlignment="1" applyBorder="1" applyFont="1">
      <alignment horizontal="center" vertical="bottom"/>
    </xf>
    <xf borderId="1" fillId="12" fontId="9" numFmtId="0" xfId="0" applyAlignment="1" applyBorder="1" applyFont="1">
      <alignment horizontal="center" readingOrder="0" vertical="bottom"/>
    </xf>
    <xf borderId="0" fillId="9" fontId="9" numFmtId="0" xfId="0" applyAlignment="1" applyFont="1">
      <alignment horizontal="center" vertical="bottom"/>
    </xf>
    <xf borderId="8" fillId="11" fontId="10" numFmtId="0" xfId="0" applyAlignment="1" applyBorder="1" applyFont="1">
      <alignment horizontal="center" readingOrder="0" vertical="center"/>
    </xf>
    <xf borderId="1" fillId="2" fontId="6" numFmtId="168" xfId="0" applyAlignment="1" applyBorder="1" applyFont="1" applyNumberFormat="1">
      <alignment horizontal="center" readingOrder="0" vertical="center"/>
    </xf>
    <xf borderId="2" fillId="4" fontId="6" numFmtId="168" xfId="0" applyBorder="1" applyFont="1" applyNumberFormat="1"/>
    <xf borderId="2" fillId="2" fontId="4" numFmtId="168" xfId="0" applyAlignment="1" applyBorder="1" applyFont="1" applyNumberFormat="1">
      <alignment horizontal="center" readingOrder="0" vertical="bottom"/>
    </xf>
    <xf borderId="1" fillId="4" fontId="6" numFmtId="168" xfId="0" applyBorder="1" applyFont="1" applyNumberFormat="1"/>
    <xf borderId="4" fillId="2" fontId="4" numFmtId="168" xfId="0" applyAlignment="1" applyBorder="1" applyFont="1" applyNumberFormat="1">
      <alignment horizontal="center" readingOrder="0" vertical="bottom"/>
    </xf>
    <xf borderId="1" fillId="9" fontId="6" numFmtId="168" xfId="0" applyBorder="1" applyFont="1" applyNumberFormat="1"/>
    <xf borderId="1" fillId="2" fontId="4" numFmtId="168" xfId="0" applyAlignment="1" applyBorder="1" applyFont="1" applyNumberFormat="1">
      <alignment horizontal="center" readingOrder="0" vertical="bottom"/>
    </xf>
    <xf borderId="3" fillId="2" fontId="4" numFmtId="168" xfId="0" applyAlignment="1" applyBorder="1" applyFont="1" applyNumberFormat="1">
      <alignment horizontal="center" readingOrder="0" vertical="bottom"/>
    </xf>
    <xf borderId="3" fillId="0" fontId="4" numFmtId="168" xfId="0" applyAlignment="1" applyBorder="1" applyFont="1" applyNumberFormat="1">
      <alignment horizontal="center" readingOrder="0" vertical="bottom"/>
    </xf>
    <xf borderId="1" fillId="0" fontId="4" numFmtId="168" xfId="0" applyAlignment="1" applyBorder="1" applyFont="1" applyNumberFormat="1">
      <alignment horizontal="center" readingOrder="0" vertical="bottom"/>
    </xf>
    <xf borderId="0" fillId="9" fontId="4" numFmtId="4" xfId="0" applyAlignment="1" applyFont="1" applyNumberFormat="1">
      <alignment horizontal="right" vertical="bottom"/>
    </xf>
    <xf borderId="1" fillId="2" fontId="6" numFmtId="168" xfId="0" applyAlignment="1" applyBorder="1" applyFont="1" applyNumberFormat="1">
      <alignment horizontal="center" readingOrder="0"/>
    </xf>
    <xf borderId="1" fillId="4" fontId="6" numFmtId="168" xfId="0" applyAlignment="1" applyBorder="1" applyFont="1" applyNumberFormat="1">
      <alignment horizontal="center" readingOrder="0"/>
    </xf>
    <xf borderId="1" fillId="9" fontId="6" numFmtId="168" xfId="0" applyAlignment="1" applyBorder="1" applyFont="1" applyNumberFormat="1">
      <alignment horizontal="center" readingOrder="0"/>
    </xf>
    <xf borderId="1" fillId="0" fontId="6" numFmtId="168" xfId="0" applyAlignment="1" applyBorder="1" applyFont="1" applyNumberFormat="1">
      <alignment horizontal="center" readingOrder="0"/>
    </xf>
    <xf borderId="1" fillId="0" fontId="6" numFmtId="168" xfId="0" applyAlignment="1" applyBorder="1" applyFont="1" applyNumberFormat="1">
      <alignment horizontal="center" readingOrder="0" vertical="center"/>
    </xf>
    <xf borderId="2" fillId="0" fontId="4" numFmtId="168" xfId="0" applyAlignment="1" applyBorder="1" applyFont="1" applyNumberFormat="1">
      <alignment horizontal="center" readingOrder="0" vertical="bottom"/>
    </xf>
    <xf borderId="4" fillId="0" fontId="4" numFmtId="168" xfId="0" applyAlignment="1" applyBorder="1" applyFont="1" applyNumberFormat="1">
      <alignment horizontal="center" readingOrder="0" vertical="bottom"/>
    </xf>
    <xf borderId="9" fillId="11" fontId="10" numFmtId="0" xfId="0" applyAlignment="1" applyBorder="1" applyFont="1">
      <alignment horizontal="center" readingOrder="0" vertical="center"/>
    </xf>
    <xf borderId="1" fillId="3" fontId="6" numFmtId="168" xfId="0" applyAlignment="1" applyBorder="1" applyFont="1" applyNumberFormat="1">
      <alignment horizontal="center" readingOrder="0"/>
    </xf>
    <xf borderId="1" fillId="3" fontId="6" numFmtId="168" xfId="0" applyAlignment="1" applyBorder="1" applyFont="1" applyNumberFormat="1">
      <alignment horizontal="center" readingOrder="0" vertical="center"/>
    </xf>
    <xf borderId="1" fillId="3" fontId="6" numFmtId="168" xfId="0" applyAlignment="1" applyBorder="1" applyFont="1" applyNumberFormat="1">
      <alignment horizontal="center"/>
    </xf>
    <xf borderId="4" fillId="3" fontId="4" numFmtId="168" xfId="0" applyAlignment="1" applyBorder="1" applyFont="1" applyNumberFormat="1">
      <alignment horizontal="center" vertical="bottom"/>
    </xf>
    <xf borderId="2" fillId="3" fontId="4" numFmtId="168" xfId="0" applyAlignment="1" applyBorder="1" applyFont="1" applyNumberFormat="1">
      <alignment horizontal="center" vertical="bottom"/>
    </xf>
    <xf borderId="10" fillId="0" fontId="22" numFmtId="0" xfId="0" applyBorder="1" applyFont="1"/>
    <xf borderId="1" fillId="3" fontId="6" numFmtId="4" xfId="0" applyAlignment="1" applyBorder="1" applyFont="1" applyNumberFormat="1">
      <alignment horizontal="center" readingOrder="0"/>
    </xf>
    <xf borderId="4" fillId="0" fontId="22" numFmtId="0" xfId="0" applyBorder="1" applyFont="1"/>
    <xf borderId="4" fillId="3" fontId="4" numFmtId="168" xfId="0" applyAlignment="1" applyBorder="1" applyFont="1" applyNumberFormat="1">
      <alignment horizontal="center" readingOrder="0" vertical="bottom"/>
    </xf>
    <xf borderId="1" fillId="11" fontId="10" numFmtId="0" xfId="0" applyAlignment="1" applyBorder="1" applyFont="1">
      <alignment horizontal="center" readingOrder="0" vertical="center"/>
    </xf>
    <xf borderId="8" fillId="13" fontId="10" numFmtId="0" xfId="0" applyAlignment="1" applyBorder="1" applyFill="1" applyFont="1">
      <alignment horizontal="right" readingOrder="0"/>
    </xf>
    <xf borderId="1" fillId="13" fontId="10" numFmtId="168" xfId="0" applyAlignment="1" applyBorder="1" applyFont="1" applyNumberFormat="1">
      <alignment horizontal="center"/>
    </xf>
    <xf borderId="1" fillId="4" fontId="10" numFmtId="168" xfId="0" applyAlignment="1" applyBorder="1" applyFont="1" applyNumberFormat="1">
      <alignment horizontal="center"/>
    </xf>
    <xf borderId="0" fillId="9" fontId="10" numFmtId="0" xfId="0" applyAlignment="1" applyFont="1">
      <alignment horizontal="center"/>
    </xf>
    <xf borderId="0" fillId="2" fontId="10" numFmtId="168" xfId="0" applyAlignment="1" applyFont="1" applyNumberFormat="1">
      <alignment horizontal="center"/>
    </xf>
    <xf borderId="0" fillId="0" fontId="6" numFmtId="0" xfId="0" applyAlignment="1" applyFont="1">
      <alignment horizontal="center" readingOrder="0"/>
    </xf>
    <xf borderId="0" fillId="0" fontId="6" numFmtId="168" xfId="0" applyAlignment="1" applyFont="1" applyNumberFormat="1">
      <alignment horizontal="center"/>
    </xf>
    <xf borderId="0" fillId="2" fontId="6" numFmtId="168" xfId="0" applyAlignment="1" applyFont="1" applyNumberFormat="1">
      <alignment horizontal="center"/>
    </xf>
    <xf borderId="0" fillId="2" fontId="6" numFmtId="168" xfId="0" applyFont="1" applyNumberFormat="1"/>
    <xf borderId="1" fillId="0" fontId="6" numFmtId="168" xfId="0" applyAlignment="1" applyBorder="1" applyFont="1" applyNumberFormat="1">
      <alignment horizontal="center"/>
    </xf>
    <xf borderId="1" fillId="0" fontId="6" numFmtId="168" xfId="0" applyBorder="1" applyFont="1" applyNumberFormat="1"/>
    <xf borderId="1" fillId="3" fontId="23" numFmtId="168" xfId="0" applyAlignment="1" applyBorder="1" applyFont="1" applyNumberFormat="1">
      <alignment horizontal="center"/>
    </xf>
    <xf borderId="0" fillId="9" fontId="23" numFmtId="0" xfId="0" applyAlignment="1" applyFont="1">
      <alignment horizontal="center"/>
    </xf>
    <xf borderId="0" fillId="2" fontId="23" numFmtId="168" xfId="0" applyAlignment="1" applyFont="1" applyNumberFormat="1">
      <alignment horizontal="center"/>
    </xf>
    <xf borderId="0" fillId="2" fontId="23" numFmtId="0" xfId="0" applyAlignment="1" applyFont="1">
      <alignment horizontal="center"/>
    </xf>
    <xf borderId="0" fillId="2" fontId="4" numFmtId="4" xfId="0" applyAlignment="1" applyFont="1" applyNumberFormat="1">
      <alignment horizontal="left" readingOrder="0" vertical="bottom"/>
    </xf>
    <xf borderId="0" fillId="2" fontId="9" numFmtId="0" xfId="0" applyAlignment="1" applyFont="1">
      <alignment horizontal="center"/>
    </xf>
    <xf borderId="0" fillId="2" fontId="9" numFmtId="0" xfId="0" applyAlignment="1" applyFont="1">
      <alignment horizontal="right" vertical="bottom"/>
    </xf>
    <xf borderId="0" fillId="2" fontId="6" numFmtId="4" xfId="0" applyFont="1" applyNumberFormat="1"/>
    <xf borderId="1" fillId="0" fontId="6" numFmtId="0" xfId="0" applyAlignment="1" applyBorder="1" applyFont="1">
      <alignment horizontal="center" readingOrder="0"/>
    </xf>
    <xf borderId="1" fillId="0" fontId="6" numFmtId="4" xfId="0" applyAlignment="1" applyBorder="1" applyFont="1" applyNumberFormat="1">
      <alignment horizontal="center" readingOrder="0"/>
    </xf>
    <xf borderId="0" fillId="0" fontId="6" numFmtId="0" xfId="0" applyAlignment="1" applyFont="1">
      <alignment shrinkToFit="0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wrapText="1"/>
    </xf>
    <xf borderId="1" fillId="4" fontId="10" numFmtId="0" xfId="0" applyAlignment="1" applyBorder="1" applyFont="1">
      <alignment horizontal="center" readingOrder="0" shrinkToFit="0" wrapText="1"/>
    </xf>
    <xf borderId="1" fillId="2" fontId="15" numFmtId="4" xfId="0" applyAlignment="1" applyBorder="1" applyFont="1" applyNumberFormat="1">
      <alignment readingOrder="0"/>
    </xf>
    <xf borderId="1" fillId="2" fontId="6" numFmtId="0" xfId="0" applyAlignment="1" applyBorder="1" applyFont="1">
      <alignment horizontal="center" readingOrder="0"/>
    </xf>
    <xf borderId="1" fillId="4" fontId="24" numFmtId="4" xfId="0" applyAlignment="1" applyBorder="1" applyFont="1" applyNumberFormat="1">
      <alignment horizontal="center"/>
    </xf>
    <xf borderId="1" fillId="2" fontId="6" numFmtId="0" xfId="0" applyBorder="1" applyFont="1"/>
    <xf borderId="1" fillId="0" fontId="6" numFmtId="2" xfId="0" applyAlignment="1" applyBorder="1" applyFont="1" applyNumberFormat="1">
      <alignment horizontal="center" readingOrder="0"/>
    </xf>
    <xf borderId="1" fillId="8" fontId="6" numFmtId="4" xfId="0" applyAlignment="1" applyBorder="1" applyFont="1" applyNumberFormat="1">
      <alignment readingOrder="0"/>
    </xf>
    <xf borderId="1" fillId="4" fontId="10" numFmtId="4" xfId="0" applyAlignment="1" applyBorder="1" applyFont="1" applyNumberFormat="1">
      <alignment horizontal="center"/>
    </xf>
    <xf borderId="8" fillId="4" fontId="6" numFmtId="0" xfId="0" applyAlignment="1" applyBorder="1" applyFont="1">
      <alignment readingOrder="0" shrinkToFit="0" wrapText="1"/>
    </xf>
    <xf borderId="5" fillId="0" fontId="22" numFmtId="0" xfId="0" applyBorder="1" applyFont="1"/>
    <xf borderId="1" fillId="4" fontId="6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readingOrder="0"/>
    </xf>
    <xf borderId="8" fillId="14" fontId="10" numFmtId="0" xfId="0" applyAlignment="1" applyBorder="1" applyFill="1" applyFont="1">
      <alignment horizontal="center" readingOrder="0" shrinkToFit="0" wrapText="1"/>
    </xf>
    <xf borderId="0" fillId="2" fontId="10" numFmtId="0" xfId="0" applyAlignment="1" applyFont="1">
      <alignment horizontal="center" readingOrder="0" shrinkToFit="0" wrapText="1"/>
    </xf>
    <xf borderId="1" fillId="2" fontId="10" numFmtId="0" xfId="0" applyAlignment="1" applyBorder="1" applyFont="1">
      <alignment horizontal="center" readingOrder="0" shrinkToFit="0" wrapText="1"/>
    </xf>
    <xf borderId="1" fillId="2" fontId="10" numFmtId="4" xfId="0" applyAlignment="1" applyBorder="1" applyFont="1" applyNumberFormat="1">
      <alignment horizontal="center" readingOrder="0"/>
    </xf>
    <xf borderId="0" fillId="2" fontId="10" numFmtId="4" xfId="0" applyAlignment="1" applyFont="1" applyNumberFormat="1">
      <alignment horizontal="center" readingOrder="0"/>
    </xf>
    <xf borderId="1" fillId="2" fontId="6" numFmtId="4" xfId="0" applyAlignment="1" applyBorder="1" applyFont="1" applyNumberFormat="1">
      <alignment horizontal="right" readingOrder="0"/>
    </xf>
    <xf borderId="1" fillId="0" fontId="25" numFmtId="0" xfId="0" applyAlignment="1" applyBorder="1" applyFont="1">
      <alignment horizontal="left" readingOrder="0" vertical="top"/>
    </xf>
    <xf borderId="1" fillId="9" fontId="10" numFmtId="0" xfId="0" applyAlignment="1" applyBorder="1" applyFont="1">
      <alignment shrinkToFit="0" wrapText="1"/>
    </xf>
    <xf borderId="1" fillId="9" fontId="10" numFmtId="4" xfId="0" applyBorder="1" applyFont="1" applyNumberFormat="1"/>
    <xf borderId="1" fillId="9" fontId="10" numFmtId="0" xfId="0" applyAlignment="1" applyBorder="1" applyFont="1">
      <alignment readingOrder="0"/>
    </xf>
    <xf borderId="0" fillId="2" fontId="10" numFmtId="4" xfId="0" applyAlignment="1" applyFont="1" applyNumberFormat="1">
      <alignment readingOrder="0"/>
    </xf>
    <xf borderId="0" fillId="0" fontId="6" numFmtId="4" xfId="0" applyAlignment="1" applyFont="1" applyNumberFormat="1">
      <alignment horizontal="center"/>
    </xf>
    <xf borderId="0" fillId="2" fontId="6" numFmtId="4" xfId="0" applyAlignment="1" applyFont="1" applyNumberFormat="1">
      <alignment horizontal="center" readingOrder="0"/>
    </xf>
    <xf borderId="0" fillId="2" fontId="6" numFmtId="0" xfId="0" applyAlignment="1" applyFont="1">
      <alignment horizontal="center"/>
    </xf>
    <xf borderId="1" fillId="9" fontId="10" numFmtId="0" xfId="0" applyBorder="1" applyFont="1"/>
    <xf borderId="1" fillId="0" fontId="10" numFmtId="0" xfId="0" applyAlignment="1" applyBorder="1" applyFont="1">
      <alignment horizontal="center" readingOrder="0" vertical="center"/>
    </xf>
    <xf borderId="1" fillId="4" fontId="10" numFmtId="4" xfId="0" applyAlignment="1" applyBorder="1" applyFont="1" applyNumberFormat="1">
      <alignment horizontal="center" readingOrder="0"/>
    </xf>
    <xf borderId="0" fillId="3" fontId="6" numFmtId="0" xfId="0" applyFont="1"/>
    <xf borderId="8" fillId="4" fontId="6" numFmtId="0" xfId="0" applyAlignment="1" applyBorder="1" applyFont="1">
      <alignment readingOrder="0"/>
    </xf>
    <xf borderId="1" fillId="2" fontId="26" numFmtId="0" xfId="0" applyAlignment="1" applyBorder="1" applyFont="1">
      <alignment horizontal="center" readingOrder="0" shrinkToFit="0" wrapText="1"/>
    </xf>
    <xf borderId="1" fillId="2" fontId="26" numFmtId="0" xfId="0" applyAlignment="1" applyBorder="1" applyFont="1">
      <alignment horizontal="center" shrinkToFit="0" wrapText="1"/>
    </xf>
    <xf borderId="1" fillId="4" fontId="6" numFmtId="4" xfId="0" applyAlignment="1" applyBorder="1" applyFont="1" applyNumberFormat="1">
      <alignment horizontal="center" readingOrder="0"/>
    </xf>
    <xf borderId="1" fillId="4" fontId="10" numFmtId="0" xfId="0" applyAlignment="1" applyBorder="1" applyFont="1">
      <alignment shrinkToFit="0" wrapText="1"/>
    </xf>
    <xf borderId="1" fillId="4" fontId="10" numFmtId="4" xfId="0" applyAlignment="1" applyBorder="1" applyFont="1" applyNumberFormat="1">
      <alignment readingOrder="0"/>
    </xf>
    <xf borderId="1" fillId="4" fontId="10" numFmtId="0" xfId="0" applyAlignment="1" applyBorder="1" applyFont="1">
      <alignment horizontal="center" readingOrder="0"/>
    </xf>
    <xf borderId="1" fillId="4" fontId="10" numFmtId="4" xfId="0" applyBorder="1" applyFont="1" applyNumberFormat="1"/>
    <xf borderId="0" fillId="2" fontId="6" numFmtId="0" xfId="0" applyAlignment="1" applyFont="1">
      <alignment shrinkToFit="0" wrapText="1"/>
    </xf>
    <xf borderId="1" fillId="2" fontId="13" numFmtId="0" xfId="0" applyAlignment="1" applyBorder="1" applyFont="1">
      <alignment readingOrder="0" shrinkToFit="0" wrapText="1"/>
    </xf>
    <xf borderId="1" fillId="2" fontId="26" numFmtId="0" xfId="0" applyAlignment="1" applyBorder="1" applyFont="1">
      <alignment horizontal="center" vertical="bottom"/>
    </xf>
    <xf borderId="0" fillId="2" fontId="13" numFmtId="0" xfId="0" applyAlignment="1" applyFont="1">
      <alignment readingOrder="0"/>
    </xf>
    <xf borderId="8" fillId="4" fontId="10" numFmtId="0" xfId="0" applyAlignment="1" applyBorder="1" applyFont="1">
      <alignment readingOrder="0" shrinkToFit="0" wrapText="1"/>
    </xf>
    <xf borderId="0" fillId="0" fontId="6" numFmtId="4" xfId="0" applyAlignment="1" applyFont="1" applyNumberFormat="1">
      <alignment horizontal="center" readingOrder="0"/>
    </xf>
    <xf borderId="8" fillId="4" fontId="10" numFmtId="0" xfId="0" applyAlignment="1" applyBorder="1" applyFont="1">
      <alignment readingOrder="0"/>
    </xf>
    <xf borderId="1" fillId="4" fontId="10" numFmtId="0" xfId="0" applyAlignment="1" applyBorder="1" applyFont="1">
      <alignment readingOrder="0"/>
    </xf>
    <xf borderId="1" fillId="2" fontId="14" numFmtId="0" xfId="0" applyAlignment="1" applyBorder="1" applyFont="1">
      <alignment horizontal="left" readingOrder="0" shrinkToFit="0" wrapText="1"/>
    </xf>
    <xf borderId="1" fillId="0" fontId="6" numFmtId="4" xfId="0" applyAlignment="1" applyBorder="1" applyFont="1" applyNumberFormat="1">
      <alignment readingOrder="0" shrinkToFit="0" wrapText="1"/>
    </xf>
    <xf borderId="0" fillId="2" fontId="27" numFmtId="0" xfId="0" applyAlignment="1" applyFont="1">
      <alignment horizontal="left" readingOrder="0"/>
    </xf>
    <xf borderId="1" fillId="0" fontId="6" numFmtId="4" xfId="0" applyAlignment="1" applyBorder="1" applyFont="1" applyNumberFormat="1">
      <alignment shrinkToFit="0" wrapText="1"/>
    </xf>
    <xf borderId="1" fillId="0" fontId="6" numFmtId="0" xfId="0" applyAlignment="1" applyBorder="1" applyFont="1">
      <alignment shrinkToFit="0" wrapText="1"/>
    </xf>
    <xf borderId="1" fillId="2" fontId="27" numFmtId="0" xfId="0" applyAlignment="1" applyBorder="1" applyFont="1">
      <alignment horizontal="left" readingOrder="0"/>
    </xf>
    <xf borderId="0" fillId="0" fontId="6" numFmtId="0" xfId="0" applyAlignment="1" applyFont="1">
      <alignment readingOrder="0" shrinkToFit="0" wrapText="1"/>
    </xf>
    <xf borderId="1" fillId="0" fontId="6" numFmtId="170" xfId="0" applyAlignment="1" applyBorder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2" fontId="11" numFmtId="0" xfId="0" applyAlignment="1" applyFont="1">
      <alignment shrinkToFit="0" wrapText="1"/>
    </xf>
    <xf borderId="1" fillId="2" fontId="28" numFmtId="0" xfId="0" applyAlignment="1" applyBorder="1" applyFont="1">
      <alignment horizontal="left" readingOrder="0"/>
    </xf>
    <xf borderId="1" fillId="4" fontId="10" numFmtId="0" xfId="0" applyAlignment="1" applyBorder="1" applyFont="1">
      <alignment readingOrder="0" shrinkToFit="0" wrapText="1"/>
    </xf>
    <xf borderId="1" fillId="9" fontId="10" numFmtId="4" xfId="0" applyAlignment="1" applyBorder="1" applyFont="1" applyNumberFormat="1">
      <alignment horizontal="center" readingOrder="0"/>
    </xf>
    <xf borderId="1" fillId="0" fontId="29" numFmtId="4" xfId="0" applyAlignment="1" applyBorder="1" applyFont="1" applyNumberFormat="1">
      <alignment readingOrder="0"/>
    </xf>
    <xf borderId="1" fillId="4" fontId="6" numFmtId="0" xfId="0" applyAlignment="1" applyBorder="1" applyFont="1">
      <alignment shrinkToFit="0" wrapText="1"/>
    </xf>
    <xf borderId="1" fillId="4" fontId="6" numFmtId="0" xfId="0" applyAlignment="1" applyBorder="1" applyFont="1">
      <alignment horizontal="center" readingOrder="0"/>
    </xf>
    <xf borderId="0" fillId="0" fontId="30" numFmtId="165" xfId="0" applyFont="1" applyNumberFormat="1"/>
    <xf borderId="1" fillId="2" fontId="6" numFmtId="4" xfId="0" applyAlignment="1" applyBorder="1" applyFont="1" applyNumberFormat="1">
      <alignment horizontal="center" readingOrder="0"/>
    </xf>
    <xf borderId="0" fillId="2" fontId="6" numFmtId="0" xfId="0" applyAlignment="1" applyFont="1">
      <alignment horizontal="center" readingOrder="0"/>
    </xf>
    <xf borderId="4" fillId="0" fontId="9" numFmtId="0" xfId="0" applyAlignment="1" applyBorder="1" applyFont="1">
      <alignment horizontal="center" shrinkToFit="0" wrapText="1"/>
    </xf>
    <xf borderId="2" fillId="0" fontId="4" numFmtId="0" xfId="0" applyAlignment="1" applyBorder="1" applyFont="1">
      <alignment horizontal="center" shrinkToFit="0" vertical="bottom" wrapText="1"/>
    </xf>
    <xf borderId="2" fillId="0" fontId="4" numFmtId="0" xfId="0" applyAlignment="1" applyBorder="1" applyFont="1">
      <alignment horizontal="center" vertical="bottom"/>
    </xf>
    <xf borderId="4" fillId="0" fontId="4" numFmtId="0" xfId="0" applyAlignment="1" applyBorder="1" applyFont="1">
      <alignment readingOrder="0" shrinkToFit="0" vertical="bottom" wrapText="1"/>
    </xf>
    <xf borderId="2" fillId="0" fontId="4" numFmtId="4" xfId="0" applyAlignment="1" applyBorder="1" applyFont="1" applyNumberFormat="1">
      <alignment readingOrder="0" vertical="bottom"/>
    </xf>
    <xf borderId="2" fillId="0" fontId="4" numFmtId="0" xfId="0" applyAlignment="1" applyBorder="1" applyFont="1">
      <alignment vertical="bottom"/>
    </xf>
    <xf borderId="2" fillId="0" fontId="4" numFmtId="0" xfId="0" applyAlignment="1" applyBorder="1" applyFont="1">
      <alignment readingOrder="0" vertical="bottom"/>
    </xf>
    <xf borderId="1" fillId="4" fontId="9" numFmtId="4" xfId="0" applyAlignment="1" applyBorder="1" applyFont="1" applyNumberFormat="1">
      <alignment horizontal="center" vertical="bottom"/>
    </xf>
    <xf borderId="4" fillId="2" fontId="4" numFmtId="0" xfId="0" applyAlignment="1" applyBorder="1" applyFont="1">
      <alignment readingOrder="0" shrinkToFit="0" vertical="bottom" wrapText="1"/>
    </xf>
    <xf borderId="2" fillId="2" fontId="4" numFmtId="4" xfId="0" applyAlignment="1" applyBorder="1" applyFont="1" applyNumberFormat="1">
      <alignment vertical="bottom"/>
    </xf>
    <xf borderId="2" fillId="2" fontId="4" numFmtId="4" xfId="0" applyAlignment="1" applyBorder="1" applyFont="1" applyNumberFormat="1">
      <alignment readingOrder="0" vertical="bottom"/>
    </xf>
    <xf borderId="2" fillId="2" fontId="4" numFmtId="0" xfId="0" applyAlignment="1" applyBorder="1" applyFont="1">
      <alignment vertical="bottom"/>
    </xf>
    <xf borderId="2" fillId="2" fontId="4" numFmtId="0" xfId="0" applyAlignment="1" applyBorder="1" applyFont="1">
      <alignment readingOrder="0" vertical="bottom"/>
    </xf>
    <xf borderId="2" fillId="2" fontId="4" numFmtId="4" xfId="0" applyAlignment="1" applyBorder="1" applyFont="1" applyNumberFormat="1">
      <alignment horizontal="right" vertical="bottom"/>
    </xf>
    <xf borderId="2" fillId="2" fontId="4" numFmtId="4" xfId="0" applyAlignment="1" applyBorder="1" applyFont="1" applyNumberFormat="1">
      <alignment horizontal="right" readingOrder="0" vertical="bottom"/>
    </xf>
    <xf borderId="4" fillId="2" fontId="4" numFmtId="0" xfId="0" applyAlignment="1" applyBorder="1" applyFont="1">
      <alignment readingOrder="0" vertical="bottom"/>
    </xf>
    <xf borderId="2" fillId="2" fontId="18" numFmtId="165" xfId="0" applyAlignment="1" applyBorder="1" applyFont="1" applyNumberFormat="1">
      <alignment readingOrder="0" vertical="bottom"/>
    </xf>
    <xf borderId="2" fillId="2" fontId="18" numFmtId="4" xfId="0" applyAlignment="1" applyBorder="1" applyFont="1" applyNumberFormat="1">
      <alignment horizontal="center" readingOrder="0" vertical="bottom"/>
    </xf>
    <xf borderId="4" fillId="0" fontId="4" numFmtId="0" xfId="0" applyAlignment="1" applyBorder="1" applyFont="1">
      <alignment shrinkToFit="0" vertical="bottom" wrapText="1"/>
    </xf>
    <xf borderId="2" fillId="8" fontId="4" numFmtId="4" xfId="0" applyAlignment="1" applyBorder="1" applyFont="1" applyNumberFormat="1">
      <alignment horizontal="right" vertical="bottom"/>
    </xf>
    <xf borderId="2" fillId="0" fontId="4" numFmtId="2" xfId="0" applyAlignment="1" applyBorder="1" applyFont="1" applyNumberFormat="1">
      <alignment readingOrder="0" vertical="bottom"/>
    </xf>
    <xf borderId="2" fillId="0" fontId="4" numFmtId="2" xfId="0" applyAlignment="1" applyBorder="1" applyFont="1" applyNumberFormat="1">
      <alignment horizontal="center" readingOrder="0" vertical="bottom"/>
    </xf>
    <xf borderId="4" fillId="4" fontId="4" numFmtId="0" xfId="0" applyAlignment="1" applyBorder="1" applyFont="1">
      <alignment vertical="bottom"/>
    </xf>
    <xf borderId="2" fillId="4" fontId="4" numFmtId="4" xfId="0" applyAlignment="1" applyBorder="1" applyFont="1" applyNumberFormat="1">
      <alignment vertical="bottom"/>
    </xf>
    <xf borderId="2" fillId="4" fontId="4" numFmtId="0" xfId="0" applyAlignment="1" applyBorder="1" applyFont="1">
      <alignment readingOrder="0" vertical="bottom"/>
    </xf>
    <xf borderId="2" fillId="4" fontId="4" numFmtId="0" xfId="0" applyAlignment="1" applyBorder="1" applyFont="1">
      <alignment vertical="bottom"/>
    </xf>
    <xf borderId="1" fillId="2" fontId="6" numFmtId="4" xfId="0" applyAlignment="1" applyBorder="1" applyFont="1" applyNumberFormat="1">
      <alignment readingOrder="0" shrinkToFit="0" wrapText="1"/>
    </xf>
    <xf borderId="1" fillId="0" fontId="10" numFmtId="4" xfId="0" applyBorder="1" applyFont="1" applyNumberFormat="1"/>
    <xf borderId="0" fillId="10" fontId="6" numFmtId="0" xfId="0" applyAlignment="1" applyFont="1">
      <alignment readingOrder="0"/>
    </xf>
    <xf borderId="1" fillId="10" fontId="6" numFmtId="0" xfId="0" applyAlignment="1" applyBorder="1" applyFont="1">
      <alignment readingOrder="0"/>
    </xf>
    <xf borderId="1" fillId="10" fontId="6" numFmtId="0" xfId="0" applyBorder="1" applyFont="1"/>
    <xf borderId="0" fillId="10" fontId="6" numFmtId="0" xfId="0" applyFont="1"/>
    <xf borderId="0" fillId="4" fontId="6" numFmtId="0" xfId="0" applyAlignment="1" applyFont="1">
      <alignment readingOrder="0"/>
    </xf>
    <xf borderId="0" fillId="4" fontId="6" numFmtId="0" xfId="0" applyFont="1"/>
    <xf borderId="1" fillId="0" fontId="9" numFmtId="0" xfId="0" applyAlignment="1" applyBorder="1" applyFont="1">
      <alignment horizontal="center" shrinkToFit="0" wrapText="1"/>
    </xf>
    <xf borderId="3" fillId="0" fontId="4" numFmtId="0" xfId="0" applyAlignment="1" applyBorder="1" applyFont="1">
      <alignment horizontal="center" shrinkToFit="0" vertical="bottom" wrapText="1"/>
    </xf>
    <xf borderId="3" fillId="0" fontId="4" numFmtId="0" xfId="0" applyAlignment="1" applyBorder="1" applyFont="1">
      <alignment horizontal="center" vertical="bottom"/>
    </xf>
    <xf borderId="2" fillId="0" fontId="4" numFmtId="0" xfId="0" applyAlignment="1" applyBorder="1" applyFont="1">
      <alignment horizontal="center" readingOrder="0" vertical="bottom"/>
    </xf>
    <xf borderId="2" fillId="4" fontId="4" numFmtId="4" xfId="0" applyAlignment="1" applyBorder="1" applyFont="1" applyNumberFormat="1">
      <alignment horizontal="center" vertical="bottom"/>
    </xf>
    <xf borderId="2" fillId="0" fontId="4" numFmtId="4" xfId="0" applyAlignment="1" applyBorder="1" applyFont="1" applyNumberFormat="1">
      <alignment horizontal="center" readingOrder="0" vertical="bottom"/>
    </xf>
    <xf borderId="2" fillId="2" fontId="4" numFmtId="168" xfId="0" applyAlignment="1" applyBorder="1" applyFont="1" applyNumberFormat="1">
      <alignment vertical="bottom"/>
    </xf>
    <xf borderId="2" fillId="2" fontId="4" numFmtId="0" xfId="0" applyAlignment="1" applyBorder="1" applyFont="1">
      <alignment horizontal="center" readingOrder="0" vertical="bottom"/>
    </xf>
    <xf borderId="4" fillId="2" fontId="18" numFmtId="0" xfId="0" applyAlignment="1" applyBorder="1" applyFont="1">
      <alignment readingOrder="0" vertical="bottom"/>
    </xf>
    <xf borderId="2" fillId="2" fontId="18" numFmtId="4" xfId="0" applyAlignment="1" applyBorder="1" applyFont="1" applyNumberFormat="1">
      <alignment horizontal="center" vertical="bottom"/>
    </xf>
    <xf borderId="2" fillId="4" fontId="9" numFmtId="4" xfId="0" applyAlignment="1" applyBorder="1" applyFont="1" applyNumberFormat="1">
      <alignment horizontal="center" vertical="bottom"/>
    </xf>
    <xf borderId="1" fillId="10" fontId="10" numFmtId="0" xfId="0" applyAlignment="1" applyBorder="1" applyFont="1">
      <alignment readingOrder="0"/>
    </xf>
    <xf borderId="1" fillId="10" fontId="10" numFmtId="4" xfId="0" applyBorder="1" applyFont="1" applyNumberFormat="1"/>
    <xf borderId="1" fillId="2" fontId="9" numFmtId="0" xfId="0" applyAlignment="1" applyBorder="1" applyFont="1">
      <alignment horizontal="center" shrinkToFit="0" wrapText="1"/>
    </xf>
    <xf borderId="3" fillId="2" fontId="4" numFmtId="0" xfId="0" applyAlignment="1" applyBorder="1" applyFont="1">
      <alignment horizontal="center" shrinkToFit="0" vertical="bottom" wrapText="1"/>
    </xf>
    <xf borderId="3" fillId="2" fontId="4" numFmtId="0" xfId="0" applyAlignment="1" applyBorder="1" applyFont="1">
      <alignment horizontal="center" vertical="bottom"/>
    </xf>
    <xf borderId="2" fillId="0" fontId="4" numFmtId="3" xfId="0" applyAlignment="1" applyBorder="1" applyFont="1" applyNumberFormat="1">
      <alignment horizontal="right" vertical="bottom"/>
    </xf>
    <xf borderId="2" fillId="10" fontId="9" numFmtId="4" xfId="0" applyAlignment="1" applyBorder="1" applyFont="1" applyNumberFormat="1">
      <alignment horizontal="center" vertical="bottom"/>
    </xf>
    <xf borderId="4" fillId="10" fontId="4" numFmtId="0" xfId="0" applyAlignment="1" applyBorder="1" applyFont="1">
      <alignment vertical="bottom"/>
    </xf>
    <xf borderId="2" fillId="10" fontId="4" numFmtId="4" xfId="0" applyAlignment="1" applyBorder="1" applyFont="1" applyNumberFormat="1">
      <alignment vertical="bottom"/>
    </xf>
    <xf borderId="2" fillId="10" fontId="4" numFmtId="0" xfId="0" applyAlignment="1" applyBorder="1" applyFont="1">
      <alignment vertical="bottom"/>
    </xf>
    <xf borderId="3" fillId="0" fontId="4" numFmtId="0" xfId="0" applyAlignment="1" applyBorder="1" applyFont="1">
      <alignment shrinkToFit="0" vertical="bottom" wrapText="1"/>
    </xf>
    <xf borderId="2" fillId="0" fontId="4" numFmtId="3" xfId="0" applyAlignment="1" applyBorder="1" applyFont="1" applyNumberFormat="1">
      <alignment horizontal="right" readingOrder="0" vertical="bottom"/>
    </xf>
    <xf borderId="2" fillId="2" fontId="4" numFmtId="3" xfId="0" applyAlignment="1" applyBorder="1" applyFont="1" applyNumberFormat="1">
      <alignment horizontal="right" readingOrder="0" vertical="bottom"/>
    </xf>
    <xf borderId="2" fillId="2" fontId="4" numFmtId="0" xfId="0" applyAlignment="1" applyBorder="1" applyFont="1">
      <alignment horizontal="center" vertical="bottom"/>
    </xf>
    <xf borderId="1" fillId="2" fontId="19" numFmtId="0" xfId="0" applyAlignment="1" applyBorder="1" applyFont="1">
      <alignment readingOrder="0"/>
    </xf>
    <xf borderId="1" fillId="0" fontId="4" numFmtId="0" xfId="0" applyAlignment="1" applyBorder="1" applyFont="1">
      <alignment readingOrder="0" shrinkToFit="0" vertical="bottom" wrapText="1"/>
    </xf>
    <xf borderId="2" fillId="0" fontId="4" numFmtId="3" xfId="0" applyAlignment="1" applyBorder="1" applyFont="1" applyNumberFormat="1">
      <alignment vertical="bottom"/>
    </xf>
    <xf borderId="1" fillId="0" fontId="4" numFmtId="0" xfId="0" applyAlignment="1" applyBorder="1" applyFont="1">
      <alignment shrinkToFit="0" vertical="bottom" wrapText="1"/>
    </xf>
    <xf borderId="2" fillId="8" fontId="4" numFmtId="3" xfId="0" applyAlignment="1" applyBorder="1" applyFont="1" applyNumberFormat="1">
      <alignment vertical="bottom"/>
    </xf>
    <xf borderId="0" fillId="0" fontId="6" numFmtId="2" xfId="0" applyFont="1" applyNumberFormat="1"/>
    <xf borderId="2" fillId="8" fontId="4" numFmtId="4" xfId="0" applyAlignment="1" applyBorder="1" applyFont="1" applyNumberFormat="1">
      <alignment vertical="bottom"/>
    </xf>
    <xf borderId="4" fillId="4" fontId="4" numFmtId="0" xfId="0" applyAlignment="1" applyBorder="1" applyFont="1">
      <alignment shrinkToFit="0" vertical="bottom" wrapText="1"/>
    </xf>
    <xf borderId="2" fillId="4" fontId="4" numFmtId="0" xfId="0" applyAlignment="1" applyBorder="1" applyFont="1">
      <alignment horizontal="center" vertical="bottom"/>
    </xf>
    <xf borderId="1" fillId="0" fontId="9" numFmtId="0" xfId="0" applyAlignment="1" applyBorder="1" applyFont="1">
      <alignment horizontal="center" readingOrder="0" shrinkToFit="0" wrapText="1"/>
    </xf>
    <xf borderId="1" fillId="4" fontId="4" numFmtId="0" xfId="0" applyAlignment="1" applyBorder="1" applyFont="1">
      <alignment shrinkToFit="0" vertical="bottom" wrapText="1"/>
    </xf>
    <xf borderId="1" fillId="4" fontId="4" numFmtId="4" xfId="0" applyAlignment="1" applyBorder="1" applyFont="1" applyNumberFormat="1">
      <alignment vertical="bottom"/>
    </xf>
    <xf borderId="1" fillId="4" fontId="4" numFmtId="0" xfId="0" applyAlignment="1" applyBorder="1" applyFont="1">
      <alignment horizontal="center" vertical="bottom"/>
    </xf>
    <xf borderId="1" fillId="10" fontId="10" numFmtId="0" xfId="0" applyBorder="1" applyFont="1"/>
    <xf borderId="2" fillId="8" fontId="4" numFmtId="4" xfId="0" applyAlignment="1" applyBorder="1" applyFont="1" applyNumberFormat="1">
      <alignment readingOrder="0" vertical="bottom"/>
    </xf>
    <xf borderId="2" fillId="4" fontId="4" numFmtId="4" xfId="0" applyAlignment="1" applyBorder="1" applyFont="1" applyNumberFormat="1">
      <alignment horizontal="center" readingOrder="0" vertical="bottom"/>
    </xf>
    <xf borderId="4" fillId="2" fontId="6" numFmtId="0" xfId="0" applyAlignment="1" applyBorder="1" applyFont="1">
      <alignment readingOrder="0" shrinkToFit="0" wrapText="1"/>
    </xf>
    <xf borderId="1" fillId="4" fontId="4" numFmtId="0" xfId="0" applyAlignment="1" applyBorder="1" applyFont="1">
      <alignment vertical="bottom"/>
    </xf>
    <xf borderId="2" fillId="2" fontId="4" numFmtId="3" xfId="0" applyAlignment="1" applyBorder="1" applyFont="1" applyNumberFormat="1">
      <alignment horizontal="right" vertical="bottom"/>
    </xf>
    <xf borderId="2" fillId="8" fontId="4" numFmtId="3" xfId="0" applyAlignment="1" applyBorder="1" applyFont="1" applyNumberFormat="1">
      <alignment horizontal="right" vertical="bottom"/>
    </xf>
    <xf borderId="8" fillId="10" fontId="6" numFmtId="0" xfId="0" applyAlignment="1" applyBorder="1" applyFont="1">
      <alignment readingOrder="0" shrinkToFit="0" wrapText="1"/>
    </xf>
    <xf borderId="1" fillId="10" fontId="6" numFmtId="4" xfId="0" applyAlignment="1" applyBorder="1" applyFont="1" applyNumberFormat="1">
      <alignment horizontal="center" readingOrder="0"/>
    </xf>
    <xf borderId="1" fillId="9" fontId="6" numFmtId="4" xfId="0" applyAlignment="1" applyBorder="1" applyFont="1" applyNumberFormat="1">
      <alignment readingOrder="0"/>
    </xf>
    <xf borderId="1" fillId="9" fontId="6" numFmtId="0" xfId="0" applyAlignment="1" applyBorder="1" applyFont="1">
      <alignment horizontal="center" readingOrder="0"/>
    </xf>
    <xf borderId="1" fillId="9" fontId="6" numFmtId="4" xfId="0" applyBorder="1" applyFont="1" applyNumberFormat="1"/>
    <xf borderId="1" fillId="9" fontId="6" numFmtId="4" xfId="0" applyAlignment="1" applyBorder="1" applyFont="1" applyNumberFormat="1">
      <alignment horizontal="center" readingOrder="0"/>
    </xf>
    <xf borderId="2" fillId="2" fontId="4" numFmtId="4" xfId="0" applyAlignment="1" applyBorder="1" applyFont="1" applyNumberFormat="1">
      <alignment horizontal="center" readingOrder="0" vertical="bottom"/>
    </xf>
    <xf borderId="1" fillId="0" fontId="9" numFmtId="0" xfId="0" applyAlignment="1" applyBorder="1" applyFont="1">
      <alignment horizontal="center" readingOrder="0"/>
    </xf>
    <xf borderId="0" fillId="0" fontId="4" numFmtId="0" xfId="0" applyAlignment="1" applyFont="1">
      <alignment shrinkToFit="0" vertical="bottom" wrapText="1"/>
    </xf>
    <xf borderId="0" fillId="0" fontId="4" numFmtId="4" xfId="0" applyAlignment="1" applyFont="1" applyNumberFormat="1">
      <alignment horizontal="right" vertical="bottom"/>
    </xf>
    <xf borderId="2" fillId="2" fontId="4" numFmtId="3" xfId="0" applyAlignment="1" applyBorder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54" Type="http://schemas.openxmlformats.org/officeDocument/2006/relationships/worksheet" Target="worksheets/sheet50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3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4.v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5.v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6.v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7.v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21.xml"/><Relationship Id="rId3" Type="http://schemas.openxmlformats.org/officeDocument/2006/relationships/vmlDrawing" Target="../drawings/vmlDrawing8.v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25.xml"/><Relationship Id="rId3" Type="http://schemas.openxmlformats.org/officeDocument/2006/relationships/vmlDrawing" Target="../drawings/vmlDrawing9.v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41.xml"/><Relationship Id="rId3" Type="http://schemas.openxmlformats.org/officeDocument/2006/relationships/vmlDrawing" Target="../drawings/vmlDrawing10.v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42.xml"/><Relationship Id="rId3" Type="http://schemas.openxmlformats.org/officeDocument/2006/relationships/vmlDrawing" Target="../drawings/vmlDrawing11.v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5.63"/>
    <col customWidth="1" min="2" max="2" width="32.63"/>
    <col customWidth="1" min="3" max="3" width="15.5"/>
    <col customWidth="1" min="4" max="4" width="17.0"/>
  </cols>
  <sheetData>
    <row r="2">
      <c r="A2" s="1" t="s">
        <v>0</v>
      </c>
      <c r="B2" s="2" t="s">
        <v>1</v>
      </c>
      <c r="C2" s="3" t="s">
        <v>2</v>
      </c>
      <c r="D2" s="4" t="s">
        <v>3</v>
      </c>
    </row>
    <row r="3">
      <c r="A3" s="5"/>
      <c r="B3" s="6"/>
      <c r="C3" s="7"/>
      <c r="D3" s="8"/>
    </row>
    <row r="4">
      <c r="A4" s="9"/>
      <c r="B4" s="10"/>
      <c r="C4" s="11"/>
      <c r="D4" s="12"/>
    </row>
    <row r="5">
      <c r="A5" s="13"/>
      <c r="B5" s="10"/>
      <c r="C5" s="14"/>
      <c r="D5" s="15"/>
    </row>
    <row r="6">
      <c r="A6" s="16"/>
      <c r="B6" s="17"/>
      <c r="C6" s="7"/>
      <c r="D6" s="8"/>
    </row>
    <row r="7">
      <c r="A7" s="16"/>
      <c r="B7" s="17"/>
      <c r="C7" s="7"/>
      <c r="D7" s="8"/>
    </row>
    <row r="8">
      <c r="A8" s="18"/>
      <c r="B8" s="19"/>
      <c r="C8" s="20"/>
      <c r="D8" s="8"/>
    </row>
    <row r="9">
      <c r="A9" s="17"/>
      <c r="B9" s="17"/>
      <c r="C9" s="11"/>
      <c r="D9" s="12"/>
    </row>
    <row r="10">
      <c r="A10" s="21"/>
      <c r="B10" s="17"/>
      <c r="C10" s="11"/>
      <c r="D10" s="12"/>
    </row>
    <row r="11">
      <c r="A11" s="22"/>
      <c r="B11" s="23"/>
      <c r="C11" s="11"/>
      <c r="D11" s="8"/>
    </row>
    <row r="12">
      <c r="A12" s="17"/>
      <c r="B12" s="17"/>
      <c r="C12" s="11"/>
      <c r="D12" s="8"/>
    </row>
    <row r="13">
      <c r="A13" s="24"/>
      <c r="B13" s="22"/>
      <c r="C13" s="11"/>
      <c r="D13" s="8"/>
    </row>
    <row r="14">
      <c r="A14" s="17"/>
      <c r="B14" s="17"/>
      <c r="C14" s="11"/>
      <c r="D14" s="8"/>
    </row>
    <row r="15">
      <c r="A15" s="17"/>
      <c r="B15" s="17"/>
      <c r="C15" s="7"/>
      <c r="D15" s="8"/>
    </row>
    <row r="16">
      <c r="A16" s="13"/>
      <c r="B16" s="25"/>
      <c r="C16" s="11"/>
      <c r="D16" s="12"/>
    </row>
    <row r="17">
      <c r="A17" s="17"/>
      <c r="B17" s="10"/>
      <c r="C17" s="11"/>
      <c r="D17" s="8"/>
    </row>
    <row r="18">
      <c r="A18" s="21"/>
      <c r="B18" s="17"/>
      <c r="C18" s="11"/>
      <c r="D18" s="8"/>
    </row>
    <row r="19">
      <c r="A19" s="21"/>
      <c r="B19" s="17"/>
      <c r="C19" s="7"/>
      <c r="D19" s="8"/>
    </row>
    <row r="20">
      <c r="A20" s="17"/>
      <c r="B20" s="17"/>
      <c r="C20" s="11"/>
      <c r="D20" s="8"/>
    </row>
    <row r="21">
      <c r="A21" s="17"/>
      <c r="B21" s="17"/>
      <c r="C21" s="11"/>
      <c r="D21" s="8"/>
    </row>
    <row r="22">
      <c r="A22" s="17"/>
      <c r="B22" s="17"/>
      <c r="C22" s="11"/>
      <c r="D22" s="8"/>
    </row>
    <row r="23">
      <c r="A23" s="17"/>
      <c r="B23" s="10"/>
      <c r="C23" s="11"/>
      <c r="D23" s="8"/>
    </row>
    <row r="24">
      <c r="A24" s="17"/>
      <c r="B24" s="10"/>
      <c r="C24" s="7"/>
      <c r="D24" s="8"/>
    </row>
    <row r="25">
      <c r="A25" s="21"/>
      <c r="B25" s="17"/>
      <c r="C25" s="11"/>
      <c r="D25" s="8"/>
    </row>
    <row r="26">
      <c r="A26" s="10"/>
      <c r="B26" s="10"/>
      <c r="C26" s="26"/>
      <c r="D26" s="27"/>
    </row>
    <row r="27">
      <c r="A27" s="17"/>
      <c r="B27" s="17"/>
      <c r="C27" s="11"/>
      <c r="D27" s="27"/>
    </row>
    <row r="28">
      <c r="A28" s="21"/>
      <c r="B28" s="17"/>
      <c r="C28" s="11"/>
      <c r="D28" s="27"/>
    </row>
    <row r="29">
      <c r="A29" s="28"/>
      <c r="B29" s="21"/>
      <c r="C29" s="29"/>
      <c r="D29" s="8"/>
    </row>
    <row r="30">
      <c r="A30" s="28"/>
      <c r="B30" s="21"/>
      <c r="C30" s="11"/>
      <c r="D30" s="8"/>
    </row>
    <row r="31">
      <c r="A31" s="17"/>
      <c r="B31" s="17"/>
      <c r="C31" s="11"/>
      <c r="D31" s="8"/>
    </row>
    <row r="32">
      <c r="A32" s="17"/>
      <c r="B32" s="17"/>
      <c r="C32" s="11"/>
      <c r="D32" s="8"/>
    </row>
    <row r="33">
      <c r="A33" s="17"/>
      <c r="B33" s="17"/>
      <c r="C33" s="11"/>
      <c r="D33" s="8"/>
    </row>
    <row r="34">
      <c r="A34" s="21"/>
      <c r="B34" s="10"/>
      <c r="C34" s="30"/>
      <c r="D34" s="8"/>
    </row>
    <row r="35">
      <c r="A35" s="21"/>
      <c r="B35" s="10"/>
      <c r="C35" s="30"/>
      <c r="D35" s="8"/>
    </row>
    <row r="36">
      <c r="A36" s="31"/>
      <c r="B36" s="32"/>
      <c r="C36" s="33"/>
      <c r="D36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6.25"/>
    <col customWidth="1" min="2" max="2" width="34.13"/>
  </cols>
  <sheetData>
    <row r="1">
      <c r="A1" s="1" t="s">
        <v>0</v>
      </c>
      <c r="B1" s="1" t="s">
        <v>1</v>
      </c>
      <c r="C1" s="3" t="s">
        <v>2</v>
      </c>
      <c r="D1" s="4" t="s">
        <v>3</v>
      </c>
    </row>
    <row r="2">
      <c r="A2" s="17"/>
      <c r="B2" s="21"/>
      <c r="C2" s="11"/>
      <c r="D2" s="8"/>
    </row>
    <row r="3">
      <c r="A3" s="17"/>
      <c r="B3" s="21"/>
      <c r="C3" s="29"/>
      <c r="D3" s="8"/>
    </row>
    <row r="4">
      <c r="A4" s="17"/>
      <c r="B4" s="21"/>
      <c r="C4" s="11"/>
      <c r="D4" s="8"/>
    </row>
    <row r="5">
      <c r="A5" s="17"/>
      <c r="B5" s="21"/>
      <c r="C5" s="11"/>
      <c r="D5" s="8"/>
    </row>
    <row r="6">
      <c r="A6" s="21"/>
      <c r="B6" s="17"/>
      <c r="C6" s="7"/>
      <c r="D6" s="8"/>
    </row>
    <row r="7">
      <c r="A7" s="17"/>
      <c r="B7" s="21"/>
      <c r="C7" s="29"/>
      <c r="D7" s="8"/>
    </row>
    <row r="8">
      <c r="A8" s="21"/>
      <c r="B8" s="17"/>
      <c r="C8" s="11"/>
      <c r="D8" s="27"/>
    </row>
    <row r="9">
      <c r="A9" s="21"/>
      <c r="B9" s="17"/>
      <c r="C9" s="11"/>
      <c r="D9" s="27"/>
    </row>
    <row r="10">
      <c r="A10" s="21"/>
      <c r="B10" s="17"/>
      <c r="C10" s="11"/>
      <c r="D10" s="27"/>
    </row>
    <row r="11">
      <c r="A11" s="21"/>
      <c r="B11" s="17"/>
      <c r="C11" s="11"/>
      <c r="D11" s="27"/>
    </row>
    <row r="12">
      <c r="A12" s="21"/>
      <c r="B12" s="17"/>
      <c r="C12" s="11"/>
      <c r="D12" s="8"/>
    </row>
    <row r="13">
      <c r="A13" s="21"/>
      <c r="B13" s="17"/>
      <c r="C13" s="11"/>
      <c r="D13" s="8"/>
    </row>
    <row r="14">
      <c r="A14" s="21"/>
      <c r="B14" s="17"/>
      <c r="C14" s="11"/>
      <c r="D14" s="8"/>
    </row>
    <row r="15">
      <c r="A15" s="21"/>
      <c r="B15" s="17"/>
      <c r="C15" s="11"/>
      <c r="D15" s="8"/>
    </row>
    <row r="16">
      <c r="A16" s="21"/>
      <c r="B16" s="17"/>
      <c r="C16" s="11"/>
      <c r="D16" s="8"/>
    </row>
    <row r="17">
      <c r="A17" s="21"/>
      <c r="B17" s="17"/>
      <c r="C17" s="11"/>
      <c r="D17" s="8"/>
    </row>
    <row r="18">
      <c r="A18" s="21"/>
      <c r="B18" s="17"/>
      <c r="C18" s="11"/>
      <c r="D18" s="8"/>
    </row>
    <row r="19">
      <c r="A19" s="17"/>
      <c r="B19" s="10"/>
      <c r="C19" s="7"/>
      <c r="D19" s="8"/>
    </row>
    <row r="20">
      <c r="A20" s="35"/>
      <c r="B20" s="10"/>
      <c r="C20" s="11"/>
      <c r="D20" s="8"/>
    </row>
    <row r="21">
      <c r="A21" s="36"/>
      <c r="B21" s="35"/>
      <c r="C21" s="37"/>
    </row>
    <row r="22">
      <c r="A22" s="38"/>
      <c r="B22" s="39"/>
      <c r="C22" s="40"/>
    </row>
    <row r="23">
      <c r="A23" s="38"/>
      <c r="B23" s="39"/>
      <c r="C23" s="40"/>
    </row>
    <row r="24">
      <c r="A24" s="41"/>
      <c r="B24" s="38"/>
      <c r="C24" s="42"/>
    </row>
    <row r="25">
      <c r="A25" s="38"/>
      <c r="B25" s="39"/>
      <c r="C25" s="4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25"/>
    <col customWidth="1" min="4" max="4" width="14.88"/>
  </cols>
  <sheetData>
    <row r="1">
      <c r="A1" s="43"/>
      <c r="B1" s="44" t="s">
        <v>4</v>
      </c>
      <c r="C1" s="45" t="s">
        <v>5</v>
      </c>
      <c r="D1" s="43" t="s">
        <v>6</v>
      </c>
      <c r="E1" s="46"/>
      <c r="F1" s="47"/>
      <c r="G1" s="48"/>
      <c r="H1" s="49"/>
      <c r="I1" s="49"/>
    </row>
    <row r="2">
      <c r="A2" s="50" t="s">
        <v>7</v>
      </c>
      <c r="B2" s="51"/>
      <c r="C2" s="51">
        <v>12.0</v>
      </c>
      <c r="D2" s="52">
        <f>B2/C2</f>
        <v>0</v>
      </c>
      <c r="E2" s="46"/>
      <c r="F2" s="53">
        <f>'Исходные данные'!E5</f>
        <v>21877</v>
      </c>
      <c r="G2" s="54" t="s">
        <v>8</v>
      </c>
      <c r="H2" s="55"/>
      <c r="I2" s="56"/>
    </row>
    <row r="3">
      <c r="A3" s="57"/>
      <c r="B3" s="58"/>
      <c r="C3" s="51"/>
      <c r="D3" s="52"/>
      <c r="E3" s="46"/>
      <c r="H3" s="46"/>
      <c r="I3" s="46"/>
    </row>
    <row r="4">
      <c r="A4" s="57"/>
      <c r="B4" s="58"/>
      <c r="C4" s="51"/>
      <c r="D4" s="52"/>
      <c r="E4" s="46"/>
      <c r="F4" s="59">
        <f>D7/F2</f>
        <v>0</v>
      </c>
      <c r="G4" s="60" t="s">
        <v>9</v>
      </c>
      <c r="H4" s="46"/>
      <c r="I4" s="46"/>
    </row>
    <row r="5">
      <c r="A5" s="57"/>
      <c r="B5" s="58"/>
      <c r="C5" s="51"/>
      <c r="D5" s="52"/>
      <c r="E5" s="46"/>
      <c r="F5" s="46"/>
      <c r="G5" s="46"/>
      <c r="H5" s="46"/>
      <c r="I5" s="46"/>
    </row>
    <row r="6">
      <c r="A6" s="57"/>
      <c r="B6" s="61"/>
      <c r="C6" s="51"/>
      <c r="D6" s="52"/>
      <c r="E6" s="46"/>
      <c r="F6" s="46"/>
      <c r="G6" s="46"/>
      <c r="H6" s="46"/>
      <c r="I6" s="46"/>
    </row>
    <row r="7">
      <c r="A7" s="43"/>
      <c r="B7" s="62"/>
      <c r="C7" s="43"/>
      <c r="D7" s="63">
        <f>SUM(D2:D6)</f>
        <v>0</v>
      </c>
      <c r="E7" s="46"/>
      <c r="F7" s="46"/>
      <c r="G7" s="46"/>
      <c r="H7" s="46"/>
      <c r="I7" s="46"/>
    </row>
    <row r="8">
      <c r="A8" s="46"/>
      <c r="B8" s="64"/>
      <c r="C8" s="46"/>
      <c r="D8" s="65"/>
      <c r="E8" s="46"/>
      <c r="F8" s="46"/>
      <c r="G8" s="46"/>
      <c r="H8" s="46"/>
      <c r="I8" s="46"/>
    </row>
    <row r="9">
      <c r="A9" s="46"/>
      <c r="B9" s="65"/>
      <c r="C9" s="65"/>
      <c r="D9" s="65"/>
      <c r="E9" s="46"/>
      <c r="F9" s="66"/>
      <c r="G9" s="67"/>
      <c r="H9" s="46"/>
      <c r="I9" s="46"/>
    </row>
    <row r="10">
      <c r="A10" s="46"/>
      <c r="B10" s="65"/>
      <c r="C10" s="46"/>
      <c r="D10" s="46"/>
      <c r="E10" s="46"/>
      <c r="F10" s="46"/>
      <c r="G10" s="46"/>
      <c r="H10" s="46"/>
      <c r="I10" s="4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9.75"/>
    <col customWidth="1" min="3" max="3" width="9.88"/>
    <col customWidth="1" min="4" max="4" width="14.88"/>
  </cols>
  <sheetData>
    <row r="1">
      <c r="A1" s="34"/>
      <c r="B1" s="68" t="s">
        <v>4</v>
      </c>
      <c r="C1" s="54" t="s">
        <v>5</v>
      </c>
      <c r="D1" s="54" t="s">
        <v>6</v>
      </c>
      <c r="I1" s="69"/>
      <c r="J1" s="69"/>
      <c r="K1" s="69"/>
      <c r="L1" s="69"/>
      <c r="M1" s="69"/>
    </row>
    <row r="2">
      <c r="A2" s="70" t="s">
        <v>10</v>
      </c>
      <c r="B2" s="71">
        <f>11300+8000</f>
        <v>19300</v>
      </c>
      <c r="C2" s="71">
        <v>12.0</v>
      </c>
      <c r="D2" s="72">
        <f t="shared" ref="D2:D27" si="1">B2/C2</f>
        <v>1608.333333</v>
      </c>
      <c r="F2" s="53">
        <f>'Исходные данные'!E2</f>
        <v>27060</v>
      </c>
      <c r="G2" s="54" t="s">
        <v>11</v>
      </c>
      <c r="I2" s="73"/>
      <c r="J2" s="74"/>
      <c r="K2" s="74"/>
      <c r="L2" s="69"/>
      <c r="M2" s="69"/>
    </row>
    <row r="3">
      <c r="A3" s="75" t="s">
        <v>12</v>
      </c>
      <c r="B3" s="76">
        <v>181.0</v>
      </c>
      <c r="C3" s="71">
        <v>12.0</v>
      </c>
      <c r="D3" s="72">
        <f t="shared" si="1"/>
        <v>15.08333333</v>
      </c>
      <c r="I3" s="73"/>
      <c r="J3" s="74"/>
      <c r="K3" s="74"/>
      <c r="L3" s="69"/>
      <c r="M3" s="69"/>
    </row>
    <row r="4">
      <c r="A4" s="77" t="s">
        <v>13</v>
      </c>
      <c r="B4" s="71">
        <f>1640+8302+2570+4394+4000</f>
        <v>20906</v>
      </c>
      <c r="C4" s="71">
        <v>12.0</v>
      </c>
      <c r="D4" s="72">
        <f t="shared" si="1"/>
        <v>1742.166667</v>
      </c>
      <c r="F4" s="59">
        <f>D28/F2</f>
        <v>0.2743933235</v>
      </c>
      <c r="G4" s="60" t="s">
        <v>9</v>
      </c>
      <c r="I4" s="73"/>
      <c r="J4" s="74"/>
      <c r="K4" s="74"/>
      <c r="L4" s="69"/>
      <c r="M4" s="69"/>
    </row>
    <row r="5">
      <c r="A5" s="78" t="s">
        <v>14</v>
      </c>
      <c r="B5" s="71">
        <v>34744.0</v>
      </c>
      <c r="C5" s="71">
        <v>12.0</v>
      </c>
      <c r="D5" s="72">
        <f t="shared" si="1"/>
        <v>2895.333333</v>
      </c>
      <c r="I5" s="73"/>
      <c r="J5" s="74"/>
      <c r="K5" s="74"/>
      <c r="L5" s="69"/>
      <c r="M5" s="69"/>
    </row>
    <row r="6">
      <c r="A6" s="75" t="s">
        <v>15</v>
      </c>
      <c r="B6" s="71">
        <v>2500.0</v>
      </c>
      <c r="C6" s="71">
        <v>12.0</v>
      </c>
      <c r="D6" s="72">
        <f t="shared" si="1"/>
        <v>208.3333333</v>
      </c>
      <c r="I6" s="73"/>
      <c r="J6" s="73"/>
      <c r="K6" s="74"/>
      <c r="L6" s="69"/>
      <c r="M6" s="69"/>
    </row>
    <row r="7">
      <c r="A7" s="75" t="s">
        <v>16</v>
      </c>
      <c r="B7" s="71">
        <f>6835+3135</f>
        <v>9970</v>
      </c>
      <c r="C7" s="71">
        <v>12.0</v>
      </c>
      <c r="D7" s="72">
        <f t="shared" si="1"/>
        <v>830.8333333</v>
      </c>
      <c r="I7" s="73"/>
      <c r="J7" s="79"/>
      <c r="K7" s="74"/>
      <c r="L7" s="69"/>
      <c r="M7" s="69"/>
    </row>
    <row r="8">
      <c r="A8" s="75" t="s">
        <v>17</v>
      </c>
      <c r="B8" s="71">
        <v>1500.0</v>
      </c>
      <c r="C8" s="71">
        <v>12.0</v>
      </c>
      <c r="D8" s="72">
        <f t="shared" si="1"/>
        <v>125</v>
      </c>
      <c r="I8" s="73"/>
      <c r="J8" s="74"/>
      <c r="K8" s="74"/>
      <c r="L8" s="69"/>
      <c r="M8" s="69"/>
    </row>
    <row r="9">
      <c r="A9" s="75"/>
      <c r="B9" s="71"/>
      <c r="C9" s="71">
        <v>12.0</v>
      </c>
      <c r="D9" s="72">
        <f t="shared" si="1"/>
        <v>0</v>
      </c>
      <c r="I9" s="73"/>
      <c r="J9" s="74"/>
      <c r="K9" s="74"/>
      <c r="L9" s="69"/>
      <c r="M9" s="69"/>
    </row>
    <row r="10">
      <c r="A10" s="80"/>
      <c r="B10" s="71"/>
      <c r="C10" s="71">
        <v>12.0</v>
      </c>
      <c r="D10" s="72">
        <f t="shared" si="1"/>
        <v>0</v>
      </c>
      <c r="I10" s="73"/>
      <c r="J10" s="74"/>
      <c r="K10" s="74"/>
      <c r="L10" s="69"/>
      <c r="M10" s="69"/>
    </row>
    <row r="11">
      <c r="A11" s="54"/>
      <c r="B11" s="71"/>
      <c r="C11" s="71">
        <v>12.0</v>
      </c>
      <c r="D11" s="72">
        <f t="shared" si="1"/>
        <v>0</v>
      </c>
      <c r="I11" s="73"/>
      <c r="J11" s="74"/>
      <c r="K11" s="74"/>
      <c r="L11" s="69"/>
      <c r="M11" s="69"/>
    </row>
    <row r="12">
      <c r="A12" s="54"/>
      <c r="B12" s="71"/>
      <c r="C12" s="71">
        <v>12.0</v>
      </c>
      <c r="D12" s="72">
        <f t="shared" si="1"/>
        <v>0</v>
      </c>
      <c r="I12" s="73"/>
      <c r="J12" s="74"/>
      <c r="K12" s="74"/>
      <c r="L12" s="69"/>
      <c r="M12" s="69"/>
    </row>
    <row r="13">
      <c r="A13" s="68"/>
      <c r="B13" s="71"/>
      <c r="C13" s="71">
        <v>12.0</v>
      </c>
      <c r="D13" s="72">
        <f t="shared" si="1"/>
        <v>0</v>
      </c>
      <c r="I13" s="73"/>
      <c r="J13" s="73"/>
      <c r="K13" s="73"/>
      <c r="L13" s="69"/>
      <c r="M13" s="69"/>
    </row>
    <row r="14">
      <c r="A14" s="68"/>
      <c r="B14" s="71"/>
      <c r="C14" s="71">
        <v>12.0</v>
      </c>
      <c r="D14" s="72">
        <f t="shared" si="1"/>
        <v>0</v>
      </c>
      <c r="I14" s="73"/>
      <c r="J14" s="81"/>
      <c r="K14" s="69"/>
      <c r="L14" s="69"/>
      <c r="M14" s="69"/>
    </row>
    <row r="15">
      <c r="A15" s="54"/>
      <c r="B15" s="71"/>
      <c r="C15" s="71">
        <v>12.0</v>
      </c>
      <c r="D15" s="72">
        <f t="shared" si="1"/>
        <v>0</v>
      </c>
      <c r="I15" s="69"/>
      <c r="J15" s="69"/>
      <c r="K15" s="69"/>
      <c r="L15" s="69"/>
      <c r="M15" s="69"/>
    </row>
    <row r="16">
      <c r="B16" s="71"/>
      <c r="C16" s="71">
        <v>12.0</v>
      </c>
      <c r="D16" s="72">
        <f t="shared" si="1"/>
        <v>0</v>
      </c>
      <c r="I16" s="69"/>
      <c r="J16" s="69"/>
      <c r="K16" s="69"/>
      <c r="L16" s="69"/>
      <c r="M16" s="69"/>
    </row>
    <row r="17">
      <c r="A17" s="54"/>
      <c r="B17" s="71"/>
      <c r="C17" s="71">
        <v>12.0</v>
      </c>
      <c r="D17" s="72">
        <f t="shared" si="1"/>
        <v>0</v>
      </c>
      <c r="I17" s="69"/>
      <c r="J17" s="69"/>
      <c r="K17" s="69"/>
      <c r="L17" s="69"/>
      <c r="M17" s="69"/>
    </row>
    <row r="18">
      <c r="A18" s="54"/>
      <c r="B18" s="71"/>
      <c r="C18" s="71">
        <v>12.0</v>
      </c>
      <c r="D18" s="72">
        <f t="shared" si="1"/>
        <v>0</v>
      </c>
      <c r="I18" s="69"/>
      <c r="J18" s="69"/>
      <c r="K18" s="69"/>
      <c r="L18" s="69"/>
      <c r="M18" s="69"/>
    </row>
    <row r="19">
      <c r="A19" s="54"/>
      <c r="B19" s="71"/>
      <c r="C19" s="71">
        <v>12.0</v>
      </c>
      <c r="D19" s="72">
        <f t="shared" si="1"/>
        <v>0</v>
      </c>
      <c r="I19" s="82"/>
      <c r="J19" s="83"/>
      <c r="K19" s="69"/>
      <c r="L19" s="69"/>
      <c r="M19" s="69"/>
    </row>
    <row r="20">
      <c r="A20" s="84"/>
      <c r="B20" s="85"/>
      <c r="C20" s="71">
        <v>12.0</v>
      </c>
      <c r="D20" s="72">
        <f t="shared" si="1"/>
        <v>0</v>
      </c>
      <c r="I20" s="69"/>
      <c r="J20" s="69"/>
      <c r="K20" s="69"/>
      <c r="L20" s="69"/>
      <c r="M20" s="69"/>
    </row>
    <row r="21">
      <c r="A21" s="86"/>
      <c r="B21" s="85"/>
      <c r="C21" s="71">
        <v>12.0</v>
      </c>
      <c r="D21" s="72">
        <f t="shared" si="1"/>
        <v>0</v>
      </c>
    </row>
    <row r="22">
      <c r="A22" s="87"/>
      <c r="B22" s="71"/>
      <c r="C22" s="71">
        <v>12.0</v>
      </c>
      <c r="D22" s="72">
        <f t="shared" si="1"/>
        <v>0</v>
      </c>
    </row>
    <row r="23">
      <c r="A23" s="54"/>
      <c r="B23" s="71"/>
      <c r="C23" s="71">
        <v>12.0</v>
      </c>
      <c r="D23" s="72">
        <f t="shared" si="1"/>
        <v>0</v>
      </c>
    </row>
    <row r="24">
      <c r="A24" s="54"/>
      <c r="B24" s="71"/>
      <c r="C24" s="71">
        <v>12.0</v>
      </c>
      <c r="D24" s="72">
        <f t="shared" si="1"/>
        <v>0</v>
      </c>
    </row>
    <row r="25">
      <c r="A25" s="54"/>
      <c r="B25" s="71"/>
      <c r="C25" s="71">
        <v>12.0</v>
      </c>
      <c r="D25" s="72">
        <f t="shared" si="1"/>
        <v>0</v>
      </c>
    </row>
    <row r="26">
      <c r="A26" s="54"/>
      <c r="B26" s="71"/>
      <c r="C26" s="71">
        <v>12.0</v>
      </c>
      <c r="D26" s="72">
        <f t="shared" si="1"/>
        <v>0</v>
      </c>
    </row>
    <row r="27">
      <c r="A27" s="54"/>
      <c r="B27" s="76"/>
      <c r="C27" s="71">
        <v>12.0</v>
      </c>
      <c r="D27" s="72">
        <f t="shared" si="1"/>
        <v>0</v>
      </c>
    </row>
    <row r="28">
      <c r="A28" s="54"/>
      <c r="B28" s="72">
        <f>SUM(B2:B27)</f>
        <v>89101</v>
      </c>
      <c r="C28" s="34"/>
      <c r="D28" s="72">
        <f>SUM(D2:D27)</f>
        <v>7425.083333</v>
      </c>
    </row>
    <row r="29">
      <c r="E29" s="70" t="s">
        <v>18</v>
      </c>
      <c r="F29" s="70" t="s">
        <v>19</v>
      </c>
    </row>
    <row r="30">
      <c r="A30" s="60" t="s">
        <v>20</v>
      </c>
      <c r="B30" s="88">
        <v>376631.0</v>
      </c>
      <c r="C30" s="88">
        <v>12.0</v>
      </c>
      <c r="D30" s="89">
        <f>B30/C30</f>
        <v>31385.91667</v>
      </c>
      <c r="E30" s="90">
        <f>'Исходные данные'!B2+'Исходные данные'!C2+'Исходные данные'!B40+'Исходные данные'!C40+'Исходные данные'!B41+'Исходные данные'!C41</f>
        <v>41959</v>
      </c>
      <c r="F30" s="89">
        <f>D30/E30</f>
        <v>0.7480139342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88"/>
    <col customWidth="1" min="4" max="4" width="11.75"/>
  </cols>
  <sheetData>
    <row r="1">
      <c r="A1" s="91" t="s">
        <v>21</v>
      </c>
      <c r="B1" s="92" t="s">
        <v>22</v>
      </c>
      <c r="C1" s="93" t="s">
        <v>23</v>
      </c>
      <c r="D1" s="93" t="s">
        <v>24</v>
      </c>
      <c r="E1" s="93" t="s">
        <v>25</v>
      </c>
      <c r="G1" s="94"/>
      <c r="H1" s="95"/>
      <c r="I1" s="96"/>
      <c r="J1" s="96"/>
      <c r="K1" s="96"/>
    </row>
    <row r="2">
      <c r="A2" s="97" t="s">
        <v>11</v>
      </c>
      <c r="B2" s="98">
        <f t="shared" ref="B2:C2" si="1">B37</f>
        <v>23637</v>
      </c>
      <c r="C2" s="98">
        <f t="shared" si="1"/>
        <v>3423</v>
      </c>
      <c r="D2" s="98"/>
      <c r="E2" s="99">
        <f t="shared" ref="E2:E7" si="3">B2+C2</f>
        <v>27060</v>
      </c>
      <c r="F2" s="55"/>
      <c r="G2" s="83"/>
      <c r="H2" s="79"/>
      <c r="I2" s="79"/>
      <c r="J2" s="79"/>
      <c r="K2" s="100"/>
    </row>
    <row r="3">
      <c r="A3" s="97" t="s">
        <v>26</v>
      </c>
      <c r="B3" s="98">
        <f t="shared" ref="B3:C3" si="2">B43</f>
        <v>9713</v>
      </c>
      <c r="C3" s="98">
        <f t="shared" si="2"/>
        <v>6074</v>
      </c>
      <c r="D3" s="98"/>
      <c r="E3" s="99">
        <f t="shared" si="3"/>
        <v>15787</v>
      </c>
      <c r="F3" s="55"/>
      <c r="G3" s="83"/>
      <c r="H3" s="79"/>
      <c r="I3" s="79"/>
      <c r="J3" s="79"/>
      <c r="K3" s="100"/>
    </row>
    <row r="4">
      <c r="A4" s="101" t="s">
        <v>27</v>
      </c>
      <c r="B4" s="98">
        <f t="shared" ref="B4:C4" si="4">B53</f>
        <v>11727</v>
      </c>
      <c r="C4" s="98">
        <f t="shared" si="4"/>
        <v>246</v>
      </c>
      <c r="D4" s="98"/>
      <c r="E4" s="99">
        <f t="shared" si="3"/>
        <v>11973</v>
      </c>
      <c r="F4" s="55"/>
      <c r="G4" s="83"/>
      <c r="H4" s="79"/>
      <c r="I4" s="79"/>
      <c r="J4" s="79"/>
      <c r="K4" s="100"/>
    </row>
    <row r="5">
      <c r="A5" s="97" t="s">
        <v>8</v>
      </c>
      <c r="B5" s="98">
        <f t="shared" ref="B5:C5" si="5">B61</f>
        <v>20395</v>
      </c>
      <c r="C5" s="98">
        <f t="shared" si="5"/>
        <v>1482</v>
      </c>
      <c r="D5" s="98"/>
      <c r="E5" s="99">
        <f t="shared" si="3"/>
        <v>21877</v>
      </c>
      <c r="F5" s="55"/>
      <c r="G5" s="83"/>
      <c r="H5" s="79"/>
      <c r="I5" s="79"/>
      <c r="J5" s="79"/>
      <c r="K5" s="100"/>
    </row>
    <row r="6">
      <c r="A6" s="97" t="s">
        <v>28</v>
      </c>
      <c r="B6" s="98">
        <f t="shared" ref="B6:C6" si="6">B66</f>
        <v>1220</v>
      </c>
      <c r="C6" s="98">
        <f t="shared" si="6"/>
        <v>0</v>
      </c>
      <c r="D6" s="98"/>
      <c r="E6" s="99">
        <f t="shared" si="3"/>
        <v>1220</v>
      </c>
      <c r="F6" s="55"/>
      <c r="G6" s="83"/>
      <c r="H6" s="79"/>
      <c r="I6" s="79"/>
      <c r="J6" s="79"/>
      <c r="K6" s="100"/>
    </row>
    <row r="7">
      <c r="A7" s="97" t="s">
        <v>29</v>
      </c>
      <c r="B7" s="98">
        <f t="shared" ref="B7:C7" si="7">B71</f>
        <v>78</v>
      </c>
      <c r="C7" s="98">
        <f t="shared" si="7"/>
        <v>532</v>
      </c>
      <c r="D7" s="98"/>
      <c r="E7" s="99">
        <f t="shared" si="3"/>
        <v>610</v>
      </c>
      <c r="F7" s="55"/>
      <c r="G7" s="83"/>
      <c r="H7" s="79"/>
      <c r="I7" s="79"/>
      <c r="J7" s="79"/>
      <c r="K7" s="79"/>
    </row>
    <row r="8">
      <c r="A8" s="102" t="s">
        <v>25</v>
      </c>
      <c r="B8" s="103">
        <f t="shared" ref="B8:C8" si="8">SUM(B2:B7)</f>
        <v>66770</v>
      </c>
      <c r="C8" s="103">
        <f t="shared" si="8"/>
        <v>11757</v>
      </c>
      <c r="D8" s="104"/>
      <c r="E8" s="103">
        <f>SUM(E2:E7)</f>
        <v>78527</v>
      </c>
      <c r="G8" s="105"/>
      <c r="H8" s="106"/>
      <c r="I8" s="106"/>
      <c r="J8" s="106"/>
      <c r="K8" s="106"/>
    </row>
    <row r="9">
      <c r="A9" s="93" t="s">
        <v>30</v>
      </c>
      <c r="B9" s="107"/>
      <c r="C9" s="107"/>
      <c r="D9" s="93" t="s">
        <v>31</v>
      </c>
      <c r="E9" s="93" t="s">
        <v>32</v>
      </c>
      <c r="G9" s="46"/>
      <c r="H9" s="46"/>
      <c r="I9" s="82"/>
      <c r="J9" s="46"/>
      <c r="K9" s="46"/>
    </row>
    <row r="10">
      <c r="A10" s="54" t="s">
        <v>33</v>
      </c>
      <c r="B10" s="34"/>
      <c r="C10" s="34"/>
      <c r="D10" s="108">
        <f>E37</f>
        <v>276</v>
      </c>
      <c r="E10" s="34"/>
      <c r="G10" s="46"/>
      <c r="H10" s="46"/>
      <c r="I10" s="82"/>
      <c r="J10" s="46"/>
      <c r="K10" s="46"/>
    </row>
    <row r="11">
      <c r="A11" s="54" t="s">
        <v>34</v>
      </c>
      <c r="B11" s="34"/>
      <c r="C11" s="34"/>
      <c r="D11" s="108">
        <f>F37</f>
        <v>214</v>
      </c>
      <c r="E11" s="34"/>
      <c r="G11" s="46"/>
      <c r="H11" s="46"/>
      <c r="I11" s="82"/>
      <c r="J11" s="46"/>
      <c r="K11" s="46"/>
    </row>
    <row r="12">
      <c r="A12" s="54" t="s">
        <v>35</v>
      </c>
      <c r="B12" s="34"/>
      <c r="C12" s="34"/>
      <c r="D12" s="108">
        <f>G37</f>
        <v>402</v>
      </c>
      <c r="E12" s="34"/>
      <c r="G12" s="46"/>
      <c r="H12" s="46"/>
      <c r="I12" s="82"/>
      <c r="J12" s="46"/>
      <c r="K12" s="46"/>
    </row>
    <row r="13">
      <c r="A13" s="54" t="s">
        <v>36</v>
      </c>
      <c r="B13" s="34"/>
      <c r="C13" s="34"/>
      <c r="D13" s="34"/>
      <c r="E13" s="108">
        <f>H37</f>
        <v>30</v>
      </c>
      <c r="G13" s="46"/>
      <c r="H13" s="46"/>
      <c r="I13" s="82"/>
      <c r="J13" s="46"/>
      <c r="K13" s="46"/>
    </row>
    <row r="14">
      <c r="A14" s="105" t="s">
        <v>37</v>
      </c>
    </row>
    <row r="15">
      <c r="A15" s="34"/>
      <c r="B15" s="92" t="s">
        <v>22</v>
      </c>
      <c r="C15" s="93" t="s">
        <v>23</v>
      </c>
      <c r="D15" s="93" t="s">
        <v>38</v>
      </c>
      <c r="E15" s="108" t="s">
        <v>33</v>
      </c>
      <c r="F15" s="108" t="s">
        <v>34</v>
      </c>
      <c r="G15" s="108" t="s">
        <v>39</v>
      </c>
      <c r="H15" s="108" t="s">
        <v>40</v>
      </c>
    </row>
    <row r="16">
      <c r="A16" s="75" t="s">
        <v>41</v>
      </c>
      <c r="B16" s="109">
        <v>4024.0</v>
      </c>
      <c r="C16" s="109">
        <v>86.0</v>
      </c>
      <c r="D16" s="98"/>
      <c r="E16" s="98">
        <v>232.0</v>
      </c>
      <c r="F16" s="98"/>
      <c r="G16" s="98"/>
      <c r="H16" s="98">
        <v>2.0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>
      <c r="A17" s="75" t="s">
        <v>42</v>
      </c>
      <c r="B17" s="109">
        <v>220.0</v>
      </c>
      <c r="C17" s="98"/>
      <c r="D17" s="98"/>
      <c r="E17" s="98"/>
      <c r="F17" s="98"/>
      <c r="G17" s="98">
        <v>5.0</v>
      </c>
      <c r="H17" s="9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>
      <c r="A18" s="75" t="s">
        <v>43</v>
      </c>
      <c r="B18" s="109">
        <v>392.0</v>
      </c>
      <c r="C18" s="98"/>
      <c r="D18" s="98"/>
      <c r="E18" s="98"/>
      <c r="F18" s="98"/>
      <c r="G18" s="98">
        <v>8.0</v>
      </c>
      <c r="H18" s="9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>
      <c r="A19" s="75" t="s">
        <v>44</v>
      </c>
      <c r="B19" s="109">
        <v>1720.0</v>
      </c>
      <c r="C19" s="98">
        <v>77.0</v>
      </c>
      <c r="D19" s="98"/>
      <c r="E19" s="98"/>
      <c r="F19" s="98"/>
      <c r="G19" s="98">
        <v>100.0</v>
      </c>
      <c r="H19" s="98">
        <v>1.0</v>
      </c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>
      <c r="A20" s="75" t="s">
        <v>45</v>
      </c>
      <c r="B20" s="109">
        <v>514.0</v>
      </c>
      <c r="C20" s="98"/>
      <c r="D20" s="98"/>
      <c r="E20" s="98"/>
      <c r="F20" s="98"/>
      <c r="G20" s="98">
        <v>14.0</v>
      </c>
      <c r="H20" s="9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>
      <c r="A21" s="75" t="s">
        <v>46</v>
      </c>
      <c r="B21" s="109">
        <v>339.0</v>
      </c>
      <c r="C21" s="98"/>
      <c r="D21" s="98"/>
      <c r="E21" s="99"/>
      <c r="F21" s="99"/>
      <c r="G21" s="98">
        <v>4.0</v>
      </c>
      <c r="H21" s="98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>
      <c r="A22" s="75" t="s">
        <v>47</v>
      </c>
      <c r="B22" s="109">
        <v>3980.0</v>
      </c>
      <c r="C22" s="98"/>
      <c r="D22" s="98"/>
      <c r="E22" s="99"/>
      <c r="F22" s="99"/>
      <c r="G22" s="98">
        <v>28.0</v>
      </c>
      <c r="H22" s="9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>
      <c r="A23" s="75" t="s">
        <v>48</v>
      </c>
      <c r="B23" s="109">
        <v>561.0</v>
      </c>
      <c r="C23" s="98">
        <v>69.0</v>
      </c>
      <c r="D23" s="98"/>
      <c r="E23" s="98">
        <v>2.0</v>
      </c>
      <c r="F23" s="98">
        <v>5.0</v>
      </c>
      <c r="G23" s="99"/>
      <c r="H23" s="98">
        <v>1.0</v>
      </c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5.0" customHeight="1">
      <c r="A24" s="75" t="s">
        <v>49</v>
      </c>
      <c r="B24" s="109">
        <v>1298.0</v>
      </c>
      <c r="C24" s="98"/>
      <c r="D24" s="98"/>
      <c r="E24" s="99"/>
      <c r="F24" s="99"/>
      <c r="G24" s="98">
        <v>18.0</v>
      </c>
      <c r="H24" s="9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>
      <c r="A25" s="75" t="s">
        <v>50</v>
      </c>
      <c r="B25" s="109">
        <v>6652.0</v>
      </c>
      <c r="C25" s="109">
        <v>754.0</v>
      </c>
      <c r="D25" s="98"/>
      <c r="E25" s="99"/>
      <c r="F25" s="98">
        <v>184.0</v>
      </c>
      <c r="G25" s="98">
        <v>181.0</v>
      </c>
      <c r="H25" s="98">
        <v>8.0</v>
      </c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>
      <c r="A26" s="75" t="s">
        <v>51</v>
      </c>
      <c r="B26" s="109">
        <v>43.0</v>
      </c>
      <c r="C26" s="109">
        <v>223.0</v>
      </c>
      <c r="D26" s="98"/>
      <c r="E26" s="98">
        <v>1.0</v>
      </c>
      <c r="F26" s="98"/>
      <c r="G26" s="98"/>
      <c r="H26" s="98">
        <v>2.0</v>
      </c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>
      <c r="A27" s="75" t="s">
        <v>52</v>
      </c>
      <c r="B27" s="109">
        <v>286.0</v>
      </c>
      <c r="C27" s="98"/>
      <c r="D27" s="98"/>
      <c r="E27" s="99"/>
      <c r="F27" s="98">
        <v>8.0</v>
      </c>
      <c r="G27" s="99"/>
      <c r="H27" s="9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>
      <c r="A28" s="75" t="s">
        <v>53</v>
      </c>
      <c r="B28" s="109">
        <v>997.0</v>
      </c>
      <c r="C28" s="98">
        <v>479.0</v>
      </c>
      <c r="D28" s="98"/>
      <c r="E28" s="98">
        <v>36.0</v>
      </c>
      <c r="F28" s="98"/>
      <c r="G28" s="99"/>
      <c r="H28" s="98">
        <v>3.0</v>
      </c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>
      <c r="A29" s="75" t="s">
        <v>54</v>
      </c>
      <c r="B29" s="109">
        <v>72.0</v>
      </c>
      <c r="C29" s="98">
        <v>72.0</v>
      </c>
      <c r="D29" s="98"/>
      <c r="E29" s="99"/>
      <c r="F29" s="98"/>
      <c r="G29" s="98">
        <v>2.0</v>
      </c>
      <c r="H29" s="98">
        <v>1.0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>
      <c r="A30" s="75" t="s">
        <v>55</v>
      </c>
      <c r="B30" s="109">
        <v>90.0</v>
      </c>
      <c r="C30" s="98">
        <v>90.0</v>
      </c>
      <c r="D30" s="98"/>
      <c r="E30" s="99"/>
      <c r="F30" s="98">
        <v>1.0</v>
      </c>
      <c r="G30" s="99"/>
      <c r="H30" s="98">
        <v>1.0</v>
      </c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>
      <c r="A31" s="75" t="s">
        <v>56</v>
      </c>
      <c r="B31" s="109">
        <v>1237.0</v>
      </c>
      <c r="C31" s="98">
        <v>1149.0</v>
      </c>
      <c r="D31" s="98"/>
      <c r="E31" s="98">
        <v>5.0</v>
      </c>
      <c r="F31" s="98"/>
      <c r="G31" s="98">
        <v>9.0</v>
      </c>
      <c r="H31" s="98">
        <v>8.0</v>
      </c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>
      <c r="A32" s="75" t="s">
        <v>57</v>
      </c>
      <c r="B32" s="109">
        <v>88.0</v>
      </c>
      <c r="C32" s="109">
        <v>88.0</v>
      </c>
      <c r="D32" s="98"/>
      <c r="E32" s="99"/>
      <c r="F32" s="98">
        <v>8.0</v>
      </c>
      <c r="G32" s="99"/>
      <c r="H32" s="98">
        <v>1.0</v>
      </c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>
      <c r="A33" s="110" t="s">
        <v>58</v>
      </c>
      <c r="B33" s="111">
        <v>288.0</v>
      </c>
      <c r="C33" s="98"/>
      <c r="D33" s="112"/>
      <c r="E33" s="113"/>
      <c r="F33" s="112">
        <v>8.0</v>
      </c>
      <c r="G33" s="113"/>
      <c r="H33" s="112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114"/>
      <c r="V33" s="114"/>
      <c r="W33" s="114"/>
      <c r="X33" s="114"/>
      <c r="Y33" s="114"/>
      <c r="Z33" s="114"/>
    </row>
    <row r="34">
      <c r="A34" s="110" t="s">
        <v>59</v>
      </c>
      <c r="B34" s="115">
        <v>554.0</v>
      </c>
      <c r="C34" s="98"/>
      <c r="D34" s="112"/>
      <c r="E34" s="113"/>
      <c r="F34" s="112"/>
      <c r="G34" s="112">
        <v>33.0</v>
      </c>
      <c r="H34" s="113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114"/>
      <c r="V34" s="114"/>
      <c r="W34" s="114"/>
      <c r="X34" s="114"/>
      <c r="Y34" s="114"/>
      <c r="Z34" s="114"/>
    </row>
    <row r="35">
      <c r="A35" s="110" t="s">
        <v>60</v>
      </c>
      <c r="B35" s="111">
        <v>282.0</v>
      </c>
      <c r="C35" s="98">
        <v>282.0</v>
      </c>
      <c r="D35" s="112"/>
      <c r="E35" s="113"/>
      <c r="F35" s="112"/>
      <c r="G35" s="113"/>
      <c r="H35" s="112">
        <v>1.0</v>
      </c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114"/>
      <c r="V35" s="114"/>
      <c r="W35" s="114"/>
      <c r="X35" s="114"/>
      <c r="Y35" s="114"/>
      <c r="Z35" s="114"/>
    </row>
    <row r="36">
      <c r="A36" s="110" t="s">
        <v>61</v>
      </c>
      <c r="B36" s="111"/>
      <c r="C36" s="98">
        <v>54.0</v>
      </c>
      <c r="D36" s="112"/>
      <c r="E36" s="113"/>
      <c r="F36" s="112"/>
      <c r="G36" s="113"/>
      <c r="H36" s="112">
        <v>1.0</v>
      </c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114"/>
      <c r="V36" s="114"/>
      <c r="W36" s="114"/>
      <c r="X36" s="114"/>
      <c r="Y36" s="114"/>
      <c r="Z36" s="114"/>
    </row>
    <row r="37">
      <c r="A37" s="102" t="s">
        <v>62</v>
      </c>
      <c r="B37" s="103">
        <f t="shared" ref="B37:C37" si="9">SUM(B16:B36)</f>
        <v>23637</v>
      </c>
      <c r="C37" s="103">
        <f t="shared" si="9"/>
        <v>3423</v>
      </c>
      <c r="D37" s="103">
        <f>SUM(D16:D29)</f>
        <v>0</v>
      </c>
      <c r="E37" s="103">
        <f t="shared" ref="E37:H37" si="10">SUM(E16:E36)</f>
        <v>276</v>
      </c>
      <c r="F37" s="103">
        <f t="shared" si="10"/>
        <v>214</v>
      </c>
      <c r="G37" s="103">
        <f t="shared" si="10"/>
        <v>402</v>
      </c>
      <c r="H37" s="103">
        <f t="shared" si="10"/>
        <v>30</v>
      </c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</row>
    <row r="38">
      <c r="A38" s="116" t="s">
        <v>63</v>
      </c>
      <c r="B38" s="117"/>
      <c r="C38" s="117"/>
      <c r="D38" s="118"/>
      <c r="E38" s="119"/>
      <c r="F38" s="119"/>
      <c r="G38" s="119"/>
      <c r="H38" s="11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</row>
    <row r="39">
      <c r="A39" s="34"/>
      <c r="B39" s="92" t="s">
        <v>22</v>
      </c>
      <c r="C39" s="93" t="s">
        <v>23</v>
      </c>
      <c r="D39" s="93" t="s">
        <v>24</v>
      </c>
      <c r="E39" s="54" t="s">
        <v>64</v>
      </c>
    </row>
    <row r="40">
      <c r="A40" s="54" t="s">
        <v>65</v>
      </c>
      <c r="B40" s="120">
        <v>7606.0</v>
      </c>
      <c r="C40" s="120">
        <v>5405.0</v>
      </c>
      <c r="D40" s="75">
        <f>218+11</f>
        <v>229</v>
      </c>
      <c r="E40" s="54">
        <v>437.0</v>
      </c>
    </row>
    <row r="41">
      <c r="A41" s="54" t="s">
        <v>66</v>
      </c>
      <c r="B41" s="120">
        <v>1219.0</v>
      </c>
      <c r="C41" s="120">
        <v>669.0</v>
      </c>
      <c r="D41" s="75">
        <v>50.0</v>
      </c>
      <c r="E41" s="54">
        <v>62.0</v>
      </c>
    </row>
    <row r="42">
      <c r="A42" s="54" t="s">
        <v>67</v>
      </c>
      <c r="B42" s="120">
        <v>888.0</v>
      </c>
      <c r="C42" s="75"/>
      <c r="D42" s="75">
        <v>55.0</v>
      </c>
      <c r="E42" s="34"/>
    </row>
    <row r="43">
      <c r="A43" s="102" t="s">
        <v>62</v>
      </c>
      <c r="B43" s="104">
        <f t="shared" ref="B43:E43" si="11">SUM(B40:B42)</f>
        <v>9713</v>
      </c>
      <c r="C43" s="104">
        <f t="shared" si="11"/>
        <v>6074</v>
      </c>
      <c r="D43" s="104">
        <f t="shared" si="11"/>
        <v>334</v>
      </c>
      <c r="E43" s="34">
        <f t="shared" si="11"/>
        <v>499</v>
      </c>
    </row>
    <row r="44">
      <c r="A44" s="116" t="s">
        <v>68</v>
      </c>
      <c r="B44" s="121"/>
      <c r="C44" s="121"/>
      <c r="D44" s="121"/>
    </row>
    <row r="45">
      <c r="A45" s="34"/>
      <c r="B45" s="122" t="s">
        <v>22</v>
      </c>
      <c r="C45" s="123" t="s">
        <v>23</v>
      </c>
      <c r="D45" s="123" t="s">
        <v>24</v>
      </c>
    </row>
    <row r="46">
      <c r="A46" s="54" t="s">
        <v>69</v>
      </c>
      <c r="B46" s="120">
        <v>10796.0</v>
      </c>
      <c r="C46" s="75">
        <v>0.0</v>
      </c>
      <c r="D46" s="75">
        <v>597.0</v>
      </c>
    </row>
    <row r="47">
      <c r="A47" s="54" t="s">
        <v>70</v>
      </c>
      <c r="B47" s="120">
        <v>114.0</v>
      </c>
      <c r="C47" s="75">
        <v>0.0</v>
      </c>
      <c r="D47" s="75">
        <v>3.0</v>
      </c>
    </row>
    <row r="48">
      <c r="A48" s="54" t="s">
        <v>71</v>
      </c>
      <c r="B48" s="120">
        <v>246.0</v>
      </c>
      <c r="C48" s="120">
        <v>246.0</v>
      </c>
      <c r="D48" s="75">
        <v>3.0</v>
      </c>
    </row>
    <row r="49">
      <c r="A49" s="54" t="s">
        <v>72</v>
      </c>
      <c r="B49" s="120">
        <v>288.0</v>
      </c>
      <c r="C49" s="75">
        <v>0.0</v>
      </c>
      <c r="D49" s="75">
        <v>4.0</v>
      </c>
    </row>
    <row r="50">
      <c r="A50" s="54" t="s">
        <v>73</v>
      </c>
      <c r="B50" s="120"/>
      <c r="C50" s="75"/>
      <c r="D50" s="75">
        <v>15.0</v>
      </c>
    </row>
    <row r="51">
      <c r="A51" s="54" t="s">
        <v>74</v>
      </c>
      <c r="B51" s="120"/>
      <c r="C51" s="75"/>
      <c r="D51" s="75">
        <v>4.0</v>
      </c>
    </row>
    <row r="52">
      <c r="A52" s="54" t="s">
        <v>75</v>
      </c>
      <c r="B52" s="120">
        <v>283.0</v>
      </c>
      <c r="C52" s="75">
        <v>0.0</v>
      </c>
      <c r="D52" s="75">
        <v>9.0</v>
      </c>
      <c r="G52" s="83"/>
      <c r="H52" s="124"/>
      <c r="I52" s="79"/>
      <c r="J52" s="79"/>
      <c r="K52" s="100"/>
    </row>
    <row r="53">
      <c r="A53" s="102" t="s">
        <v>62</v>
      </c>
      <c r="B53" s="104">
        <f t="shared" ref="B53:D53" si="12">SUM(B46:B52)</f>
        <v>11727</v>
      </c>
      <c r="C53" s="104">
        <f t="shared" si="12"/>
        <v>246</v>
      </c>
      <c r="D53" s="104">
        <f t="shared" si="12"/>
        <v>635</v>
      </c>
      <c r="G53" s="83"/>
      <c r="H53" s="124"/>
      <c r="I53" s="79"/>
      <c r="J53" s="79"/>
      <c r="K53" s="100"/>
    </row>
    <row r="54">
      <c r="A54" s="116" t="s">
        <v>76</v>
      </c>
      <c r="B54" s="121"/>
      <c r="C54" s="121"/>
      <c r="D54" s="121"/>
    </row>
    <row r="55">
      <c r="A55" s="34"/>
      <c r="B55" s="92" t="s">
        <v>22</v>
      </c>
      <c r="C55" s="93" t="s">
        <v>23</v>
      </c>
      <c r="D55" s="93" t="s">
        <v>24</v>
      </c>
    </row>
    <row r="56">
      <c r="A56" s="54" t="s">
        <v>77</v>
      </c>
      <c r="B56" s="75"/>
      <c r="C56" s="125">
        <v>1482.0</v>
      </c>
      <c r="D56" s="75">
        <v>12.0</v>
      </c>
    </row>
    <row r="57">
      <c r="A57" s="54" t="s">
        <v>78</v>
      </c>
      <c r="B57" s="75">
        <v>40.0</v>
      </c>
      <c r="C57" s="75"/>
      <c r="D57" s="75">
        <v>5.0</v>
      </c>
    </row>
    <row r="58">
      <c r="A58" s="54" t="s">
        <v>71</v>
      </c>
      <c r="B58" s="75">
        <v>1271.0</v>
      </c>
      <c r="C58" s="75"/>
      <c r="D58" s="75">
        <v>75.0</v>
      </c>
    </row>
    <row r="59">
      <c r="A59" s="54" t="s">
        <v>79</v>
      </c>
      <c r="B59" s="75">
        <v>360.0</v>
      </c>
      <c r="C59" s="75"/>
      <c r="D59" s="75">
        <v>4.0</v>
      </c>
    </row>
    <row r="60">
      <c r="A60" s="54" t="s">
        <v>80</v>
      </c>
      <c r="B60" s="75">
        <v>18724.0</v>
      </c>
      <c r="C60" s="75"/>
      <c r="D60" s="75"/>
    </row>
    <row r="61">
      <c r="A61" s="102" t="s">
        <v>62</v>
      </c>
      <c r="B61" s="104">
        <f t="shared" ref="B61:C61" si="13">SUM(B56:B60)</f>
        <v>20395</v>
      </c>
      <c r="C61" s="126">
        <f t="shared" si="13"/>
        <v>1482</v>
      </c>
      <c r="D61" s="104">
        <f>SUM(D56:D59)</f>
        <v>96</v>
      </c>
    </row>
    <row r="62">
      <c r="A62" s="116" t="s">
        <v>81</v>
      </c>
      <c r="B62" s="121"/>
      <c r="C62" s="121"/>
      <c r="D62" s="121"/>
    </row>
    <row r="63">
      <c r="A63" s="34"/>
      <c r="B63" s="92" t="s">
        <v>82</v>
      </c>
      <c r="C63" s="93" t="s">
        <v>23</v>
      </c>
      <c r="D63" s="93" t="s">
        <v>24</v>
      </c>
    </row>
    <row r="64">
      <c r="A64" s="54" t="s">
        <v>74</v>
      </c>
      <c r="B64" s="75">
        <v>105.0</v>
      </c>
      <c r="C64" s="75">
        <v>0.0</v>
      </c>
      <c r="D64" s="75">
        <v>4.0</v>
      </c>
    </row>
    <row r="65">
      <c r="A65" s="54" t="s">
        <v>83</v>
      </c>
      <c r="B65" s="75">
        <v>1115.0</v>
      </c>
      <c r="C65" s="75">
        <v>0.0</v>
      </c>
      <c r="D65" s="75">
        <v>42.0</v>
      </c>
    </row>
    <row r="66">
      <c r="A66" s="102" t="s">
        <v>62</v>
      </c>
      <c r="B66" s="104">
        <f t="shared" ref="B66:D66" si="14">SUM(B64:B65)</f>
        <v>1220</v>
      </c>
      <c r="C66" s="104">
        <f t="shared" si="14"/>
        <v>0</v>
      </c>
      <c r="D66" s="104">
        <f t="shared" si="14"/>
        <v>46</v>
      </c>
    </row>
    <row r="67">
      <c r="A67" s="127" t="s">
        <v>84</v>
      </c>
      <c r="B67" s="128"/>
      <c r="C67" s="128"/>
      <c r="D67" s="128"/>
    </row>
    <row r="68">
      <c r="A68" s="34"/>
      <c r="B68" s="92" t="s">
        <v>82</v>
      </c>
      <c r="C68" s="93" t="s">
        <v>23</v>
      </c>
      <c r="D68" s="93" t="s">
        <v>24</v>
      </c>
    </row>
    <row r="69">
      <c r="A69" s="54" t="s">
        <v>73</v>
      </c>
      <c r="B69" s="75">
        <v>78.0</v>
      </c>
      <c r="C69" s="125">
        <v>92.0</v>
      </c>
      <c r="D69" s="75">
        <v>15.0</v>
      </c>
    </row>
    <row r="70">
      <c r="A70" s="54" t="s">
        <v>85</v>
      </c>
      <c r="B70" s="75">
        <v>0.0</v>
      </c>
      <c r="C70" s="125">
        <v>440.0</v>
      </c>
      <c r="D70" s="75">
        <v>0.0</v>
      </c>
    </row>
    <row r="71">
      <c r="A71" s="102" t="s">
        <v>62</v>
      </c>
      <c r="B71" s="104">
        <f t="shared" ref="B71:D71" si="15">SUM(B69:B70)</f>
        <v>78</v>
      </c>
      <c r="C71" s="104">
        <f t="shared" si="15"/>
        <v>532</v>
      </c>
      <c r="D71" s="104">
        <f t="shared" si="15"/>
        <v>15</v>
      </c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25"/>
  </cols>
  <sheetData>
    <row r="1">
      <c r="A1" s="43"/>
      <c r="B1" s="44" t="s">
        <v>4</v>
      </c>
      <c r="C1" s="45" t="s">
        <v>5</v>
      </c>
      <c r="D1" s="45" t="s">
        <v>6</v>
      </c>
      <c r="E1" s="46"/>
      <c r="F1" s="129"/>
      <c r="G1" s="130"/>
      <c r="H1" s="131"/>
      <c r="I1" s="131"/>
    </row>
    <row r="2">
      <c r="A2" s="50" t="s">
        <v>86</v>
      </c>
      <c r="B2" s="51">
        <v>33150.0</v>
      </c>
      <c r="C2" s="51">
        <v>12.0</v>
      </c>
      <c r="D2" s="58">
        <f t="shared" ref="D2:D4" si="1">B2/C2</f>
        <v>2762.5</v>
      </c>
      <c r="E2" s="46"/>
      <c r="F2" s="53">
        <f>'Исходные данные'!E6+'Исходные данные'!E7</f>
        <v>1830</v>
      </c>
      <c r="G2" s="54" t="s">
        <v>8</v>
      </c>
      <c r="H2" s="79"/>
      <c r="I2" s="100"/>
    </row>
    <row r="3">
      <c r="A3" s="132" t="s">
        <v>7</v>
      </c>
      <c r="B3" s="133">
        <f>3500+442</f>
        <v>3942</v>
      </c>
      <c r="C3" s="51">
        <v>12.0</v>
      </c>
      <c r="D3" s="58">
        <f t="shared" si="1"/>
        <v>328.5</v>
      </c>
      <c r="E3" s="46"/>
      <c r="H3" s="79"/>
      <c r="I3" s="100"/>
    </row>
    <row r="4">
      <c r="A4" s="75" t="s">
        <v>12</v>
      </c>
      <c r="B4" s="134"/>
      <c r="C4" s="51">
        <v>12.0</v>
      </c>
      <c r="D4" s="58">
        <f t="shared" si="1"/>
        <v>0</v>
      </c>
      <c r="E4" s="46"/>
      <c r="F4" s="59">
        <f>D20/F2</f>
        <v>1.689071038</v>
      </c>
      <c r="G4" s="60" t="s">
        <v>9</v>
      </c>
      <c r="H4" s="67"/>
      <c r="I4" s="135"/>
    </row>
    <row r="5">
      <c r="A5" s="57"/>
      <c r="B5" s="58"/>
      <c r="C5" s="51"/>
      <c r="D5" s="58"/>
      <c r="E5" s="46"/>
      <c r="F5" s="67"/>
      <c r="G5" s="67"/>
      <c r="H5" s="67"/>
      <c r="I5" s="67"/>
    </row>
    <row r="6">
      <c r="A6" s="57"/>
      <c r="B6" s="58"/>
      <c r="C6" s="51"/>
      <c r="D6" s="58"/>
      <c r="E6" s="46"/>
      <c r="F6" s="67"/>
      <c r="G6" s="136"/>
      <c r="H6" s="67"/>
      <c r="I6" s="67"/>
    </row>
    <row r="7">
      <c r="A7" s="57"/>
      <c r="B7" s="58"/>
      <c r="C7" s="51"/>
      <c r="D7" s="58"/>
      <c r="E7" s="46"/>
      <c r="F7" s="67"/>
      <c r="G7" s="67"/>
      <c r="H7" s="67"/>
      <c r="I7" s="67"/>
    </row>
    <row r="8">
      <c r="A8" s="57"/>
      <c r="B8" s="58"/>
      <c r="C8" s="51"/>
      <c r="D8" s="58"/>
      <c r="E8" s="46"/>
      <c r="F8" s="46"/>
      <c r="G8" s="46"/>
      <c r="H8" s="46"/>
      <c r="I8" s="46"/>
    </row>
    <row r="9">
      <c r="A9" s="57"/>
      <c r="B9" s="58"/>
      <c r="C9" s="51"/>
      <c r="D9" s="58"/>
      <c r="E9" s="46"/>
      <c r="F9" s="46"/>
      <c r="G9" s="46"/>
      <c r="H9" s="46"/>
      <c r="I9" s="46"/>
    </row>
    <row r="10">
      <c r="A10" s="57"/>
      <c r="B10" s="58"/>
      <c r="C10" s="51"/>
      <c r="D10" s="58"/>
      <c r="E10" s="46"/>
      <c r="F10" s="46"/>
      <c r="G10" s="46"/>
      <c r="H10" s="46"/>
      <c r="I10" s="46"/>
    </row>
    <row r="11">
      <c r="A11" s="57"/>
      <c r="B11" s="58"/>
      <c r="C11" s="51"/>
      <c r="D11" s="58"/>
      <c r="E11" s="46"/>
      <c r="F11" s="46"/>
      <c r="G11" s="46"/>
      <c r="H11" s="46"/>
      <c r="I11" s="46"/>
    </row>
    <row r="12">
      <c r="A12" s="57"/>
      <c r="B12" s="58"/>
      <c r="C12" s="51"/>
      <c r="D12" s="58"/>
      <c r="E12" s="46"/>
      <c r="F12" s="46"/>
      <c r="G12" s="46"/>
      <c r="H12" s="46"/>
      <c r="I12" s="46"/>
    </row>
    <row r="13">
      <c r="A13" s="57"/>
      <c r="B13" s="58"/>
      <c r="C13" s="51"/>
      <c r="D13" s="58"/>
      <c r="E13" s="46"/>
      <c r="F13" s="46"/>
      <c r="G13" s="46"/>
      <c r="H13" s="46"/>
      <c r="I13" s="46"/>
    </row>
    <row r="14">
      <c r="A14" s="57"/>
      <c r="B14" s="58"/>
      <c r="C14" s="51"/>
      <c r="D14" s="58"/>
      <c r="E14" s="46"/>
      <c r="F14" s="46"/>
      <c r="G14" s="46"/>
      <c r="H14" s="46"/>
      <c r="I14" s="46"/>
    </row>
    <row r="15">
      <c r="A15" s="57"/>
      <c r="B15" s="58"/>
      <c r="C15" s="51"/>
      <c r="D15" s="58"/>
      <c r="E15" s="46"/>
      <c r="F15" s="46"/>
      <c r="G15" s="46"/>
      <c r="H15" s="46"/>
      <c r="I15" s="46"/>
    </row>
    <row r="16">
      <c r="A16" s="57"/>
      <c r="B16" s="58"/>
      <c r="C16" s="51"/>
      <c r="D16" s="58"/>
      <c r="E16" s="46"/>
      <c r="F16" s="46"/>
      <c r="G16" s="46"/>
      <c r="H16" s="46"/>
      <c r="I16" s="46"/>
    </row>
    <row r="17">
      <c r="A17" s="57"/>
      <c r="B17" s="58"/>
      <c r="C17" s="51"/>
      <c r="D17" s="58"/>
      <c r="E17" s="46"/>
      <c r="F17" s="46"/>
      <c r="G17" s="46"/>
      <c r="H17" s="46"/>
      <c r="I17" s="46"/>
    </row>
    <row r="18">
      <c r="A18" s="137"/>
      <c r="B18" s="61"/>
      <c r="C18" s="51"/>
      <c r="D18" s="58"/>
      <c r="E18" s="46"/>
      <c r="F18" s="46"/>
      <c r="G18" s="46"/>
      <c r="H18" s="46"/>
      <c r="I18" s="46"/>
    </row>
    <row r="19">
      <c r="A19" s="138"/>
      <c r="B19" s="61"/>
      <c r="C19" s="51"/>
      <c r="D19" s="58"/>
      <c r="E19" s="46"/>
      <c r="F19" s="46"/>
      <c r="G19" s="46"/>
      <c r="H19" s="46"/>
      <c r="I19" s="46"/>
    </row>
    <row r="20">
      <c r="A20" s="43"/>
      <c r="B20" s="139"/>
      <c r="C20" s="139"/>
      <c r="D20" s="52">
        <f>SUM(D2:D17)</f>
        <v>3091</v>
      </c>
      <c r="E20" s="46"/>
      <c r="F20" s="46"/>
      <c r="G20" s="46"/>
      <c r="H20" s="46"/>
      <c r="I20" s="4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5"/>
    <col customWidth="1" min="8" max="8" width="17.38"/>
  </cols>
  <sheetData>
    <row r="1">
      <c r="A1" s="140"/>
      <c r="B1" s="44" t="s">
        <v>4</v>
      </c>
      <c r="C1" s="45" t="s">
        <v>5</v>
      </c>
      <c r="D1" s="141" t="s">
        <v>6</v>
      </c>
      <c r="E1" s="67"/>
      <c r="J1" s="69"/>
    </row>
    <row r="2">
      <c r="A2" s="142" t="s">
        <v>87</v>
      </c>
      <c r="B2" s="51">
        <v>300.0</v>
      </c>
      <c r="C2" s="51">
        <v>12.0</v>
      </c>
      <c r="D2" s="143">
        <f t="shared" ref="D2:D6" si="1">B2/C2</f>
        <v>25</v>
      </c>
      <c r="E2" s="67"/>
      <c r="G2" s="53">
        <f>'Исходные данные'!E4</f>
        <v>11973</v>
      </c>
      <c r="H2" s="54" t="s">
        <v>88</v>
      </c>
      <c r="J2" s="69"/>
    </row>
    <row r="3">
      <c r="A3" s="142" t="s">
        <v>7</v>
      </c>
      <c r="B3" s="51">
        <f>3500+11917.04+7303</f>
        <v>22720.04</v>
      </c>
      <c r="C3" s="51">
        <v>12.0</v>
      </c>
      <c r="D3" s="143">
        <f t="shared" si="1"/>
        <v>1893.336667</v>
      </c>
      <c r="E3" s="67"/>
      <c r="J3" s="69"/>
    </row>
    <row r="4">
      <c r="A4" s="142" t="s">
        <v>16</v>
      </c>
      <c r="B4" s="51"/>
      <c r="C4" s="51">
        <v>12.0</v>
      </c>
      <c r="D4" s="143">
        <f t="shared" si="1"/>
        <v>0</v>
      </c>
      <c r="E4" s="67"/>
      <c r="G4" s="59">
        <f>D8/G2</f>
        <v>2.134690484</v>
      </c>
      <c r="H4" s="60" t="s">
        <v>9</v>
      </c>
      <c r="J4" s="69"/>
    </row>
    <row r="5">
      <c r="A5" s="142" t="s">
        <v>89</v>
      </c>
      <c r="B5" s="51">
        <v>163683.75</v>
      </c>
      <c r="C5" s="51">
        <v>12.0</v>
      </c>
      <c r="D5" s="143">
        <f t="shared" si="1"/>
        <v>13640.3125</v>
      </c>
      <c r="E5" s="67"/>
      <c r="J5" s="69"/>
    </row>
    <row r="6">
      <c r="A6" s="142" t="s">
        <v>90</v>
      </c>
      <c r="B6" s="51">
        <v>120000.0</v>
      </c>
      <c r="C6" s="51">
        <v>12.0</v>
      </c>
      <c r="D6" s="143">
        <f t="shared" si="1"/>
        <v>10000</v>
      </c>
      <c r="E6" s="67"/>
      <c r="F6" s="144"/>
      <c r="G6" s="67"/>
      <c r="H6" s="144"/>
      <c r="I6" s="82"/>
      <c r="J6" s="69"/>
    </row>
    <row r="7">
      <c r="A7" s="145"/>
      <c r="B7" s="146"/>
      <c r="C7" s="51"/>
      <c r="D7" s="146"/>
      <c r="E7" s="46"/>
      <c r="F7" s="46"/>
      <c r="G7" s="46"/>
      <c r="H7" s="67"/>
      <c r="I7" s="46"/>
    </row>
    <row r="8">
      <c r="A8" s="145"/>
      <c r="B8" s="146"/>
      <c r="C8" s="146"/>
      <c r="D8" s="58">
        <f>SUM(D2:D7)</f>
        <v>25558.64917</v>
      </c>
      <c r="E8" s="46"/>
      <c r="F8" s="67"/>
      <c r="G8" s="67"/>
      <c r="H8" s="67"/>
      <c r="I8" s="46"/>
    </row>
    <row r="9">
      <c r="A9" s="147"/>
      <c r="B9" s="65"/>
      <c r="C9" s="46"/>
      <c r="D9" s="46"/>
      <c r="E9" s="46"/>
      <c r="F9" s="136"/>
      <c r="G9" s="67"/>
      <c r="H9" s="67"/>
      <c r="I9" s="46"/>
    </row>
    <row r="10">
      <c r="A10" s="147"/>
      <c r="B10" s="65"/>
      <c r="C10" s="46"/>
      <c r="D10" s="46"/>
      <c r="E10" s="46"/>
      <c r="F10" s="147"/>
      <c r="G10" s="67"/>
      <c r="H10" s="46"/>
      <c r="I10" s="46"/>
    </row>
    <row r="11">
      <c r="A11" s="148"/>
      <c r="B11" s="149"/>
      <c r="C11" s="150"/>
      <c r="D11" s="150"/>
      <c r="E11" s="150" t="s">
        <v>18</v>
      </c>
      <c r="F11" s="148" t="s">
        <v>19</v>
      </c>
      <c r="G11" s="67"/>
      <c r="H11" s="46"/>
      <c r="I11" s="46"/>
    </row>
    <row r="12">
      <c r="A12" s="145" t="s">
        <v>20</v>
      </c>
      <c r="B12" s="51">
        <v>185090.0</v>
      </c>
      <c r="C12" s="51">
        <v>12.0</v>
      </c>
      <c r="D12" s="58">
        <f>B12/C12</f>
        <v>15424.16667</v>
      </c>
      <c r="E12" s="151">
        <f>'Исходные данные'!B42+'Исходные данные'!B46+'Исходные данные'!B47+'Исходные данные'!B49+'Исходные данные'!B52+'Исходные данные'!B59+'Исходные данные'!B48+'Исходные данные'!C48+'Исходные данные'!C56+'Исходные данные'!B64+'Исходные данные'!B58+'Исходные данные'!B69+'Исходные данные'!C69+'Исходные данные'!C70</f>
        <v>16689</v>
      </c>
      <c r="F12" s="152">
        <f>D12/E12</f>
        <v>0.9242115565</v>
      </c>
      <c r="G12" s="67"/>
      <c r="H12" s="46"/>
      <c r="I12" s="46"/>
    </row>
    <row r="13">
      <c r="A13" s="149"/>
      <c r="B13" s="149"/>
      <c r="C13" s="150"/>
      <c r="D13" s="150"/>
      <c r="E13" s="46"/>
      <c r="F13" s="153"/>
      <c r="G13" s="67"/>
      <c r="H13" s="46"/>
      <c r="I13" s="46"/>
    </row>
    <row r="15">
      <c r="A15" s="154" t="s">
        <v>91</v>
      </c>
      <c r="B15" s="155"/>
      <c r="C15" s="156">
        <v>5.0</v>
      </c>
      <c r="D15" s="157">
        <f>B15/C15</f>
        <v>0</v>
      </c>
      <c r="E15" s="70" t="s">
        <v>92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63"/>
  </cols>
  <sheetData>
    <row r="1">
      <c r="A1" s="43"/>
      <c r="B1" s="44" t="s">
        <v>4</v>
      </c>
      <c r="C1" s="45" t="s">
        <v>5</v>
      </c>
      <c r="D1" s="45" t="s">
        <v>6</v>
      </c>
      <c r="E1" s="46"/>
      <c r="F1" s="149"/>
      <c r="G1" s="150"/>
      <c r="H1" s="46"/>
      <c r="I1" s="47"/>
      <c r="J1" s="48"/>
      <c r="K1" s="47"/>
      <c r="L1" s="49"/>
    </row>
    <row r="2">
      <c r="A2" s="158" t="s">
        <v>91</v>
      </c>
      <c r="B2" s="51">
        <v>54561.0</v>
      </c>
      <c r="C2" s="51">
        <v>12.0</v>
      </c>
      <c r="D2" s="58">
        <f t="shared" ref="D2:D8" si="1">B2/C2</f>
        <v>4546.75</v>
      </c>
      <c r="E2" s="159"/>
      <c r="F2" s="53">
        <f>'Исходные данные'!E3</f>
        <v>15787</v>
      </c>
      <c r="G2" s="54" t="s">
        <v>26</v>
      </c>
      <c r="H2" s="46"/>
      <c r="I2" s="83"/>
      <c r="J2" s="55"/>
      <c r="K2" s="55"/>
      <c r="L2" s="56"/>
    </row>
    <row r="3">
      <c r="A3" s="160" t="s">
        <v>93</v>
      </c>
      <c r="B3" s="51"/>
      <c r="C3" s="51">
        <v>12.0</v>
      </c>
      <c r="D3" s="58">
        <f t="shared" si="1"/>
        <v>0</v>
      </c>
      <c r="E3" s="46"/>
      <c r="H3" s="46"/>
      <c r="I3" s="46"/>
      <c r="J3" s="46"/>
      <c r="K3" s="46"/>
      <c r="L3" s="46"/>
    </row>
    <row r="4">
      <c r="A4" s="50" t="s">
        <v>7</v>
      </c>
      <c r="B4" s="51">
        <f>16000+3660+12477+311</f>
        <v>32448</v>
      </c>
      <c r="C4" s="51">
        <v>12.0</v>
      </c>
      <c r="D4" s="58">
        <f t="shared" si="1"/>
        <v>2704</v>
      </c>
      <c r="E4" s="46"/>
      <c r="F4" s="59">
        <f>D15/F2</f>
        <v>0.5757010515</v>
      </c>
      <c r="G4" s="60" t="s">
        <v>9</v>
      </c>
      <c r="H4" s="46"/>
      <c r="I4" s="46"/>
      <c r="J4" s="46"/>
      <c r="K4" s="46"/>
      <c r="L4" s="46"/>
    </row>
    <row r="5">
      <c r="A5" s="50" t="s">
        <v>12</v>
      </c>
      <c r="B5" s="51"/>
      <c r="C5" s="51">
        <v>12.0</v>
      </c>
      <c r="D5" s="58">
        <f t="shared" si="1"/>
        <v>0</v>
      </c>
      <c r="E5" s="46"/>
      <c r="F5" s="46"/>
      <c r="G5" s="46"/>
      <c r="H5" s="46"/>
      <c r="I5" s="46"/>
      <c r="J5" s="46"/>
      <c r="K5" s="46"/>
      <c r="L5" s="46"/>
    </row>
    <row r="6">
      <c r="A6" s="50" t="s">
        <v>94</v>
      </c>
      <c r="B6" s="51">
        <f>644+10000+8410.11</f>
        <v>19054.11</v>
      </c>
      <c r="C6" s="51">
        <v>12.0</v>
      </c>
      <c r="D6" s="58">
        <f t="shared" si="1"/>
        <v>1587.8425</v>
      </c>
      <c r="E6" s="46"/>
      <c r="F6" s="46"/>
      <c r="G6" s="46"/>
      <c r="H6" s="46"/>
      <c r="I6" s="46"/>
      <c r="J6" s="46"/>
      <c r="K6" s="46"/>
      <c r="L6" s="46"/>
    </row>
    <row r="7">
      <c r="A7" s="50" t="s">
        <v>95</v>
      </c>
      <c r="B7" s="51"/>
      <c r="C7" s="51">
        <v>12.0</v>
      </c>
      <c r="D7" s="58">
        <f t="shared" si="1"/>
        <v>0</v>
      </c>
      <c r="E7" s="46"/>
      <c r="F7" s="46"/>
      <c r="G7" s="46"/>
      <c r="H7" s="46"/>
      <c r="I7" s="46"/>
      <c r="J7" s="46"/>
      <c r="K7" s="46"/>
      <c r="L7" s="46"/>
    </row>
    <row r="8">
      <c r="A8" s="50" t="s">
        <v>14</v>
      </c>
      <c r="B8" s="51">
        <v>3000.0</v>
      </c>
      <c r="C8" s="51">
        <v>12.0</v>
      </c>
      <c r="D8" s="58">
        <f t="shared" si="1"/>
        <v>250</v>
      </c>
      <c r="E8" s="46"/>
      <c r="F8" s="46"/>
      <c r="G8" s="46"/>
      <c r="H8" s="46"/>
      <c r="I8" s="46"/>
      <c r="J8" s="46"/>
      <c r="K8" s="46"/>
      <c r="L8" s="46"/>
    </row>
    <row r="9">
      <c r="A9" s="57"/>
      <c r="B9" s="58"/>
      <c r="C9" s="51"/>
      <c r="D9" s="58"/>
      <c r="E9" s="46"/>
      <c r="F9" s="46"/>
      <c r="G9" s="46"/>
      <c r="H9" s="46"/>
      <c r="I9" s="46"/>
      <c r="J9" s="46"/>
      <c r="K9" s="46"/>
      <c r="L9" s="46"/>
    </row>
    <row r="10">
      <c r="A10" s="57"/>
      <c r="B10" s="58"/>
      <c r="C10" s="51"/>
      <c r="D10" s="58"/>
      <c r="E10" s="46"/>
      <c r="F10" s="46"/>
      <c r="G10" s="46"/>
      <c r="H10" s="46"/>
      <c r="I10" s="46"/>
      <c r="J10" s="46"/>
      <c r="K10" s="46"/>
      <c r="L10" s="46"/>
    </row>
    <row r="11">
      <c r="A11" s="57"/>
      <c r="B11" s="58"/>
      <c r="C11" s="51"/>
      <c r="D11" s="58"/>
      <c r="E11" s="46"/>
      <c r="F11" s="46"/>
      <c r="G11" s="46"/>
      <c r="H11" s="46"/>
      <c r="I11" s="46"/>
      <c r="J11" s="46"/>
      <c r="K11" s="46"/>
      <c r="L11" s="46"/>
    </row>
    <row r="12">
      <c r="A12" s="57"/>
      <c r="B12" s="58"/>
      <c r="C12" s="51"/>
      <c r="D12" s="58"/>
      <c r="E12" s="46"/>
      <c r="F12" s="46"/>
      <c r="G12" s="46"/>
      <c r="H12" s="46"/>
      <c r="I12" s="46"/>
      <c r="J12" s="46"/>
      <c r="K12" s="46"/>
      <c r="L12" s="46"/>
    </row>
    <row r="13">
      <c r="A13" s="138"/>
      <c r="B13" s="58"/>
      <c r="C13" s="51"/>
      <c r="D13" s="58"/>
      <c r="E13" s="46"/>
      <c r="F13" s="46"/>
      <c r="G13" s="46"/>
      <c r="H13" s="46"/>
      <c r="I13" s="46"/>
      <c r="J13" s="46"/>
      <c r="K13" s="46"/>
      <c r="L13" s="46"/>
    </row>
    <row r="14">
      <c r="A14" s="138"/>
      <c r="B14" s="58"/>
      <c r="C14" s="51"/>
      <c r="D14" s="58"/>
      <c r="E14" s="46"/>
      <c r="F14" s="46"/>
      <c r="G14" s="46"/>
      <c r="H14" s="46"/>
      <c r="I14" s="46"/>
      <c r="J14" s="46"/>
      <c r="K14" s="46"/>
      <c r="L14" s="46"/>
    </row>
    <row r="15">
      <c r="A15" s="46"/>
      <c r="B15" s="65"/>
      <c r="C15" s="159"/>
      <c r="D15" s="161">
        <f>SUM(D2:D14)</f>
        <v>9088.5925</v>
      </c>
      <c r="E15" s="46"/>
      <c r="F15" s="46"/>
      <c r="G15" s="46"/>
      <c r="H15" s="46"/>
      <c r="I15" s="46"/>
      <c r="J15" s="46"/>
      <c r="K15" s="46"/>
      <c r="L15" s="46"/>
    </row>
    <row r="18">
      <c r="A18" s="154" t="s">
        <v>91</v>
      </c>
      <c r="B18" s="155"/>
      <c r="C18" s="156">
        <v>5.0</v>
      </c>
      <c r="D18" s="157">
        <f>B18/C18</f>
        <v>0</v>
      </c>
      <c r="E18" s="70" t="s">
        <v>92</v>
      </c>
    </row>
  </sheetData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31.25"/>
    <col customWidth="1" min="3" max="3" width="11.63"/>
    <col customWidth="1" min="4" max="4" width="14.88"/>
    <col customWidth="1" min="9" max="9" width="7.5"/>
  </cols>
  <sheetData>
    <row r="1">
      <c r="A1" s="34"/>
      <c r="B1" s="68" t="s">
        <v>4</v>
      </c>
      <c r="C1" s="54" t="s">
        <v>5</v>
      </c>
      <c r="D1" s="54" t="s">
        <v>6</v>
      </c>
      <c r="G1" s="91" t="s">
        <v>21</v>
      </c>
      <c r="H1" s="92" t="s">
        <v>96</v>
      </c>
      <c r="I1" s="96"/>
      <c r="J1" s="162"/>
      <c r="K1" s="70" t="s">
        <v>97</v>
      </c>
    </row>
    <row r="2">
      <c r="A2" s="75" t="s">
        <v>98</v>
      </c>
      <c r="B2" s="134">
        <f>226800+7550</f>
        <v>234350</v>
      </c>
      <c r="C2" s="98">
        <v>12.0</v>
      </c>
      <c r="D2" s="163">
        <f t="shared" ref="D2:D22" si="1">B2/C2</f>
        <v>19529.16667</v>
      </c>
      <c r="E2" s="134"/>
      <c r="G2" s="97" t="s">
        <v>11</v>
      </c>
      <c r="H2" s="98">
        <f>'Исходные данные'!E2</f>
        <v>27060</v>
      </c>
      <c r="I2" s="100"/>
      <c r="J2" s="164"/>
      <c r="K2" s="73"/>
      <c r="L2" s="73"/>
      <c r="M2" s="69"/>
      <c r="N2" s="69"/>
    </row>
    <row r="3">
      <c r="A3" s="75" t="s">
        <v>99</v>
      </c>
      <c r="B3" s="134">
        <v>4080.0</v>
      </c>
      <c r="C3" s="98">
        <v>12.0</v>
      </c>
      <c r="D3" s="163">
        <f t="shared" si="1"/>
        <v>340</v>
      </c>
      <c r="G3" s="97" t="s">
        <v>26</v>
      </c>
      <c r="H3" s="98">
        <f>'Исходные данные'!E3</f>
        <v>15787</v>
      </c>
      <c r="I3" s="100"/>
      <c r="J3" s="164"/>
      <c r="K3" s="69"/>
      <c r="L3" s="74"/>
      <c r="M3" s="73"/>
      <c r="N3" s="69"/>
    </row>
    <row r="4">
      <c r="A4" s="75" t="s">
        <v>100</v>
      </c>
      <c r="B4" s="134">
        <f>6595.36+624</f>
        <v>7219.36</v>
      </c>
      <c r="C4" s="98">
        <v>12.0</v>
      </c>
      <c r="D4" s="163">
        <f t="shared" si="1"/>
        <v>601.6133333</v>
      </c>
      <c r="G4" s="97" t="s">
        <v>68</v>
      </c>
      <c r="H4" s="98">
        <f>'Исходные данные'!E4</f>
        <v>11973</v>
      </c>
      <c r="I4" s="100"/>
      <c r="J4" s="164"/>
      <c r="K4" s="69"/>
      <c r="L4" s="74"/>
      <c r="M4" s="73"/>
      <c r="N4" s="69"/>
    </row>
    <row r="5">
      <c r="A5" s="165">
        <v>8800.0</v>
      </c>
      <c r="B5" s="134">
        <f>171000+3000</f>
        <v>174000</v>
      </c>
      <c r="C5" s="98">
        <v>12.0</v>
      </c>
      <c r="D5" s="163">
        <f t="shared" si="1"/>
        <v>14500</v>
      </c>
      <c r="E5" s="69"/>
      <c r="F5" s="69"/>
      <c r="G5" s="97" t="s">
        <v>8</v>
      </c>
      <c r="H5" s="98">
        <f>'Исходные данные'!E5</f>
        <v>21877</v>
      </c>
      <c r="I5" s="100"/>
      <c r="J5" s="164"/>
      <c r="K5" s="69"/>
      <c r="L5" s="74"/>
      <c r="M5" s="73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</row>
    <row r="6">
      <c r="A6" s="75" t="s">
        <v>101</v>
      </c>
      <c r="B6" s="134">
        <v>126980.0</v>
      </c>
      <c r="C6" s="98">
        <v>12.0</v>
      </c>
      <c r="D6" s="163">
        <f t="shared" si="1"/>
        <v>10581.66667</v>
      </c>
      <c r="G6" s="97" t="s">
        <v>28</v>
      </c>
      <c r="H6" s="98">
        <f>'Исходные данные'!E6</f>
        <v>1220</v>
      </c>
      <c r="I6" s="100"/>
      <c r="J6" s="164"/>
      <c r="K6" s="69"/>
      <c r="L6" s="74"/>
      <c r="M6" s="73"/>
      <c r="N6" s="69"/>
    </row>
    <row r="7">
      <c r="A7" s="75" t="s">
        <v>102</v>
      </c>
      <c r="B7" s="134">
        <v>602021.99</v>
      </c>
      <c r="C7" s="98">
        <v>12.0</v>
      </c>
      <c r="D7" s="163">
        <f t="shared" si="1"/>
        <v>50168.49917</v>
      </c>
      <c r="G7" s="97" t="s">
        <v>29</v>
      </c>
      <c r="H7" s="98">
        <f>'Исходные данные'!E7</f>
        <v>610</v>
      </c>
      <c r="I7" s="100"/>
      <c r="J7" s="164"/>
      <c r="K7" s="69"/>
      <c r="L7" s="74"/>
      <c r="M7" s="73"/>
      <c r="N7" s="69"/>
    </row>
    <row r="8">
      <c r="A8" s="75" t="s">
        <v>103</v>
      </c>
      <c r="B8" s="134">
        <f>4248+1400</f>
        <v>5648</v>
      </c>
      <c r="C8" s="98">
        <v>12.0</v>
      </c>
      <c r="D8" s="163">
        <f t="shared" si="1"/>
        <v>470.6666667</v>
      </c>
      <c r="G8" s="97"/>
      <c r="H8" s="98"/>
      <c r="I8" s="100"/>
      <c r="J8" s="164"/>
      <c r="K8" s="69"/>
      <c r="L8" s="74"/>
      <c r="M8" s="73"/>
      <c r="N8" s="69"/>
    </row>
    <row r="9">
      <c r="A9" s="75" t="s">
        <v>104</v>
      </c>
      <c r="B9" s="134">
        <f>3660+3345</f>
        <v>7005</v>
      </c>
      <c r="C9" s="98">
        <v>12.0</v>
      </c>
      <c r="D9" s="163">
        <f t="shared" si="1"/>
        <v>583.75</v>
      </c>
      <c r="G9" s="97"/>
      <c r="H9" s="98"/>
      <c r="I9" s="100"/>
      <c r="J9" s="164"/>
      <c r="K9" s="69"/>
      <c r="L9" s="74"/>
      <c r="M9" s="73"/>
      <c r="N9" s="69"/>
    </row>
    <row r="10">
      <c r="A10" s="75" t="s">
        <v>105</v>
      </c>
      <c r="B10" s="134">
        <v>9000.0</v>
      </c>
      <c r="C10" s="98">
        <v>12.0</v>
      </c>
      <c r="D10" s="163">
        <f t="shared" si="1"/>
        <v>750</v>
      </c>
      <c r="G10" s="97"/>
      <c r="H10" s="98"/>
      <c r="I10" s="100"/>
      <c r="J10" s="164"/>
      <c r="K10" s="69"/>
      <c r="L10" s="74"/>
      <c r="M10" s="73"/>
      <c r="N10" s="69"/>
    </row>
    <row r="11">
      <c r="A11" s="75" t="s">
        <v>106</v>
      </c>
      <c r="B11" s="134">
        <v>6000.0</v>
      </c>
      <c r="C11" s="98">
        <v>12.0</v>
      </c>
      <c r="D11" s="163">
        <f t="shared" si="1"/>
        <v>500</v>
      </c>
      <c r="G11" s="102" t="s">
        <v>25</v>
      </c>
      <c r="H11" s="109">
        <f>SUM(H2:H10)</f>
        <v>78527</v>
      </c>
      <c r="I11" s="79"/>
      <c r="J11" s="166"/>
      <c r="K11" s="69"/>
      <c r="L11" s="74"/>
      <c r="M11" s="73"/>
      <c r="N11" s="69"/>
    </row>
    <row r="12">
      <c r="A12" s="75" t="s">
        <v>107</v>
      </c>
      <c r="B12" s="134">
        <f>347948.83+3814+48280</f>
        <v>400042.83</v>
      </c>
      <c r="C12" s="98">
        <v>12.0</v>
      </c>
      <c r="D12" s="163">
        <f t="shared" si="1"/>
        <v>33336.9025</v>
      </c>
      <c r="G12" s="105"/>
      <c r="H12" s="106"/>
      <c r="I12" s="106"/>
      <c r="J12" s="167"/>
      <c r="K12" s="69"/>
      <c r="L12" s="168"/>
      <c r="M12" s="169"/>
      <c r="N12" s="69"/>
    </row>
    <row r="13">
      <c r="A13" s="75" t="s">
        <v>108</v>
      </c>
      <c r="B13" s="134">
        <f>168112.89+389926+394726+10341.34</f>
        <v>963106.23</v>
      </c>
      <c r="C13" s="98">
        <v>12.0</v>
      </c>
      <c r="D13" s="163">
        <f t="shared" si="1"/>
        <v>80258.8525</v>
      </c>
      <c r="G13" s="105"/>
      <c r="H13" s="106"/>
      <c r="I13" s="106"/>
      <c r="J13" s="167"/>
      <c r="K13" s="69"/>
      <c r="L13" s="168"/>
      <c r="M13" s="169"/>
      <c r="N13" s="69"/>
    </row>
    <row r="14">
      <c r="A14" s="75" t="s">
        <v>109</v>
      </c>
      <c r="B14" s="134">
        <f>1115475.25+540052.54+7995.3+3000+3899-30000</f>
        <v>1640422.09</v>
      </c>
      <c r="C14" s="98">
        <v>12.0</v>
      </c>
      <c r="D14" s="163">
        <f t="shared" si="1"/>
        <v>136701.8408</v>
      </c>
      <c r="G14" s="170"/>
      <c r="H14" s="171"/>
      <c r="I14" s="170"/>
      <c r="J14" s="172"/>
      <c r="K14" s="69"/>
      <c r="L14" s="69"/>
      <c r="M14" s="69"/>
      <c r="N14" s="69"/>
    </row>
    <row r="15">
      <c r="A15" s="75" t="s">
        <v>110</v>
      </c>
      <c r="B15" s="134">
        <f>1277731.33+1885051</f>
        <v>3162782.33</v>
      </c>
      <c r="C15" s="98">
        <v>12.0</v>
      </c>
      <c r="D15" s="163">
        <f t="shared" si="1"/>
        <v>263565.1942</v>
      </c>
      <c r="G15" s="46"/>
      <c r="H15" s="46"/>
      <c r="I15" s="106"/>
      <c r="J15" s="173"/>
    </row>
    <row r="16">
      <c r="A16" s="75" t="s">
        <v>111</v>
      </c>
      <c r="B16" s="134">
        <v>36409.13</v>
      </c>
      <c r="C16" s="98">
        <v>12.0</v>
      </c>
      <c r="D16" s="163">
        <f t="shared" si="1"/>
        <v>3034.094167</v>
      </c>
      <c r="G16" s="174">
        <f>D23/H11</f>
        <v>9.195626292</v>
      </c>
      <c r="H16" s="175" t="s">
        <v>9</v>
      </c>
      <c r="I16" s="46"/>
      <c r="J16" s="173"/>
    </row>
    <row r="17">
      <c r="A17" s="75" t="s">
        <v>112</v>
      </c>
      <c r="B17" s="134">
        <f>535961.42+657136.97</f>
        <v>1193098.39</v>
      </c>
      <c r="C17" s="98">
        <v>12.0</v>
      </c>
      <c r="D17" s="163">
        <f t="shared" si="1"/>
        <v>99424.86583</v>
      </c>
      <c r="J17" s="176"/>
    </row>
    <row r="18">
      <c r="A18" s="75" t="s">
        <v>113</v>
      </c>
      <c r="B18" s="71">
        <v>7843.0</v>
      </c>
      <c r="C18" s="98">
        <v>12.0</v>
      </c>
      <c r="D18" s="72">
        <f t="shared" si="1"/>
        <v>653.5833333</v>
      </c>
      <c r="J18" s="176"/>
    </row>
    <row r="19">
      <c r="A19" s="75" t="s">
        <v>114</v>
      </c>
      <c r="B19" s="71">
        <v>39866.0</v>
      </c>
      <c r="C19" s="98">
        <v>12.0</v>
      </c>
      <c r="D19" s="72">
        <f t="shared" si="1"/>
        <v>3322.166667</v>
      </c>
      <c r="J19" s="176"/>
    </row>
    <row r="20">
      <c r="A20" s="75" t="s">
        <v>93</v>
      </c>
      <c r="B20" s="177">
        <v>18885.0</v>
      </c>
      <c r="C20" s="98">
        <v>12.0</v>
      </c>
      <c r="D20" s="72">
        <f t="shared" si="1"/>
        <v>1573.75</v>
      </c>
      <c r="J20" s="176"/>
    </row>
    <row r="21">
      <c r="A21" s="75" t="s">
        <v>115</v>
      </c>
      <c r="B21" s="177">
        <v>22000.0</v>
      </c>
      <c r="C21" s="98">
        <v>12.0</v>
      </c>
      <c r="D21" s="163">
        <f t="shared" si="1"/>
        <v>1833.333333</v>
      </c>
      <c r="J21" s="176"/>
    </row>
    <row r="22">
      <c r="A22" s="75" t="s">
        <v>116</v>
      </c>
      <c r="B22" s="177">
        <v>4500.0</v>
      </c>
      <c r="C22" s="98">
        <v>12.0</v>
      </c>
      <c r="D22" s="72">
        <f t="shared" si="1"/>
        <v>375</v>
      </c>
      <c r="J22" s="176"/>
    </row>
    <row r="23">
      <c r="A23" s="34"/>
      <c r="B23" s="72">
        <f>SUM(B2:B22)</f>
        <v>8665259.35</v>
      </c>
      <c r="C23" s="34"/>
      <c r="D23" s="72">
        <f>SUM(D2:D22)</f>
        <v>722104.9458</v>
      </c>
      <c r="J23" s="176"/>
    </row>
    <row r="24">
      <c r="J24" s="176"/>
    </row>
    <row r="25">
      <c r="J25" s="176"/>
    </row>
    <row r="26">
      <c r="B26" s="178"/>
      <c r="J26" s="176"/>
    </row>
    <row r="27">
      <c r="B27" s="179"/>
      <c r="J27" s="176"/>
    </row>
    <row r="28">
      <c r="B28" s="179"/>
      <c r="J28" s="176"/>
    </row>
    <row r="29">
      <c r="J29" s="176"/>
    </row>
    <row r="30">
      <c r="J30" s="176"/>
    </row>
    <row r="31">
      <c r="J31" s="176"/>
    </row>
    <row r="32">
      <c r="J32" s="176"/>
    </row>
    <row r="33">
      <c r="J33" s="176"/>
    </row>
    <row r="34">
      <c r="J34" s="176"/>
    </row>
    <row r="35">
      <c r="J35" s="176"/>
    </row>
    <row r="36">
      <c r="J36" s="176"/>
    </row>
    <row r="37">
      <c r="J37" s="176"/>
    </row>
    <row r="38">
      <c r="J38" s="176"/>
    </row>
    <row r="39">
      <c r="J39" s="176"/>
    </row>
    <row r="40">
      <c r="J40" s="176"/>
    </row>
    <row r="41">
      <c r="J41" s="176"/>
    </row>
    <row r="42">
      <c r="J42" s="176"/>
    </row>
    <row r="43">
      <c r="J43" s="176"/>
    </row>
    <row r="44">
      <c r="J44" s="176"/>
    </row>
    <row r="45">
      <c r="J45" s="176"/>
    </row>
    <row r="46">
      <c r="J46" s="176"/>
    </row>
    <row r="47">
      <c r="J47" s="176"/>
    </row>
    <row r="48">
      <c r="J48" s="176"/>
    </row>
    <row r="49">
      <c r="J49" s="176"/>
    </row>
    <row r="50">
      <c r="J50" s="176"/>
    </row>
    <row r="51">
      <c r="J51" s="176"/>
    </row>
    <row r="52">
      <c r="J52" s="176"/>
    </row>
    <row r="53">
      <c r="J53" s="176"/>
    </row>
    <row r="54">
      <c r="J54" s="176"/>
    </row>
    <row r="55">
      <c r="J55" s="176"/>
    </row>
    <row r="56">
      <c r="J56" s="176"/>
    </row>
    <row r="57">
      <c r="J57" s="176"/>
    </row>
    <row r="58">
      <c r="J58" s="176"/>
    </row>
    <row r="59">
      <c r="J59" s="176"/>
    </row>
    <row r="60">
      <c r="J60" s="176"/>
    </row>
    <row r="61">
      <c r="J61" s="176"/>
    </row>
    <row r="62">
      <c r="J62" s="176"/>
    </row>
    <row r="63">
      <c r="J63" s="176"/>
    </row>
    <row r="64">
      <c r="J64" s="176"/>
    </row>
    <row r="65">
      <c r="J65" s="176"/>
    </row>
    <row r="66">
      <c r="J66" s="176"/>
    </row>
    <row r="67">
      <c r="J67" s="176"/>
    </row>
    <row r="68">
      <c r="J68" s="176"/>
    </row>
    <row r="69">
      <c r="J69" s="176"/>
    </row>
    <row r="70">
      <c r="J70" s="176"/>
    </row>
    <row r="71">
      <c r="J71" s="176"/>
    </row>
    <row r="72">
      <c r="J72" s="176"/>
    </row>
    <row r="73">
      <c r="J73" s="176"/>
    </row>
    <row r="74">
      <c r="J74" s="176"/>
    </row>
    <row r="75">
      <c r="J75" s="176"/>
    </row>
    <row r="76">
      <c r="J76" s="176"/>
    </row>
    <row r="77">
      <c r="J77" s="176"/>
    </row>
    <row r="78">
      <c r="J78" s="176"/>
    </row>
    <row r="79">
      <c r="J79" s="176"/>
    </row>
    <row r="80">
      <c r="J80" s="176"/>
    </row>
    <row r="81">
      <c r="J81" s="176"/>
    </row>
    <row r="82">
      <c r="J82" s="176"/>
    </row>
    <row r="83">
      <c r="J83" s="176"/>
    </row>
    <row r="84">
      <c r="J84" s="176"/>
    </row>
    <row r="85">
      <c r="J85" s="176"/>
    </row>
    <row r="86">
      <c r="J86" s="176"/>
    </row>
    <row r="87">
      <c r="J87" s="176"/>
    </row>
    <row r="88">
      <c r="J88" s="176"/>
    </row>
    <row r="89">
      <c r="J89" s="176"/>
    </row>
    <row r="90">
      <c r="J90" s="176"/>
    </row>
    <row r="91">
      <c r="J91" s="176"/>
    </row>
    <row r="92">
      <c r="J92" s="176"/>
    </row>
    <row r="93">
      <c r="J93" s="176"/>
    </row>
    <row r="94">
      <c r="J94" s="176"/>
    </row>
    <row r="95">
      <c r="J95" s="176"/>
    </row>
    <row r="96">
      <c r="J96" s="176"/>
    </row>
    <row r="97">
      <c r="J97" s="176"/>
    </row>
    <row r="98">
      <c r="J98" s="176"/>
    </row>
    <row r="99">
      <c r="J99" s="176"/>
    </row>
    <row r="100">
      <c r="J100" s="176"/>
    </row>
    <row r="101">
      <c r="J101" s="176"/>
    </row>
    <row r="102">
      <c r="J102" s="176"/>
    </row>
    <row r="103">
      <c r="J103" s="176"/>
    </row>
    <row r="104">
      <c r="J104" s="176"/>
    </row>
    <row r="105">
      <c r="J105" s="176"/>
    </row>
    <row r="106">
      <c r="J106" s="176"/>
    </row>
    <row r="107">
      <c r="J107" s="176"/>
    </row>
    <row r="108">
      <c r="J108" s="176"/>
    </row>
    <row r="109">
      <c r="J109" s="176"/>
    </row>
    <row r="110">
      <c r="J110" s="176"/>
    </row>
    <row r="111">
      <c r="J111" s="176"/>
    </row>
    <row r="112">
      <c r="J112" s="176"/>
    </row>
    <row r="113">
      <c r="J113" s="176"/>
    </row>
    <row r="114">
      <c r="J114" s="176"/>
    </row>
    <row r="115">
      <c r="J115" s="176"/>
    </row>
    <row r="116">
      <c r="J116" s="176"/>
    </row>
    <row r="117">
      <c r="J117" s="176"/>
    </row>
    <row r="118">
      <c r="J118" s="176"/>
    </row>
    <row r="119">
      <c r="J119" s="176"/>
    </row>
    <row r="120">
      <c r="J120" s="176"/>
    </row>
    <row r="121">
      <c r="J121" s="176"/>
    </row>
    <row r="122">
      <c r="J122" s="176"/>
    </row>
    <row r="123">
      <c r="J123" s="176"/>
    </row>
    <row r="124">
      <c r="J124" s="176"/>
    </row>
    <row r="125">
      <c r="J125" s="176"/>
    </row>
    <row r="126">
      <c r="J126" s="176"/>
    </row>
    <row r="127">
      <c r="J127" s="176"/>
    </row>
    <row r="128">
      <c r="J128" s="176"/>
    </row>
    <row r="129">
      <c r="J129" s="176"/>
    </row>
    <row r="130">
      <c r="J130" s="176"/>
    </row>
    <row r="131">
      <c r="J131" s="176"/>
    </row>
    <row r="132">
      <c r="J132" s="176"/>
    </row>
    <row r="133">
      <c r="J133" s="176"/>
    </row>
    <row r="134">
      <c r="J134" s="176"/>
    </row>
    <row r="135">
      <c r="J135" s="176"/>
    </row>
    <row r="136">
      <c r="J136" s="176"/>
    </row>
    <row r="137">
      <c r="J137" s="176"/>
    </row>
    <row r="138">
      <c r="J138" s="176"/>
    </row>
    <row r="139">
      <c r="J139" s="176"/>
    </row>
    <row r="140">
      <c r="J140" s="176"/>
    </row>
    <row r="141">
      <c r="J141" s="176"/>
    </row>
    <row r="142">
      <c r="J142" s="176"/>
    </row>
    <row r="143">
      <c r="J143" s="176"/>
    </row>
    <row r="144">
      <c r="J144" s="176"/>
    </row>
    <row r="145">
      <c r="J145" s="176"/>
    </row>
    <row r="146">
      <c r="J146" s="176"/>
    </row>
    <row r="147">
      <c r="J147" s="176"/>
    </row>
    <row r="148">
      <c r="J148" s="176"/>
    </row>
    <row r="149">
      <c r="J149" s="176"/>
    </row>
    <row r="150">
      <c r="J150" s="176"/>
    </row>
    <row r="151">
      <c r="J151" s="176"/>
    </row>
    <row r="152">
      <c r="J152" s="176"/>
    </row>
    <row r="153">
      <c r="J153" s="176"/>
    </row>
    <row r="154">
      <c r="J154" s="176"/>
    </row>
    <row r="155">
      <c r="J155" s="176"/>
    </row>
    <row r="156">
      <c r="J156" s="176"/>
    </row>
    <row r="157">
      <c r="J157" s="176"/>
    </row>
    <row r="158">
      <c r="J158" s="176"/>
    </row>
    <row r="159">
      <c r="J159" s="176"/>
    </row>
    <row r="160">
      <c r="J160" s="176"/>
    </row>
    <row r="161">
      <c r="J161" s="176"/>
    </row>
    <row r="162">
      <c r="J162" s="176"/>
    </row>
    <row r="163">
      <c r="J163" s="176"/>
    </row>
    <row r="164">
      <c r="J164" s="176"/>
    </row>
    <row r="165">
      <c r="J165" s="176"/>
    </row>
    <row r="166">
      <c r="J166" s="176"/>
    </row>
    <row r="167">
      <c r="J167" s="176"/>
    </row>
    <row r="168">
      <c r="J168" s="176"/>
    </row>
    <row r="169">
      <c r="J169" s="176"/>
    </row>
    <row r="170">
      <c r="J170" s="176"/>
    </row>
    <row r="171">
      <c r="J171" s="176"/>
    </row>
    <row r="172">
      <c r="J172" s="176"/>
    </row>
    <row r="173">
      <c r="J173" s="176"/>
    </row>
    <row r="174">
      <c r="J174" s="176"/>
    </row>
    <row r="175">
      <c r="J175" s="176"/>
    </row>
    <row r="176">
      <c r="J176" s="176"/>
    </row>
    <row r="177">
      <c r="J177" s="176"/>
    </row>
    <row r="178">
      <c r="J178" s="176"/>
    </row>
    <row r="179">
      <c r="J179" s="176"/>
    </row>
    <row r="180">
      <c r="J180" s="176"/>
    </row>
    <row r="181">
      <c r="J181" s="176"/>
    </row>
    <row r="182">
      <c r="J182" s="176"/>
    </row>
    <row r="183">
      <c r="J183" s="176"/>
    </row>
    <row r="184">
      <c r="J184" s="176"/>
    </row>
    <row r="185">
      <c r="J185" s="176"/>
    </row>
    <row r="186">
      <c r="J186" s="176"/>
    </row>
    <row r="187">
      <c r="J187" s="176"/>
    </row>
    <row r="188">
      <c r="J188" s="176"/>
    </row>
    <row r="189">
      <c r="J189" s="176"/>
    </row>
    <row r="190">
      <c r="J190" s="176"/>
    </row>
    <row r="191">
      <c r="J191" s="176"/>
    </row>
    <row r="192">
      <c r="J192" s="176"/>
    </row>
    <row r="193">
      <c r="J193" s="176"/>
    </row>
    <row r="194">
      <c r="J194" s="176"/>
    </row>
    <row r="195">
      <c r="J195" s="176"/>
    </row>
    <row r="196">
      <c r="J196" s="176"/>
    </row>
    <row r="197">
      <c r="J197" s="176"/>
    </row>
    <row r="198">
      <c r="J198" s="176"/>
    </row>
    <row r="199">
      <c r="J199" s="176"/>
    </row>
    <row r="200">
      <c r="J200" s="176"/>
    </row>
    <row r="201">
      <c r="J201" s="176"/>
    </row>
    <row r="202">
      <c r="J202" s="176"/>
    </row>
    <row r="203">
      <c r="J203" s="176"/>
    </row>
    <row r="204">
      <c r="J204" s="176"/>
    </row>
    <row r="205">
      <c r="J205" s="176"/>
    </row>
    <row r="206">
      <c r="J206" s="176"/>
    </row>
    <row r="207">
      <c r="J207" s="176"/>
    </row>
    <row r="208">
      <c r="J208" s="176"/>
    </row>
    <row r="209">
      <c r="J209" s="176"/>
    </row>
    <row r="210">
      <c r="J210" s="176"/>
    </row>
    <row r="211">
      <c r="J211" s="176"/>
    </row>
    <row r="212">
      <c r="J212" s="176"/>
    </row>
    <row r="213">
      <c r="J213" s="176"/>
    </row>
    <row r="214">
      <c r="J214" s="176"/>
    </row>
    <row r="215">
      <c r="J215" s="176"/>
    </row>
    <row r="216">
      <c r="J216" s="176"/>
    </row>
    <row r="217">
      <c r="J217" s="176"/>
    </row>
    <row r="218">
      <c r="J218" s="176"/>
    </row>
    <row r="219">
      <c r="J219" s="176"/>
    </row>
    <row r="220">
      <c r="J220" s="176"/>
    </row>
    <row r="221">
      <c r="J221" s="176"/>
    </row>
    <row r="222">
      <c r="J222" s="176"/>
    </row>
    <row r="223">
      <c r="J223" s="176"/>
    </row>
    <row r="224">
      <c r="J224" s="176"/>
    </row>
    <row r="225">
      <c r="J225" s="176"/>
    </row>
    <row r="226">
      <c r="J226" s="176"/>
    </row>
    <row r="227">
      <c r="J227" s="176"/>
    </row>
    <row r="228">
      <c r="J228" s="176"/>
    </row>
    <row r="229">
      <c r="J229" s="176"/>
    </row>
    <row r="230">
      <c r="J230" s="176"/>
    </row>
    <row r="231">
      <c r="J231" s="176"/>
    </row>
    <row r="232">
      <c r="J232" s="176"/>
    </row>
    <row r="233">
      <c r="J233" s="176"/>
    </row>
    <row r="234">
      <c r="J234" s="176"/>
    </row>
    <row r="235">
      <c r="J235" s="176"/>
    </row>
    <row r="236">
      <c r="J236" s="176"/>
    </row>
    <row r="237">
      <c r="J237" s="176"/>
    </row>
    <row r="238">
      <c r="J238" s="176"/>
    </row>
    <row r="239">
      <c r="J239" s="176"/>
    </row>
    <row r="240">
      <c r="J240" s="176"/>
    </row>
    <row r="241">
      <c r="J241" s="176"/>
    </row>
    <row r="242">
      <c r="J242" s="176"/>
    </row>
    <row r="243">
      <c r="J243" s="176"/>
    </row>
    <row r="244">
      <c r="J244" s="176"/>
    </row>
    <row r="245">
      <c r="J245" s="176"/>
    </row>
    <row r="246">
      <c r="J246" s="176"/>
    </row>
    <row r="247">
      <c r="J247" s="176"/>
    </row>
    <row r="248">
      <c r="J248" s="176"/>
    </row>
    <row r="249">
      <c r="J249" s="176"/>
    </row>
    <row r="250">
      <c r="J250" s="176"/>
    </row>
    <row r="251">
      <c r="J251" s="176"/>
    </row>
    <row r="252">
      <c r="J252" s="176"/>
    </row>
    <row r="253">
      <c r="J253" s="176"/>
    </row>
    <row r="254">
      <c r="J254" s="176"/>
    </row>
    <row r="255">
      <c r="J255" s="176"/>
    </row>
    <row r="256">
      <c r="J256" s="176"/>
    </row>
    <row r="257">
      <c r="J257" s="176"/>
    </row>
    <row r="258">
      <c r="J258" s="176"/>
    </row>
    <row r="259">
      <c r="J259" s="176"/>
    </row>
    <row r="260">
      <c r="J260" s="176"/>
    </row>
    <row r="261">
      <c r="J261" s="176"/>
    </row>
    <row r="262">
      <c r="J262" s="176"/>
    </row>
    <row r="263">
      <c r="J263" s="176"/>
    </row>
    <row r="264">
      <c r="J264" s="176"/>
    </row>
    <row r="265">
      <c r="J265" s="176"/>
    </row>
    <row r="266">
      <c r="J266" s="176"/>
    </row>
    <row r="267">
      <c r="J267" s="176"/>
    </row>
    <row r="268">
      <c r="J268" s="176"/>
    </row>
    <row r="269">
      <c r="J269" s="176"/>
    </row>
    <row r="270">
      <c r="J270" s="176"/>
    </row>
    <row r="271">
      <c r="J271" s="176"/>
    </row>
    <row r="272">
      <c r="J272" s="176"/>
    </row>
    <row r="273">
      <c r="J273" s="176"/>
    </row>
    <row r="274">
      <c r="J274" s="176"/>
    </row>
    <row r="275">
      <c r="J275" s="176"/>
    </row>
    <row r="276">
      <c r="J276" s="176"/>
    </row>
    <row r="277">
      <c r="J277" s="176"/>
    </row>
    <row r="278">
      <c r="J278" s="176"/>
    </row>
    <row r="279">
      <c r="J279" s="176"/>
    </row>
    <row r="280">
      <c r="J280" s="176"/>
    </row>
    <row r="281">
      <c r="J281" s="176"/>
    </row>
    <row r="282">
      <c r="J282" s="176"/>
    </row>
    <row r="283">
      <c r="J283" s="176"/>
    </row>
    <row r="284">
      <c r="J284" s="176"/>
    </row>
    <row r="285">
      <c r="J285" s="176"/>
    </row>
    <row r="286">
      <c r="J286" s="176"/>
    </row>
    <row r="287">
      <c r="J287" s="176"/>
    </row>
    <row r="288">
      <c r="J288" s="176"/>
    </row>
    <row r="289">
      <c r="J289" s="176"/>
    </row>
    <row r="290">
      <c r="J290" s="176"/>
    </row>
    <row r="291">
      <c r="J291" s="176"/>
    </row>
    <row r="292">
      <c r="J292" s="176"/>
    </row>
    <row r="293">
      <c r="J293" s="176"/>
    </row>
    <row r="294">
      <c r="J294" s="176"/>
    </row>
    <row r="295">
      <c r="J295" s="176"/>
    </row>
    <row r="296">
      <c r="J296" s="176"/>
    </row>
    <row r="297">
      <c r="J297" s="176"/>
    </row>
    <row r="298">
      <c r="J298" s="176"/>
    </row>
    <row r="299">
      <c r="J299" s="176"/>
    </row>
    <row r="300">
      <c r="J300" s="176"/>
    </row>
    <row r="301">
      <c r="J301" s="176"/>
    </row>
    <row r="302">
      <c r="J302" s="176"/>
    </row>
    <row r="303">
      <c r="J303" s="176"/>
    </row>
    <row r="304">
      <c r="J304" s="176"/>
    </row>
    <row r="305">
      <c r="J305" s="176"/>
    </row>
    <row r="306">
      <c r="J306" s="176"/>
    </row>
    <row r="307">
      <c r="J307" s="176"/>
    </row>
    <row r="308">
      <c r="J308" s="176"/>
    </row>
    <row r="309">
      <c r="J309" s="176"/>
    </row>
    <row r="310">
      <c r="J310" s="176"/>
    </row>
    <row r="311">
      <c r="J311" s="176"/>
    </row>
    <row r="312">
      <c r="J312" s="176"/>
    </row>
    <row r="313">
      <c r="J313" s="176"/>
    </row>
    <row r="314">
      <c r="J314" s="176"/>
    </row>
    <row r="315">
      <c r="J315" s="176"/>
    </row>
    <row r="316">
      <c r="J316" s="176"/>
    </row>
    <row r="317">
      <c r="J317" s="176"/>
    </row>
    <row r="318">
      <c r="J318" s="176"/>
    </row>
    <row r="319">
      <c r="J319" s="176"/>
    </row>
    <row r="320">
      <c r="J320" s="176"/>
    </row>
    <row r="321">
      <c r="J321" s="176"/>
    </row>
    <row r="322">
      <c r="J322" s="176"/>
    </row>
    <row r="323">
      <c r="J323" s="176"/>
    </row>
    <row r="324">
      <c r="J324" s="176"/>
    </row>
    <row r="325">
      <c r="J325" s="176"/>
    </row>
    <row r="326">
      <c r="J326" s="176"/>
    </row>
    <row r="327">
      <c r="J327" s="176"/>
    </row>
    <row r="328">
      <c r="J328" s="176"/>
    </row>
    <row r="329">
      <c r="J329" s="176"/>
    </row>
    <row r="330">
      <c r="J330" s="176"/>
    </row>
    <row r="331">
      <c r="J331" s="176"/>
    </row>
    <row r="332">
      <c r="J332" s="176"/>
    </row>
    <row r="333">
      <c r="J333" s="176"/>
    </row>
    <row r="334">
      <c r="J334" s="176"/>
    </row>
    <row r="335">
      <c r="J335" s="176"/>
    </row>
    <row r="336">
      <c r="J336" s="176"/>
    </row>
    <row r="337">
      <c r="J337" s="176"/>
    </row>
    <row r="338">
      <c r="J338" s="176"/>
    </row>
    <row r="339">
      <c r="J339" s="176"/>
    </row>
    <row r="340">
      <c r="J340" s="176"/>
    </row>
    <row r="341">
      <c r="J341" s="176"/>
    </row>
    <row r="342">
      <c r="J342" s="176"/>
    </row>
    <row r="343">
      <c r="J343" s="176"/>
    </row>
    <row r="344">
      <c r="J344" s="176"/>
    </row>
    <row r="345">
      <c r="J345" s="176"/>
    </row>
    <row r="346">
      <c r="J346" s="176"/>
    </row>
    <row r="347">
      <c r="J347" s="176"/>
    </row>
    <row r="348">
      <c r="J348" s="176"/>
    </row>
    <row r="349">
      <c r="J349" s="176"/>
    </row>
    <row r="350">
      <c r="J350" s="176"/>
    </row>
    <row r="351">
      <c r="J351" s="176"/>
    </row>
    <row r="352">
      <c r="J352" s="176"/>
    </row>
    <row r="353">
      <c r="J353" s="176"/>
    </row>
    <row r="354">
      <c r="J354" s="176"/>
    </row>
    <row r="355">
      <c r="J355" s="176"/>
    </row>
    <row r="356">
      <c r="J356" s="176"/>
    </row>
    <row r="357">
      <c r="J357" s="176"/>
    </row>
    <row r="358">
      <c r="J358" s="176"/>
    </row>
    <row r="359">
      <c r="J359" s="176"/>
    </row>
    <row r="360">
      <c r="J360" s="176"/>
    </row>
    <row r="361">
      <c r="J361" s="176"/>
    </row>
    <row r="362">
      <c r="J362" s="176"/>
    </row>
    <row r="363">
      <c r="J363" s="176"/>
    </row>
    <row r="364">
      <c r="J364" s="176"/>
    </row>
    <row r="365">
      <c r="J365" s="176"/>
    </row>
    <row r="366">
      <c r="J366" s="176"/>
    </row>
    <row r="367">
      <c r="J367" s="176"/>
    </row>
    <row r="368">
      <c r="J368" s="176"/>
    </row>
    <row r="369">
      <c r="J369" s="176"/>
    </row>
    <row r="370">
      <c r="J370" s="176"/>
    </row>
    <row r="371">
      <c r="J371" s="176"/>
    </row>
    <row r="372">
      <c r="J372" s="176"/>
    </row>
    <row r="373">
      <c r="J373" s="176"/>
    </row>
    <row r="374">
      <c r="J374" s="176"/>
    </row>
    <row r="375">
      <c r="J375" s="176"/>
    </row>
    <row r="376">
      <c r="J376" s="176"/>
    </row>
    <row r="377">
      <c r="J377" s="176"/>
    </row>
    <row r="378">
      <c r="J378" s="176"/>
    </row>
    <row r="379">
      <c r="J379" s="176"/>
    </row>
    <row r="380">
      <c r="J380" s="176"/>
    </row>
    <row r="381">
      <c r="J381" s="176"/>
    </row>
    <row r="382">
      <c r="J382" s="176"/>
    </row>
    <row r="383">
      <c r="J383" s="176"/>
    </row>
    <row r="384">
      <c r="J384" s="176"/>
    </row>
    <row r="385">
      <c r="J385" s="176"/>
    </row>
    <row r="386">
      <c r="J386" s="176"/>
    </row>
    <row r="387">
      <c r="J387" s="176"/>
    </row>
    <row r="388">
      <c r="J388" s="176"/>
    </row>
    <row r="389">
      <c r="J389" s="176"/>
    </row>
    <row r="390">
      <c r="J390" s="176"/>
    </row>
    <row r="391">
      <c r="J391" s="176"/>
    </row>
    <row r="392">
      <c r="J392" s="176"/>
    </row>
    <row r="393">
      <c r="J393" s="176"/>
    </row>
    <row r="394">
      <c r="J394" s="176"/>
    </row>
    <row r="395">
      <c r="J395" s="176"/>
    </row>
    <row r="396">
      <c r="J396" s="176"/>
    </row>
    <row r="397">
      <c r="J397" s="176"/>
    </row>
    <row r="398">
      <c r="J398" s="176"/>
    </row>
    <row r="399">
      <c r="J399" s="176"/>
    </row>
    <row r="400">
      <c r="J400" s="176"/>
    </row>
    <row r="401">
      <c r="J401" s="176"/>
    </row>
    <row r="402">
      <c r="J402" s="176"/>
    </row>
    <row r="403">
      <c r="J403" s="176"/>
    </row>
    <row r="404">
      <c r="J404" s="176"/>
    </row>
    <row r="405">
      <c r="J405" s="176"/>
    </row>
    <row r="406">
      <c r="J406" s="176"/>
    </row>
    <row r="407">
      <c r="J407" s="176"/>
    </row>
    <row r="408">
      <c r="J408" s="176"/>
    </row>
    <row r="409">
      <c r="J409" s="176"/>
    </row>
    <row r="410">
      <c r="J410" s="176"/>
    </row>
    <row r="411">
      <c r="J411" s="176"/>
    </row>
    <row r="412">
      <c r="J412" s="176"/>
    </row>
    <row r="413">
      <c r="J413" s="176"/>
    </row>
    <row r="414">
      <c r="J414" s="176"/>
    </row>
    <row r="415">
      <c r="J415" s="176"/>
    </row>
    <row r="416">
      <c r="J416" s="176"/>
    </row>
    <row r="417">
      <c r="J417" s="176"/>
    </row>
    <row r="418">
      <c r="J418" s="176"/>
    </row>
    <row r="419">
      <c r="J419" s="176"/>
    </row>
    <row r="420">
      <c r="J420" s="176"/>
    </row>
    <row r="421">
      <c r="J421" s="176"/>
    </row>
    <row r="422">
      <c r="J422" s="176"/>
    </row>
    <row r="423">
      <c r="J423" s="176"/>
    </row>
    <row r="424">
      <c r="J424" s="176"/>
    </row>
    <row r="425">
      <c r="J425" s="176"/>
    </row>
    <row r="426">
      <c r="J426" s="176"/>
    </row>
    <row r="427">
      <c r="J427" s="176"/>
    </row>
    <row r="428">
      <c r="J428" s="176"/>
    </row>
    <row r="429">
      <c r="J429" s="176"/>
    </row>
    <row r="430">
      <c r="J430" s="176"/>
    </row>
    <row r="431">
      <c r="J431" s="176"/>
    </row>
    <row r="432">
      <c r="J432" s="176"/>
    </row>
    <row r="433">
      <c r="J433" s="176"/>
    </row>
    <row r="434">
      <c r="J434" s="176"/>
    </row>
    <row r="435">
      <c r="J435" s="176"/>
    </row>
    <row r="436">
      <c r="J436" s="176"/>
    </row>
    <row r="437">
      <c r="J437" s="176"/>
    </row>
    <row r="438">
      <c r="J438" s="176"/>
    </row>
    <row r="439">
      <c r="J439" s="176"/>
    </row>
    <row r="440">
      <c r="J440" s="176"/>
    </row>
    <row r="441">
      <c r="J441" s="176"/>
    </row>
    <row r="442">
      <c r="J442" s="176"/>
    </row>
    <row r="443">
      <c r="J443" s="176"/>
    </row>
    <row r="444">
      <c r="J444" s="176"/>
    </row>
    <row r="445">
      <c r="J445" s="176"/>
    </row>
    <row r="446">
      <c r="J446" s="176"/>
    </row>
    <row r="447">
      <c r="J447" s="176"/>
    </row>
    <row r="448">
      <c r="J448" s="176"/>
    </row>
    <row r="449">
      <c r="J449" s="176"/>
    </row>
    <row r="450">
      <c r="J450" s="176"/>
    </row>
    <row r="451">
      <c r="J451" s="176"/>
    </row>
    <row r="452">
      <c r="J452" s="176"/>
    </row>
    <row r="453">
      <c r="J453" s="176"/>
    </row>
    <row r="454">
      <c r="J454" s="176"/>
    </row>
    <row r="455">
      <c r="J455" s="176"/>
    </row>
    <row r="456">
      <c r="J456" s="176"/>
    </row>
    <row r="457">
      <c r="J457" s="176"/>
    </row>
    <row r="458">
      <c r="J458" s="176"/>
    </row>
    <row r="459">
      <c r="J459" s="176"/>
    </row>
    <row r="460">
      <c r="J460" s="176"/>
    </row>
    <row r="461">
      <c r="J461" s="176"/>
    </row>
    <row r="462">
      <c r="J462" s="176"/>
    </row>
    <row r="463">
      <c r="J463" s="176"/>
    </row>
    <row r="464">
      <c r="J464" s="176"/>
    </row>
    <row r="465">
      <c r="J465" s="176"/>
    </row>
    <row r="466">
      <c r="J466" s="176"/>
    </row>
    <row r="467">
      <c r="J467" s="176"/>
    </row>
    <row r="468">
      <c r="J468" s="176"/>
    </row>
    <row r="469">
      <c r="J469" s="176"/>
    </row>
    <row r="470">
      <c r="J470" s="176"/>
    </row>
    <row r="471">
      <c r="J471" s="176"/>
    </row>
    <row r="472">
      <c r="J472" s="176"/>
    </row>
    <row r="473">
      <c r="J473" s="176"/>
    </row>
    <row r="474">
      <c r="J474" s="176"/>
    </row>
    <row r="475">
      <c r="J475" s="176"/>
    </row>
    <row r="476">
      <c r="J476" s="176"/>
    </row>
    <row r="477">
      <c r="J477" s="176"/>
    </row>
    <row r="478">
      <c r="J478" s="176"/>
    </row>
    <row r="479">
      <c r="J479" s="176"/>
    </row>
    <row r="480">
      <c r="J480" s="176"/>
    </row>
    <row r="481">
      <c r="J481" s="176"/>
    </row>
    <row r="482">
      <c r="J482" s="176"/>
    </row>
    <row r="483">
      <c r="J483" s="176"/>
    </row>
    <row r="484">
      <c r="J484" s="176"/>
    </row>
    <row r="485">
      <c r="J485" s="176"/>
    </row>
    <row r="486">
      <c r="J486" s="176"/>
    </row>
    <row r="487">
      <c r="J487" s="176"/>
    </row>
    <row r="488">
      <c r="J488" s="176"/>
    </row>
    <row r="489">
      <c r="J489" s="176"/>
    </row>
    <row r="490">
      <c r="J490" s="176"/>
    </row>
    <row r="491">
      <c r="J491" s="176"/>
    </row>
    <row r="492">
      <c r="J492" s="176"/>
    </row>
    <row r="493">
      <c r="J493" s="176"/>
    </row>
    <row r="494">
      <c r="J494" s="176"/>
    </row>
    <row r="495">
      <c r="J495" s="176"/>
    </row>
    <row r="496">
      <c r="J496" s="176"/>
    </row>
    <row r="497">
      <c r="J497" s="176"/>
    </row>
    <row r="498">
      <c r="J498" s="176"/>
    </row>
    <row r="499">
      <c r="J499" s="176"/>
    </row>
    <row r="500">
      <c r="J500" s="176"/>
    </row>
    <row r="501">
      <c r="J501" s="176"/>
    </row>
    <row r="502">
      <c r="J502" s="176"/>
    </row>
    <row r="503">
      <c r="J503" s="176"/>
    </row>
    <row r="504">
      <c r="J504" s="176"/>
    </row>
    <row r="505">
      <c r="J505" s="176"/>
    </row>
    <row r="506">
      <c r="J506" s="176"/>
    </row>
    <row r="507">
      <c r="J507" s="176"/>
    </row>
    <row r="508">
      <c r="J508" s="176"/>
    </row>
    <row r="509">
      <c r="J509" s="176"/>
    </row>
    <row r="510">
      <c r="J510" s="176"/>
    </row>
    <row r="511">
      <c r="J511" s="176"/>
    </row>
    <row r="512">
      <c r="J512" s="176"/>
    </row>
    <row r="513">
      <c r="J513" s="176"/>
    </row>
    <row r="514">
      <c r="J514" s="176"/>
    </row>
    <row r="515">
      <c r="J515" s="176"/>
    </row>
    <row r="516">
      <c r="J516" s="176"/>
    </row>
    <row r="517">
      <c r="J517" s="176"/>
    </row>
    <row r="518">
      <c r="J518" s="176"/>
    </row>
    <row r="519">
      <c r="J519" s="176"/>
    </row>
    <row r="520">
      <c r="J520" s="176"/>
    </row>
    <row r="521">
      <c r="J521" s="176"/>
    </row>
    <row r="522">
      <c r="J522" s="176"/>
    </row>
    <row r="523">
      <c r="J523" s="176"/>
    </row>
    <row r="524">
      <c r="J524" s="176"/>
    </row>
    <row r="525">
      <c r="J525" s="176"/>
    </row>
    <row r="526">
      <c r="J526" s="176"/>
    </row>
    <row r="527">
      <c r="J527" s="176"/>
    </row>
    <row r="528">
      <c r="J528" s="176"/>
    </row>
    <row r="529">
      <c r="J529" s="176"/>
    </row>
    <row r="530">
      <c r="J530" s="176"/>
    </row>
    <row r="531">
      <c r="J531" s="176"/>
    </row>
    <row r="532">
      <c r="J532" s="176"/>
    </row>
    <row r="533">
      <c r="J533" s="176"/>
    </row>
    <row r="534">
      <c r="J534" s="176"/>
    </row>
    <row r="535">
      <c r="J535" s="176"/>
    </row>
    <row r="536">
      <c r="J536" s="176"/>
    </row>
    <row r="537">
      <c r="J537" s="176"/>
    </row>
    <row r="538">
      <c r="J538" s="176"/>
    </row>
    <row r="539">
      <c r="J539" s="176"/>
    </row>
    <row r="540">
      <c r="J540" s="176"/>
    </row>
    <row r="541">
      <c r="J541" s="176"/>
    </row>
    <row r="542">
      <c r="J542" s="176"/>
    </row>
    <row r="543">
      <c r="J543" s="176"/>
    </row>
    <row r="544">
      <c r="J544" s="176"/>
    </row>
    <row r="545">
      <c r="J545" s="176"/>
    </row>
    <row r="546">
      <c r="J546" s="176"/>
    </row>
    <row r="547">
      <c r="J547" s="176"/>
    </row>
    <row r="548">
      <c r="J548" s="176"/>
    </row>
    <row r="549">
      <c r="J549" s="176"/>
    </row>
    <row r="550">
      <c r="J550" s="176"/>
    </row>
    <row r="551">
      <c r="J551" s="176"/>
    </row>
    <row r="552">
      <c r="J552" s="176"/>
    </row>
    <row r="553">
      <c r="J553" s="176"/>
    </row>
    <row r="554">
      <c r="J554" s="176"/>
    </row>
    <row r="555">
      <c r="J555" s="176"/>
    </row>
    <row r="556">
      <c r="J556" s="176"/>
    </row>
    <row r="557">
      <c r="J557" s="176"/>
    </row>
    <row r="558">
      <c r="J558" s="176"/>
    </row>
    <row r="559">
      <c r="J559" s="176"/>
    </row>
    <row r="560">
      <c r="J560" s="176"/>
    </row>
    <row r="561">
      <c r="J561" s="176"/>
    </row>
    <row r="562">
      <c r="J562" s="176"/>
    </row>
    <row r="563">
      <c r="J563" s="176"/>
    </row>
    <row r="564">
      <c r="J564" s="176"/>
    </row>
    <row r="565">
      <c r="J565" s="176"/>
    </row>
    <row r="566">
      <c r="J566" s="176"/>
    </row>
    <row r="567">
      <c r="J567" s="176"/>
    </row>
    <row r="568">
      <c r="J568" s="176"/>
    </row>
    <row r="569">
      <c r="J569" s="176"/>
    </row>
    <row r="570">
      <c r="J570" s="176"/>
    </row>
    <row r="571">
      <c r="J571" s="176"/>
    </row>
    <row r="572">
      <c r="J572" s="176"/>
    </row>
    <row r="573">
      <c r="J573" s="176"/>
    </row>
    <row r="574">
      <c r="J574" s="176"/>
    </row>
    <row r="575">
      <c r="J575" s="176"/>
    </row>
    <row r="576">
      <c r="J576" s="176"/>
    </row>
    <row r="577">
      <c r="J577" s="176"/>
    </row>
    <row r="578">
      <c r="J578" s="176"/>
    </row>
    <row r="579">
      <c r="J579" s="176"/>
    </row>
    <row r="580">
      <c r="J580" s="176"/>
    </row>
    <row r="581">
      <c r="J581" s="176"/>
    </row>
    <row r="582">
      <c r="J582" s="176"/>
    </row>
    <row r="583">
      <c r="J583" s="176"/>
    </row>
    <row r="584">
      <c r="J584" s="176"/>
    </row>
    <row r="585">
      <c r="J585" s="176"/>
    </row>
    <row r="586">
      <c r="J586" s="176"/>
    </row>
    <row r="587">
      <c r="J587" s="176"/>
    </row>
    <row r="588">
      <c r="J588" s="176"/>
    </row>
    <row r="589">
      <c r="J589" s="176"/>
    </row>
    <row r="590">
      <c r="J590" s="176"/>
    </row>
    <row r="591">
      <c r="J591" s="176"/>
    </row>
    <row r="592">
      <c r="J592" s="176"/>
    </row>
    <row r="593">
      <c r="J593" s="176"/>
    </row>
    <row r="594">
      <c r="J594" s="176"/>
    </row>
    <row r="595">
      <c r="J595" s="176"/>
    </row>
    <row r="596">
      <c r="J596" s="176"/>
    </row>
    <row r="597">
      <c r="J597" s="176"/>
    </row>
    <row r="598">
      <c r="J598" s="176"/>
    </row>
    <row r="599">
      <c r="J599" s="176"/>
    </row>
    <row r="600">
      <c r="J600" s="176"/>
    </row>
    <row r="601">
      <c r="J601" s="176"/>
    </row>
    <row r="602">
      <c r="J602" s="176"/>
    </row>
    <row r="603">
      <c r="J603" s="176"/>
    </row>
    <row r="604">
      <c r="J604" s="176"/>
    </row>
    <row r="605">
      <c r="J605" s="176"/>
    </row>
    <row r="606">
      <c r="J606" s="176"/>
    </row>
    <row r="607">
      <c r="J607" s="176"/>
    </row>
    <row r="608">
      <c r="J608" s="176"/>
    </row>
    <row r="609">
      <c r="J609" s="176"/>
    </row>
    <row r="610">
      <c r="J610" s="176"/>
    </row>
    <row r="611">
      <c r="J611" s="176"/>
    </row>
    <row r="612">
      <c r="J612" s="176"/>
    </row>
    <row r="613">
      <c r="J613" s="176"/>
    </row>
    <row r="614">
      <c r="J614" s="176"/>
    </row>
    <row r="615">
      <c r="J615" s="176"/>
    </row>
    <row r="616">
      <c r="J616" s="176"/>
    </row>
    <row r="617">
      <c r="J617" s="176"/>
    </row>
    <row r="618">
      <c r="J618" s="176"/>
    </row>
    <row r="619">
      <c r="J619" s="176"/>
    </row>
    <row r="620">
      <c r="J620" s="176"/>
    </row>
    <row r="621">
      <c r="J621" s="176"/>
    </row>
    <row r="622">
      <c r="J622" s="176"/>
    </row>
    <row r="623">
      <c r="J623" s="176"/>
    </row>
    <row r="624">
      <c r="J624" s="176"/>
    </row>
    <row r="625">
      <c r="J625" s="176"/>
    </row>
    <row r="626">
      <c r="J626" s="176"/>
    </row>
    <row r="627">
      <c r="J627" s="176"/>
    </row>
    <row r="628">
      <c r="J628" s="176"/>
    </row>
    <row r="629">
      <c r="J629" s="176"/>
    </row>
    <row r="630">
      <c r="J630" s="176"/>
    </row>
    <row r="631">
      <c r="J631" s="176"/>
    </row>
    <row r="632">
      <c r="J632" s="176"/>
    </row>
    <row r="633">
      <c r="J633" s="176"/>
    </row>
    <row r="634">
      <c r="J634" s="176"/>
    </row>
    <row r="635">
      <c r="J635" s="176"/>
    </row>
    <row r="636">
      <c r="J636" s="176"/>
    </row>
    <row r="637">
      <c r="J637" s="176"/>
    </row>
    <row r="638">
      <c r="J638" s="176"/>
    </row>
    <row r="639">
      <c r="J639" s="176"/>
    </row>
    <row r="640">
      <c r="J640" s="176"/>
    </row>
    <row r="641">
      <c r="J641" s="176"/>
    </row>
    <row r="642">
      <c r="J642" s="176"/>
    </row>
    <row r="643">
      <c r="J643" s="176"/>
    </row>
    <row r="644">
      <c r="J644" s="176"/>
    </row>
    <row r="645">
      <c r="J645" s="176"/>
    </row>
    <row r="646">
      <c r="J646" s="176"/>
    </row>
    <row r="647">
      <c r="J647" s="176"/>
    </row>
    <row r="648">
      <c r="J648" s="176"/>
    </row>
    <row r="649">
      <c r="J649" s="176"/>
    </row>
    <row r="650">
      <c r="J650" s="176"/>
    </row>
    <row r="651">
      <c r="J651" s="176"/>
    </row>
    <row r="652">
      <c r="J652" s="176"/>
    </row>
    <row r="653">
      <c r="J653" s="176"/>
    </row>
    <row r="654">
      <c r="J654" s="176"/>
    </row>
    <row r="655">
      <c r="J655" s="176"/>
    </row>
    <row r="656">
      <c r="J656" s="176"/>
    </row>
    <row r="657">
      <c r="J657" s="176"/>
    </row>
    <row r="658">
      <c r="J658" s="176"/>
    </row>
    <row r="659">
      <c r="J659" s="176"/>
    </row>
    <row r="660">
      <c r="J660" s="176"/>
    </row>
    <row r="661">
      <c r="J661" s="176"/>
    </row>
    <row r="662">
      <c r="J662" s="176"/>
    </row>
    <row r="663">
      <c r="J663" s="176"/>
    </row>
    <row r="664">
      <c r="J664" s="176"/>
    </row>
    <row r="665">
      <c r="J665" s="176"/>
    </row>
    <row r="666">
      <c r="J666" s="176"/>
    </row>
    <row r="667">
      <c r="J667" s="176"/>
    </row>
    <row r="668">
      <c r="J668" s="176"/>
    </row>
    <row r="669">
      <c r="J669" s="176"/>
    </row>
    <row r="670">
      <c r="J670" s="176"/>
    </row>
    <row r="671">
      <c r="J671" s="176"/>
    </row>
    <row r="672">
      <c r="J672" s="176"/>
    </row>
    <row r="673">
      <c r="J673" s="176"/>
    </row>
    <row r="674">
      <c r="J674" s="176"/>
    </row>
    <row r="675">
      <c r="J675" s="176"/>
    </row>
    <row r="676">
      <c r="J676" s="176"/>
    </row>
    <row r="677">
      <c r="J677" s="176"/>
    </row>
    <row r="678">
      <c r="J678" s="176"/>
    </row>
    <row r="679">
      <c r="J679" s="176"/>
    </row>
    <row r="680">
      <c r="J680" s="176"/>
    </row>
    <row r="681">
      <c r="J681" s="176"/>
    </row>
    <row r="682">
      <c r="J682" s="176"/>
    </row>
    <row r="683">
      <c r="J683" s="176"/>
    </row>
    <row r="684">
      <c r="J684" s="176"/>
    </row>
    <row r="685">
      <c r="J685" s="176"/>
    </row>
    <row r="686">
      <c r="J686" s="176"/>
    </row>
    <row r="687">
      <c r="J687" s="176"/>
    </row>
    <row r="688">
      <c r="J688" s="176"/>
    </row>
    <row r="689">
      <c r="J689" s="176"/>
    </row>
    <row r="690">
      <c r="J690" s="176"/>
    </row>
    <row r="691">
      <c r="J691" s="176"/>
    </row>
    <row r="692">
      <c r="J692" s="176"/>
    </row>
    <row r="693">
      <c r="J693" s="176"/>
    </row>
    <row r="694">
      <c r="J694" s="176"/>
    </row>
    <row r="695">
      <c r="J695" s="176"/>
    </row>
    <row r="696">
      <c r="J696" s="176"/>
    </row>
    <row r="697">
      <c r="J697" s="176"/>
    </row>
    <row r="698">
      <c r="J698" s="176"/>
    </row>
    <row r="699">
      <c r="J699" s="176"/>
    </row>
    <row r="700">
      <c r="J700" s="176"/>
    </row>
    <row r="701">
      <c r="J701" s="176"/>
    </row>
    <row r="702">
      <c r="J702" s="176"/>
    </row>
    <row r="703">
      <c r="J703" s="176"/>
    </row>
    <row r="704">
      <c r="J704" s="176"/>
    </row>
    <row r="705">
      <c r="J705" s="176"/>
    </row>
    <row r="706">
      <c r="J706" s="176"/>
    </row>
    <row r="707">
      <c r="J707" s="176"/>
    </row>
    <row r="708">
      <c r="J708" s="176"/>
    </row>
    <row r="709">
      <c r="J709" s="176"/>
    </row>
    <row r="710">
      <c r="J710" s="176"/>
    </row>
    <row r="711">
      <c r="J711" s="176"/>
    </row>
    <row r="712">
      <c r="J712" s="176"/>
    </row>
    <row r="713">
      <c r="J713" s="176"/>
    </row>
    <row r="714">
      <c r="J714" s="176"/>
    </row>
    <row r="715">
      <c r="J715" s="176"/>
    </row>
    <row r="716">
      <c r="J716" s="176"/>
    </row>
    <row r="717">
      <c r="J717" s="176"/>
    </row>
    <row r="718">
      <c r="J718" s="176"/>
    </row>
    <row r="719">
      <c r="J719" s="176"/>
    </row>
    <row r="720">
      <c r="J720" s="176"/>
    </row>
    <row r="721">
      <c r="J721" s="176"/>
    </row>
    <row r="722">
      <c r="J722" s="176"/>
    </row>
    <row r="723">
      <c r="J723" s="176"/>
    </row>
    <row r="724">
      <c r="J724" s="176"/>
    </row>
    <row r="725">
      <c r="J725" s="176"/>
    </row>
    <row r="726">
      <c r="J726" s="176"/>
    </row>
    <row r="727">
      <c r="J727" s="176"/>
    </row>
    <row r="728">
      <c r="J728" s="176"/>
    </row>
    <row r="729">
      <c r="J729" s="176"/>
    </row>
    <row r="730">
      <c r="J730" s="176"/>
    </row>
    <row r="731">
      <c r="J731" s="176"/>
    </row>
    <row r="732">
      <c r="J732" s="176"/>
    </row>
    <row r="733">
      <c r="J733" s="176"/>
    </row>
    <row r="734">
      <c r="J734" s="176"/>
    </row>
    <row r="735">
      <c r="J735" s="176"/>
    </row>
    <row r="736">
      <c r="J736" s="176"/>
    </row>
    <row r="737">
      <c r="J737" s="176"/>
    </row>
    <row r="738">
      <c r="J738" s="176"/>
    </row>
    <row r="739">
      <c r="J739" s="176"/>
    </row>
    <row r="740">
      <c r="J740" s="176"/>
    </row>
    <row r="741">
      <c r="J741" s="176"/>
    </row>
    <row r="742">
      <c r="J742" s="176"/>
    </row>
    <row r="743">
      <c r="J743" s="176"/>
    </row>
    <row r="744">
      <c r="J744" s="176"/>
    </row>
    <row r="745">
      <c r="J745" s="176"/>
    </row>
    <row r="746">
      <c r="J746" s="176"/>
    </row>
    <row r="747">
      <c r="J747" s="176"/>
    </row>
    <row r="748">
      <c r="J748" s="176"/>
    </row>
    <row r="749">
      <c r="J749" s="176"/>
    </row>
    <row r="750">
      <c r="J750" s="176"/>
    </row>
    <row r="751">
      <c r="J751" s="176"/>
    </row>
    <row r="752">
      <c r="J752" s="176"/>
    </row>
    <row r="753">
      <c r="J753" s="176"/>
    </row>
    <row r="754">
      <c r="J754" s="176"/>
    </row>
    <row r="755">
      <c r="J755" s="176"/>
    </row>
    <row r="756">
      <c r="J756" s="176"/>
    </row>
    <row r="757">
      <c r="J757" s="176"/>
    </row>
    <row r="758">
      <c r="J758" s="176"/>
    </row>
    <row r="759">
      <c r="J759" s="176"/>
    </row>
    <row r="760">
      <c r="J760" s="176"/>
    </row>
    <row r="761">
      <c r="J761" s="176"/>
    </row>
    <row r="762">
      <c r="J762" s="176"/>
    </row>
    <row r="763">
      <c r="J763" s="176"/>
    </row>
    <row r="764">
      <c r="J764" s="176"/>
    </row>
    <row r="765">
      <c r="J765" s="176"/>
    </row>
    <row r="766">
      <c r="J766" s="176"/>
    </row>
    <row r="767">
      <c r="J767" s="176"/>
    </row>
    <row r="768">
      <c r="J768" s="176"/>
    </row>
    <row r="769">
      <c r="J769" s="176"/>
    </row>
    <row r="770">
      <c r="J770" s="176"/>
    </row>
    <row r="771">
      <c r="J771" s="176"/>
    </row>
    <row r="772">
      <c r="J772" s="176"/>
    </row>
    <row r="773">
      <c r="J773" s="176"/>
    </row>
    <row r="774">
      <c r="J774" s="176"/>
    </row>
    <row r="775">
      <c r="J775" s="176"/>
    </row>
    <row r="776">
      <c r="J776" s="176"/>
    </row>
    <row r="777">
      <c r="J777" s="176"/>
    </row>
    <row r="778">
      <c r="J778" s="176"/>
    </row>
    <row r="779">
      <c r="J779" s="176"/>
    </row>
    <row r="780">
      <c r="J780" s="176"/>
    </row>
    <row r="781">
      <c r="J781" s="176"/>
    </row>
    <row r="782">
      <c r="J782" s="176"/>
    </row>
    <row r="783">
      <c r="J783" s="176"/>
    </row>
    <row r="784">
      <c r="J784" s="176"/>
    </row>
    <row r="785">
      <c r="J785" s="176"/>
    </row>
    <row r="786">
      <c r="J786" s="176"/>
    </row>
    <row r="787">
      <c r="J787" s="176"/>
    </row>
    <row r="788">
      <c r="J788" s="176"/>
    </row>
    <row r="789">
      <c r="J789" s="176"/>
    </row>
    <row r="790">
      <c r="J790" s="176"/>
    </row>
    <row r="791">
      <c r="J791" s="176"/>
    </row>
    <row r="792">
      <c r="J792" s="176"/>
    </row>
    <row r="793">
      <c r="J793" s="176"/>
    </row>
    <row r="794">
      <c r="J794" s="176"/>
    </row>
    <row r="795">
      <c r="J795" s="176"/>
    </row>
    <row r="796">
      <c r="J796" s="176"/>
    </row>
    <row r="797">
      <c r="J797" s="176"/>
    </row>
    <row r="798">
      <c r="J798" s="176"/>
    </row>
    <row r="799">
      <c r="J799" s="176"/>
    </row>
    <row r="800">
      <c r="J800" s="176"/>
    </row>
    <row r="801">
      <c r="J801" s="176"/>
    </row>
    <row r="802">
      <c r="J802" s="176"/>
    </row>
    <row r="803">
      <c r="J803" s="176"/>
    </row>
    <row r="804">
      <c r="J804" s="176"/>
    </row>
    <row r="805">
      <c r="J805" s="176"/>
    </row>
    <row r="806">
      <c r="J806" s="176"/>
    </row>
    <row r="807">
      <c r="J807" s="176"/>
    </row>
    <row r="808">
      <c r="J808" s="176"/>
    </row>
    <row r="809">
      <c r="J809" s="176"/>
    </row>
    <row r="810">
      <c r="J810" s="176"/>
    </row>
    <row r="811">
      <c r="J811" s="176"/>
    </row>
    <row r="812">
      <c r="J812" s="176"/>
    </row>
    <row r="813">
      <c r="J813" s="176"/>
    </row>
    <row r="814">
      <c r="J814" s="176"/>
    </row>
    <row r="815">
      <c r="J815" s="176"/>
    </row>
    <row r="816">
      <c r="J816" s="176"/>
    </row>
    <row r="817">
      <c r="J817" s="176"/>
    </row>
    <row r="818">
      <c r="J818" s="176"/>
    </row>
    <row r="819">
      <c r="J819" s="176"/>
    </row>
    <row r="820">
      <c r="J820" s="176"/>
    </row>
    <row r="821">
      <c r="J821" s="176"/>
    </row>
    <row r="822">
      <c r="J822" s="176"/>
    </row>
    <row r="823">
      <c r="J823" s="176"/>
    </row>
    <row r="824">
      <c r="J824" s="176"/>
    </row>
    <row r="825">
      <c r="J825" s="176"/>
    </row>
    <row r="826">
      <c r="J826" s="176"/>
    </row>
    <row r="827">
      <c r="J827" s="176"/>
    </row>
    <row r="828">
      <c r="J828" s="176"/>
    </row>
    <row r="829">
      <c r="J829" s="176"/>
    </row>
    <row r="830">
      <c r="J830" s="176"/>
    </row>
    <row r="831">
      <c r="J831" s="176"/>
    </row>
    <row r="832">
      <c r="J832" s="176"/>
    </row>
    <row r="833">
      <c r="J833" s="176"/>
    </row>
    <row r="834">
      <c r="J834" s="176"/>
    </row>
    <row r="835">
      <c r="J835" s="176"/>
    </row>
    <row r="836">
      <c r="J836" s="176"/>
    </row>
    <row r="837">
      <c r="J837" s="176"/>
    </row>
    <row r="838">
      <c r="J838" s="176"/>
    </row>
    <row r="839">
      <c r="J839" s="176"/>
    </row>
    <row r="840">
      <c r="J840" s="176"/>
    </row>
    <row r="841">
      <c r="J841" s="176"/>
    </row>
    <row r="842">
      <c r="J842" s="176"/>
    </row>
    <row r="843">
      <c r="J843" s="176"/>
    </row>
    <row r="844">
      <c r="J844" s="176"/>
    </row>
    <row r="845">
      <c r="J845" s="176"/>
    </row>
    <row r="846">
      <c r="J846" s="176"/>
    </row>
    <row r="847">
      <c r="J847" s="176"/>
    </row>
    <row r="848">
      <c r="J848" s="176"/>
    </row>
    <row r="849">
      <c r="J849" s="176"/>
    </row>
    <row r="850">
      <c r="J850" s="176"/>
    </row>
    <row r="851">
      <c r="J851" s="176"/>
    </row>
    <row r="852">
      <c r="J852" s="176"/>
    </row>
    <row r="853">
      <c r="J853" s="176"/>
    </row>
    <row r="854">
      <c r="J854" s="176"/>
    </row>
    <row r="855">
      <c r="J855" s="176"/>
    </row>
    <row r="856">
      <c r="J856" s="176"/>
    </row>
    <row r="857">
      <c r="J857" s="176"/>
    </row>
    <row r="858">
      <c r="J858" s="176"/>
    </row>
    <row r="859">
      <c r="J859" s="176"/>
    </row>
    <row r="860">
      <c r="J860" s="176"/>
    </row>
    <row r="861">
      <c r="J861" s="176"/>
    </row>
    <row r="862">
      <c r="J862" s="176"/>
    </row>
    <row r="863">
      <c r="J863" s="176"/>
    </row>
    <row r="864">
      <c r="J864" s="176"/>
    </row>
    <row r="865">
      <c r="J865" s="176"/>
    </row>
    <row r="866">
      <c r="J866" s="176"/>
    </row>
    <row r="867">
      <c r="J867" s="176"/>
    </row>
    <row r="868">
      <c r="J868" s="176"/>
    </row>
    <row r="869">
      <c r="J869" s="176"/>
    </row>
    <row r="870">
      <c r="J870" s="176"/>
    </row>
    <row r="871">
      <c r="J871" s="176"/>
    </row>
    <row r="872">
      <c r="J872" s="176"/>
    </row>
    <row r="873">
      <c r="J873" s="176"/>
    </row>
    <row r="874">
      <c r="J874" s="176"/>
    </row>
    <row r="875">
      <c r="J875" s="176"/>
    </row>
    <row r="876">
      <c r="J876" s="176"/>
    </row>
    <row r="877">
      <c r="J877" s="176"/>
    </row>
    <row r="878">
      <c r="J878" s="176"/>
    </row>
    <row r="879">
      <c r="J879" s="176"/>
    </row>
    <row r="880">
      <c r="J880" s="176"/>
    </row>
    <row r="881">
      <c r="J881" s="176"/>
    </row>
    <row r="882">
      <c r="J882" s="176"/>
    </row>
    <row r="883">
      <c r="J883" s="176"/>
    </row>
    <row r="884">
      <c r="J884" s="176"/>
    </row>
    <row r="885">
      <c r="J885" s="176"/>
    </row>
    <row r="886">
      <c r="J886" s="176"/>
    </row>
    <row r="887">
      <c r="J887" s="176"/>
    </row>
    <row r="888">
      <c r="J888" s="176"/>
    </row>
    <row r="889">
      <c r="J889" s="176"/>
    </row>
    <row r="890">
      <c r="J890" s="176"/>
    </row>
    <row r="891">
      <c r="J891" s="176"/>
    </row>
    <row r="892">
      <c r="J892" s="176"/>
    </row>
    <row r="893">
      <c r="J893" s="176"/>
    </row>
    <row r="894">
      <c r="J894" s="176"/>
    </row>
    <row r="895">
      <c r="J895" s="176"/>
    </row>
    <row r="896">
      <c r="J896" s="176"/>
    </row>
    <row r="897">
      <c r="J897" s="176"/>
    </row>
    <row r="898">
      <c r="J898" s="176"/>
    </row>
    <row r="899">
      <c r="J899" s="176"/>
    </row>
    <row r="900">
      <c r="J900" s="176"/>
    </row>
    <row r="901">
      <c r="J901" s="176"/>
    </row>
    <row r="902">
      <c r="J902" s="176"/>
    </row>
    <row r="903">
      <c r="J903" s="176"/>
    </row>
    <row r="904">
      <c r="J904" s="176"/>
    </row>
    <row r="905">
      <c r="J905" s="176"/>
    </row>
    <row r="906">
      <c r="J906" s="176"/>
    </row>
    <row r="907">
      <c r="J907" s="176"/>
    </row>
    <row r="908">
      <c r="J908" s="176"/>
    </row>
    <row r="909">
      <c r="J909" s="176"/>
    </row>
    <row r="910">
      <c r="J910" s="176"/>
    </row>
    <row r="911">
      <c r="J911" s="176"/>
    </row>
    <row r="912">
      <c r="J912" s="176"/>
    </row>
    <row r="913">
      <c r="J913" s="176"/>
    </row>
    <row r="914">
      <c r="J914" s="176"/>
    </row>
    <row r="915">
      <c r="J915" s="176"/>
    </row>
    <row r="916">
      <c r="J916" s="176"/>
    </row>
    <row r="917">
      <c r="J917" s="176"/>
    </row>
    <row r="918">
      <c r="J918" s="176"/>
    </row>
    <row r="919">
      <c r="J919" s="176"/>
    </row>
    <row r="920">
      <c r="J920" s="176"/>
    </row>
    <row r="921">
      <c r="J921" s="176"/>
    </row>
    <row r="922">
      <c r="J922" s="176"/>
    </row>
    <row r="923">
      <c r="J923" s="176"/>
    </row>
    <row r="924">
      <c r="J924" s="176"/>
    </row>
    <row r="925">
      <c r="J925" s="176"/>
    </row>
    <row r="926">
      <c r="J926" s="176"/>
    </row>
    <row r="927">
      <c r="J927" s="176"/>
    </row>
    <row r="928">
      <c r="J928" s="176"/>
    </row>
    <row r="929">
      <c r="J929" s="176"/>
    </row>
    <row r="930">
      <c r="J930" s="176"/>
    </row>
    <row r="931">
      <c r="J931" s="176"/>
    </row>
    <row r="932">
      <c r="J932" s="176"/>
    </row>
    <row r="933">
      <c r="J933" s="176"/>
    </row>
    <row r="934">
      <c r="J934" s="176"/>
    </row>
    <row r="935">
      <c r="J935" s="176"/>
    </row>
    <row r="936">
      <c r="J936" s="176"/>
    </row>
    <row r="937">
      <c r="J937" s="176"/>
    </row>
    <row r="938">
      <c r="J938" s="176"/>
    </row>
    <row r="939">
      <c r="J939" s="176"/>
    </row>
    <row r="940">
      <c r="J940" s="176"/>
    </row>
    <row r="941">
      <c r="J941" s="176"/>
    </row>
    <row r="942">
      <c r="J942" s="176"/>
    </row>
    <row r="943">
      <c r="J943" s="176"/>
    </row>
    <row r="944">
      <c r="J944" s="176"/>
    </row>
    <row r="945">
      <c r="J945" s="176"/>
    </row>
    <row r="946">
      <c r="J946" s="176"/>
    </row>
    <row r="947">
      <c r="J947" s="176"/>
    </row>
    <row r="948">
      <c r="J948" s="176"/>
    </row>
    <row r="949">
      <c r="J949" s="176"/>
    </row>
    <row r="950">
      <c r="J950" s="176"/>
    </row>
    <row r="951">
      <c r="J951" s="176"/>
    </row>
    <row r="952">
      <c r="J952" s="176"/>
    </row>
    <row r="953">
      <c r="J953" s="176"/>
    </row>
    <row r="954">
      <c r="J954" s="176"/>
    </row>
    <row r="955">
      <c r="J955" s="176"/>
    </row>
    <row r="956">
      <c r="J956" s="176"/>
    </row>
    <row r="957">
      <c r="J957" s="176"/>
    </row>
    <row r="958">
      <c r="J958" s="176"/>
    </row>
    <row r="959">
      <c r="J959" s="176"/>
    </row>
    <row r="960">
      <c r="J960" s="176"/>
    </row>
    <row r="961">
      <c r="J961" s="176"/>
    </row>
    <row r="962">
      <c r="J962" s="176"/>
    </row>
    <row r="963">
      <c r="J963" s="176"/>
    </row>
    <row r="964">
      <c r="J964" s="176"/>
    </row>
    <row r="965">
      <c r="J965" s="176"/>
    </row>
    <row r="966">
      <c r="J966" s="176"/>
    </row>
    <row r="967">
      <c r="J967" s="176"/>
    </row>
    <row r="968">
      <c r="J968" s="176"/>
    </row>
    <row r="969">
      <c r="J969" s="176"/>
    </row>
    <row r="970">
      <c r="J970" s="176"/>
    </row>
    <row r="971">
      <c r="J971" s="176"/>
    </row>
    <row r="972">
      <c r="J972" s="176"/>
    </row>
    <row r="973">
      <c r="J973" s="176"/>
    </row>
    <row r="974">
      <c r="J974" s="176"/>
    </row>
    <row r="975">
      <c r="J975" s="176"/>
    </row>
    <row r="976">
      <c r="J976" s="176"/>
    </row>
    <row r="977">
      <c r="J977" s="176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1" max="1" width="6.63"/>
    <col customWidth="1" min="2" max="2" width="27.63"/>
    <col customWidth="1" min="3" max="9" width="10.88"/>
    <col customWidth="1" min="10" max="11" width="11.75"/>
    <col customWidth="1" min="12" max="12" width="10.25"/>
    <col customWidth="1" min="13" max="13" width="9.25"/>
    <col customWidth="1" min="14" max="14" width="10.5"/>
    <col customWidth="1" min="15" max="15" width="9.5"/>
    <col customWidth="1" min="16" max="16" width="10.0"/>
    <col customWidth="1" min="17" max="17" width="12.5"/>
    <col customWidth="1" min="19" max="19" width="9.0"/>
    <col customWidth="1" min="20" max="20" width="11.63"/>
    <col customWidth="1" min="21" max="22" width="9.63"/>
    <col customWidth="1" min="23" max="23" width="12.88"/>
    <col customWidth="1" min="24" max="24" width="2.38"/>
    <col customWidth="1" min="26" max="26" width="14.25"/>
    <col customWidth="1" min="28" max="28" width="2.5"/>
    <col customWidth="1" min="31" max="31" width="11.75"/>
    <col customWidth="1" min="32" max="32" width="11.63"/>
    <col customWidth="1" min="33" max="33" width="11.75"/>
    <col customWidth="1" min="34" max="34" width="3.63"/>
    <col customWidth="1" min="35" max="35" width="16.63"/>
    <col customWidth="1" min="40" max="40" width="3.88"/>
    <col customWidth="1" min="42" max="42" width="16.63"/>
    <col customWidth="1" min="45" max="45" width="3.63"/>
    <col customWidth="1" min="46" max="48" width="15.63"/>
  </cols>
  <sheetData>
    <row r="1">
      <c r="A1" s="180"/>
      <c r="B1" s="180"/>
      <c r="C1" s="181"/>
      <c r="D1" s="181"/>
      <c r="E1" s="181"/>
      <c r="F1" s="181"/>
      <c r="G1" s="181"/>
      <c r="H1" s="182"/>
      <c r="I1" s="182" t="s">
        <v>37</v>
      </c>
      <c r="Y1" s="182" t="s">
        <v>63</v>
      </c>
      <c r="AC1" s="182" t="s">
        <v>117</v>
      </c>
      <c r="AI1" s="182" t="s">
        <v>76</v>
      </c>
      <c r="AL1" s="182"/>
      <c r="AM1" s="182"/>
      <c r="AO1" s="182" t="s">
        <v>118</v>
      </c>
      <c r="AR1" s="182"/>
      <c r="AS1" s="96"/>
      <c r="AT1" s="183"/>
      <c r="AU1" s="183"/>
      <c r="AV1" s="183"/>
    </row>
    <row r="2">
      <c r="A2" s="184" t="s">
        <v>119</v>
      </c>
      <c r="B2" s="185"/>
      <c r="C2" s="186" t="s">
        <v>56</v>
      </c>
      <c r="D2" s="186" t="s">
        <v>120</v>
      </c>
      <c r="E2" s="186" t="s">
        <v>121</v>
      </c>
      <c r="F2" s="186" t="s">
        <v>122</v>
      </c>
      <c r="G2" s="186" t="s">
        <v>123</v>
      </c>
      <c r="H2" s="186" t="s">
        <v>124</v>
      </c>
      <c r="I2" s="186" t="s">
        <v>50</v>
      </c>
      <c r="J2" s="186" t="s">
        <v>125</v>
      </c>
      <c r="K2" s="186" t="s">
        <v>41</v>
      </c>
      <c r="L2" s="186" t="s">
        <v>126</v>
      </c>
      <c r="M2" s="186" t="s">
        <v>127</v>
      </c>
      <c r="N2" s="186" t="s">
        <v>45</v>
      </c>
      <c r="O2" s="186" t="s">
        <v>128</v>
      </c>
      <c r="P2" s="186" t="s">
        <v>129</v>
      </c>
      <c r="Q2" s="186" t="s">
        <v>46</v>
      </c>
      <c r="R2" s="186" t="s">
        <v>130</v>
      </c>
      <c r="S2" s="186" t="s">
        <v>48</v>
      </c>
      <c r="T2" s="186" t="s">
        <v>131</v>
      </c>
      <c r="U2" s="186" t="s">
        <v>132</v>
      </c>
      <c r="V2" s="186" t="s">
        <v>51</v>
      </c>
      <c r="W2" s="186" t="s">
        <v>133</v>
      </c>
      <c r="X2" s="187"/>
      <c r="Y2" s="188" t="s">
        <v>65</v>
      </c>
      <c r="Z2" s="189" t="s">
        <v>66</v>
      </c>
      <c r="AA2" s="190" t="s">
        <v>67</v>
      </c>
      <c r="AB2" s="191"/>
      <c r="AC2" s="192" t="s">
        <v>134</v>
      </c>
      <c r="AD2" s="193" t="s">
        <v>71</v>
      </c>
      <c r="AE2" s="193" t="s">
        <v>135</v>
      </c>
      <c r="AF2" s="193" t="s">
        <v>136</v>
      </c>
      <c r="AG2" s="193" t="s">
        <v>75</v>
      </c>
      <c r="AH2" s="194"/>
      <c r="AI2" s="193" t="s">
        <v>137</v>
      </c>
      <c r="AJ2" s="195" t="s">
        <v>138</v>
      </c>
      <c r="AK2" s="195" t="s">
        <v>78</v>
      </c>
      <c r="AL2" s="195" t="s">
        <v>139</v>
      </c>
      <c r="AM2" s="195" t="s">
        <v>80</v>
      </c>
      <c r="AN2" s="196"/>
      <c r="AO2" s="192" t="s">
        <v>73</v>
      </c>
      <c r="AP2" s="197" t="s">
        <v>140</v>
      </c>
      <c r="AQ2" s="197" t="s">
        <v>84</v>
      </c>
      <c r="AR2" s="198" t="s">
        <v>141</v>
      </c>
      <c r="AS2" s="199"/>
      <c r="AT2" s="131"/>
      <c r="AU2" s="131"/>
      <c r="AV2" s="131"/>
    </row>
    <row r="3" ht="17.25" customHeight="1">
      <c r="A3" s="200" t="s">
        <v>142</v>
      </c>
      <c r="B3" s="185"/>
      <c r="C3" s="201">
        <f t="shared" ref="C3:C4" si="1">231837.91/12</f>
        <v>19319.82583</v>
      </c>
      <c r="D3" s="201">
        <f>107543.76/12</f>
        <v>8961.98</v>
      </c>
      <c r="E3" s="201">
        <f>75349.2/12</f>
        <v>6279.1</v>
      </c>
      <c r="F3" s="201">
        <f>115456.3/12</f>
        <v>9621.358333</v>
      </c>
      <c r="G3" s="201">
        <v>0.0</v>
      </c>
      <c r="H3" s="201">
        <v>37712.0</v>
      </c>
      <c r="I3" s="201">
        <f>3132747.07/12</f>
        <v>261062.2558</v>
      </c>
      <c r="J3" s="201">
        <f>672555.97/12</f>
        <v>56046.33083</v>
      </c>
      <c r="K3" s="201">
        <f>1727530.9/12</f>
        <v>143960.9083</v>
      </c>
      <c r="L3" s="201">
        <f>1443030/12</f>
        <v>120252.5</v>
      </c>
      <c r="M3" s="201">
        <f t="shared" ref="M3:M4" si="2">141120/12</f>
        <v>11760</v>
      </c>
      <c r="N3" s="201">
        <f>247620/12</f>
        <v>20635</v>
      </c>
      <c r="O3" s="201">
        <f t="shared" ref="O3:O4" si="3">77551.35/12</f>
        <v>6462.6125</v>
      </c>
      <c r="P3" s="201">
        <f>541317.35/12</f>
        <v>45109.77917</v>
      </c>
      <c r="Q3" s="201">
        <f t="shared" ref="Q3:Q4" si="4">145189.45/12</f>
        <v>12099.12083</v>
      </c>
      <c r="R3" s="201">
        <f>1025987.37/12</f>
        <v>85498.9475</v>
      </c>
      <c r="S3" s="201">
        <f t="shared" ref="S3:S4" si="5">254419.6/12</f>
        <v>21201.63333</v>
      </c>
      <c r="T3" s="201">
        <f t="shared" ref="T3:T4" si="6">108500/12</f>
        <v>9041.666667</v>
      </c>
      <c r="U3" s="201">
        <f>100872.9/12</f>
        <v>8406.075</v>
      </c>
      <c r="V3" s="201">
        <f>122341.43/12</f>
        <v>10195.11917</v>
      </c>
      <c r="W3" s="201">
        <f t="shared" ref="W3:W4" si="7">108000/12</f>
        <v>9000</v>
      </c>
      <c r="X3" s="202"/>
      <c r="Y3" s="203">
        <f>7441060.31/12</f>
        <v>620088.3592</v>
      </c>
      <c r="Z3" s="203">
        <f t="shared" ref="Z3:Z4" si="8">1164623.41/12</f>
        <v>97051.95083</v>
      </c>
      <c r="AA3" s="203">
        <f>222272.01/12</f>
        <v>18522.6675</v>
      </c>
      <c r="AB3" s="204"/>
      <c r="AC3" s="205">
        <f>3891384/12</f>
        <v>324282</v>
      </c>
      <c r="AD3" s="203">
        <f t="shared" ref="AD3:AD4" si="9">199127/12</f>
        <v>16593.91667</v>
      </c>
      <c r="AE3" s="203">
        <f>34800/12</f>
        <v>2900</v>
      </c>
      <c r="AF3" s="203">
        <v>5580.0</v>
      </c>
      <c r="AG3" s="203">
        <f>88105/12</f>
        <v>7342.083333</v>
      </c>
      <c r="AH3" s="206"/>
      <c r="AI3" s="207">
        <f>311698/12</f>
        <v>25974.83333</v>
      </c>
      <c r="AJ3" s="207">
        <f>1299497.16/12</f>
        <v>108291.43</v>
      </c>
      <c r="AK3" s="207">
        <f t="shared" ref="AK3:AK4" si="10">22140/12</f>
        <v>1845</v>
      </c>
      <c r="AL3" s="207">
        <f>130783/12</f>
        <v>10898.58333</v>
      </c>
      <c r="AM3" s="207">
        <f>3818677/12</f>
        <v>318223.0833</v>
      </c>
      <c r="AN3" s="204"/>
      <c r="AO3" s="207">
        <f>270120/12</f>
        <v>22510</v>
      </c>
      <c r="AP3" s="208">
        <f>460246.81/12</f>
        <v>38353.90083</v>
      </c>
      <c r="AQ3" s="209">
        <f t="shared" ref="AQ3:AQ4" si="11">496800/12</f>
        <v>41400</v>
      </c>
      <c r="AR3" s="210">
        <f>50250/12</f>
        <v>4187.5</v>
      </c>
      <c r="AS3" s="211"/>
      <c r="AT3" s="82"/>
      <c r="AU3" s="82"/>
      <c r="AV3" s="82"/>
    </row>
    <row r="4" ht="15.0" customHeight="1">
      <c r="A4" s="184" t="s">
        <v>143</v>
      </c>
      <c r="B4" s="185"/>
      <c r="C4" s="201">
        <f t="shared" si="1"/>
        <v>19319.82583</v>
      </c>
      <c r="D4" s="212">
        <f>81201.27/12</f>
        <v>6766.7725</v>
      </c>
      <c r="E4" s="212">
        <f>104461.56/12</f>
        <v>8705.13</v>
      </c>
      <c r="F4" s="212">
        <f>89061.62/12</f>
        <v>7421.801667</v>
      </c>
      <c r="G4" s="212">
        <v>0.0</v>
      </c>
      <c r="H4" s="212">
        <v>0.0</v>
      </c>
      <c r="I4" s="212">
        <f>2242086.98/12</f>
        <v>186840.5817</v>
      </c>
      <c r="J4" s="212">
        <f>552780.75/12</f>
        <v>46065.0625</v>
      </c>
      <c r="K4" s="212">
        <f>1731914.37/12</f>
        <v>144326.1975</v>
      </c>
      <c r="L4" s="212">
        <f>1385460/12</f>
        <v>115455</v>
      </c>
      <c r="M4" s="201">
        <f t="shared" si="2"/>
        <v>11760</v>
      </c>
      <c r="N4" s="212">
        <f>227060/12</f>
        <v>18921.66667</v>
      </c>
      <c r="O4" s="201">
        <f t="shared" si="3"/>
        <v>6462.6125</v>
      </c>
      <c r="P4" s="212">
        <f>541507.34/12</f>
        <v>45125.61167</v>
      </c>
      <c r="Q4" s="201">
        <f t="shared" si="4"/>
        <v>12099.12083</v>
      </c>
      <c r="R4" s="212">
        <f>598896.67/12</f>
        <v>49908.05583</v>
      </c>
      <c r="S4" s="201">
        <f t="shared" si="5"/>
        <v>21201.63333</v>
      </c>
      <c r="T4" s="201">
        <f t="shared" si="6"/>
        <v>9041.666667</v>
      </c>
      <c r="U4" s="212">
        <f>105052.8/12</f>
        <v>8754.4</v>
      </c>
      <c r="V4" s="212">
        <f>119038.28/12</f>
        <v>9919.856667</v>
      </c>
      <c r="W4" s="201">
        <f t="shared" si="7"/>
        <v>9000</v>
      </c>
      <c r="X4" s="202"/>
      <c r="Y4" s="203">
        <f>7431179.15/12</f>
        <v>619264.9292</v>
      </c>
      <c r="Z4" s="203">
        <f t="shared" si="8"/>
        <v>97051.95083</v>
      </c>
      <c r="AA4" s="203">
        <f>222991.21/12</f>
        <v>18582.60083</v>
      </c>
      <c r="AB4" s="204"/>
      <c r="AC4" s="205">
        <f>3804813.12/12</f>
        <v>317067.76</v>
      </c>
      <c r="AD4" s="203">
        <f t="shared" si="9"/>
        <v>16593.91667</v>
      </c>
      <c r="AE4" s="203">
        <f>44800/12</f>
        <v>3733.333333</v>
      </c>
      <c r="AF4" s="203">
        <v>5580.0</v>
      </c>
      <c r="AG4" s="203">
        <f>93781/12</f>
        <v>7815.083333</v>
      </c>
      <c r="AH4" s="206"/>
      <c r="AI4" s="205">
        <f>312927/12</f>
        <v>26077.25</v>
      </c>
      <c r="AJ4" s="205">
        <f>1244692.4/12</f>
        <v>103724.3667</v>
      </c>
      <c r="AK4" s="207">
        <f t="shared" si="10"/>
        <v>1845</v>
      </c>
      <c r="AL4" s="207">
        <f>130983/12</f>
        <v>10915.25</v>
      </c>
      <c r="AM4" s="207">
        <f>3842756/12</f>
        <v>320229.6667</v>
      </c>
      <c r="AN4" s="204"/>
      <c r="AO4" s="205">
        <f>266200/12</f>
        <v>22183.33333</v>
      </c>
      <c r="AP4" s="203">
        <f>459166.91/12</f>
        <v>38263.90917</v>
      </c>
      <c r="AQ4" s="209">
        <f t="shared" si="11"/>
        <v>41400</v>
      </c>
      <c r="AR4" s="207">
        <f>59750/12</f>
        <v>4979.166667</v>
      </c>
      <c r="AS4" s="211"/>
      <c r="AT4" s="82">
        <f>SUM(C4:AR4)</f>
        <v>2392402.513</v>
      </c>
      <c r="AU4" s="82"/>
      <c r="AV4" s="82"/>
    </row>
    <row r="5" ht="15.0" customHeight="1">
      <c r="A5" s="123"/>
      <c r="B5" s="123" t="s">
        <v>144</v>
      </c>
      <c r="C5" s="212">
        <f t="shared" ref="C5:W5" si="12">C3-C4</f>
        <v>0</v>
      </c>
      <c r="D5" s="212">
        <f t="shared" si="12"/>
        <v>2195.2075</v>
      </c>
      <c r="E5" s="212">
        <f t="shared" si="12"/>
        <v>-2426.03</v>
      </c>
      <c r="F5" s="212">
        <f t="shared" si="12"/>
        <v>2199.556667</v>
      </c>
      <c r="G5" s="212">
        <f t="shared" si="12"/>
        <v>0</v>
      </c>
      <c r="H5" s="212">
        <f t="shared" si="12"/>
        <v>37712</v>
      </c>
      <c r="I5" s="212">
        <f t="shared" si="12"/>
        <v>74221.67417</v>
      </c>
      <c r="J5" s="212">
        <f t="shared" si="12"/>
        <v>9981.268333</v>
      </c>
      <c r="K5" s="212">
        <f t="shared" si="12"/>
        <v>-365.2891667</v>
      </c>
      <c r="L5" s="212">
        <f t="shared" si="12"/>
        <v>4797.5</v>
      </c>
      <c r="M5" s="212">
        <f t="shared" si="12"/>
        <v>0</v>
      </c>
      <c r="N5" s="212">
        <f t="shared" si="12"/>
        <v>1713.333333</v>
      </c>
      <c r="O5" s="212">
        <f t="shared" si="12"/>
        <v>0</v>
      </c>
      <c r="P5" s="212">
        <f t="shared" si="12"/>
        <v>-15.8325</v>
      </c>
      <c r="Q5" s="212">
        <f t="shared" si="12"/>
        <v>0</v>
      </c>
      <c r="R5" s="212">
        <f t="shared" si="12"/>
        <v>35590.89167</v>
      </c>
      <c r="S5" s="212">
        <f t="shared" si="12"/>
        <v>0</v>
      </c>
      <c r="T5" s="212">
        <f t="shared" si="12"/>
        <v>0</v>
      </c>
      <c r="U5" s="212">
        <f t="shared" si="12"/>
        <v>-348.325</v>
      </c>
      <c r="V5" s="212">
        <f t="shared" si="12"/>
        <v>275.2625</v>
      </c>
      <c r="W5" s="212">
        <f t="shared" si="12"/>
        <v>0</v>
      </c>
      <c r="X5" s="213"/>
      <c r="Y5" s="212">
        <f t="shared" ref="Y5:AA5" si="13">Y3-Y4</f>
        <v>823.43</v>
      </c>
      <c r="Z5" s="212">
        <f t="shared" si="13"/>
        <v>0</v>
      </c>
      <c r="AA5" s="212">
        <f t="shared" si="13"/>
        <v>-59.93333333</v>
      </c>
      <c r="AB5" s="213"/>
      <c r="AC5" s="212">
        <f t="shared" ref="AC5:AG5" si="14">AC3-AC4</f>
        <v>7214.24</v>
      </c>
      <c r="AD5" s="212">
        <f t="shared" si="14"/>
        <v>0</v>
      </c>
      <c r="AE5" s="212">
        <f t="shared" si="14"/>
        <v>-833.3333333</v>
      </c>
      <c r="AF5" s="212">
        <f t="shared" si="14"/>
        <v>0</v>
      </c>
      <c r="AG5" s="212">
        <f t="shared" si="14"/>
        <v>-473</v>
      </c>
      <c r="AH5" s="214"/>
      <c r="AI5" s="212">
        <f t="shared" ref="AI5:AM5" si="15">AI3-AI4</f>
        <v>-102.4166667</v>
      </c>
      <c r="AJ5" s="212">
        <f t="shared" si="15"/>
        <v>4567.063333</v>
      </c>
      <c r="AK5" s="212">
        <f t="shared" si="15"/>
        <v>0</v>
      </c>
      <c r="AL5" s="212">
        <f t="shared" si="15"/>
        <v>-16.66666667</v>
      </c>
      <c r="AM5" s="212">
        <f t="shared" si="15"/>
        <v>-2006.583333</v>
      </c>
      <c r="AN5" s="213"/>
      <c r="AO5" s="212">
        <f t="shared" ref="AO5:AR5" si="16">AO3-AO4</f>
        <v>326.6666667</v>
      </c>
      <c r="AP5" s="212">
        <f t="shared" si="16"/>
        <v>89.99166667</v>
      </c>
      <c r="AQ5" s="212">
        <f t="shared" si="16"/>
        <v>0</v>
      </c>
      <c r="AR5" s="212">
        <f t="shared" si="16"/>
        <v>-791.6666667</v>
      </c>
      <c r="AS5" s="211"/>
      <c r="AT5" s="82"/>
      <c r="AU5" s="82"/>
      <c r="AV5" s="82"/>
    </row>
    <row r="6" ht="15.0" customHeight="1">
      <c r="A6" s="184" t="s">
        <v>145</v>
      </c>
      <c r="B6" s="185"/>
      <c r="C6" s="215">
        <f>56100/12</f>
        <v>4675</v>
      </c>
      <c r="D6" s="215">
        <f t="shared" ref="D6:E6" si="17">1000/12</f>
        <v>83.33333333</v>
      </c>
      <c r="E6" s="215">
        <f t="shared" si="17"/>
        <v>83.33333333</v>
      </c>
      <c r="F6" s="215">
        <f>18600/12</f>
        <v>1550</v>
      </c>
      <c r="G6" s="215"/>
      <c r="H6" s="215">
        <f>64950/12</f>
        <v>5412.5</v>
      </c>
      <c r="I6" s="215">
        <f>90400/12</f>
        <v>7533.333333</v>
      </c>
      <c r="J6" s="215">
        <f>27300/12</f>
        <v>2275</v>
      </c>
      <c r="K6" s="215">
        <f>89100/12</f>
        <v>7425</v>
      </c>
      <c r="L6" s="215">
        <f>18700/12</f>
        <v>1558.333333</v>
      </c>
      <c r="M6" s="215">
        <f>2000/12</f>
        <v>166.6666667</v>
      </c>
      <c r="N6" s="215">
        <f>24400/12</f>
        <v>2033.333333</v>
      </c>
      <c r="O6" s="215">
        <f>1000/12</f>
        <v>83.33333333</v>
      </c>
      <c r="P6" s="212">
        <f>7150/12</f>
        <v>595.8333333</v>
      </c>
      <c r="Q6" s="212">
        <f>20600/12</f>
        <v>1716.666667</v>
      </c>
      <c r="R6" s="215">
        <f>5600/12</f>
        <v>466.6666667</v>
      </c>
      <c r="S6" s="215">
        <f>21200/12</f>
        <v>1766.666667</v>
      </c>
      <c r="T6" s="215">
        <f>1200/12</f>
        <v>100</v>
      </c>
      <c r="U6" s="215"/>
      <c r="V6" s="215"/>
      <c r="W6" s="216">
        <f>1000/12</f>
        <v>83.33333333</v>
      </c>
      <c r="X6" s="202"/>
      <c r="Y6" s="217">
        <f>102200/12</f>
        <v>8516.666667</v>
      </c>
      <c r="Z6" s="217">
        <f>5400/12</f>
        <v>450</v>
      </c>
      <c r="AA6" s="217"/>
      <c r="AB6" s="204"/>
      <c r="AC6" s="205">
        <f>(306650+19200)/12</f>
        <v>27154.16667</v>
      </c>
      <c r="AD6" s="203"/>
      <c r="AE6" s="203"/>
      <c r="AF6" s="203">
        <f>400/12</f>
        <v>33.33333333</v>
      </c>
      <c r="AG6" s="203"/>
      <c r="AH6" s="206"/>
      <c r="AI6" s="205">
        <f>9800/12</f>
        <v>816.6666667</v>
      </c>
      <c r="AJ6" s="205"/>
      <c r="AK6" s="205"/>
      <c r="AL6" s="205">
        <f>2800/12</f>
        <v>233.3333333</v>
      </c>
      <c r="AM6" s="205"/>
      <c r="AN6" s="204"/>
      <c r="AO6" s="218"/>
      <c r="AP6" s="217"/>
      <c r="AQ6" s="217"/>
      <c r="AR6" s="210"/>
      <c r="AS6" s="211"/>
      <c r="AT6" s="81"/>
      <c r="AU6" s="81"/>
      <c r="AV6" s="81"/>
    </row>
    <row r="7">
      <c r="A7" s="219" t="s">
        <v>146</v>
      </c>
      <c r="B7" s="186" t="s">
        <v>147</v>
      </c>
      <c r="C7" s="220">
        <f>'Монолит'!I3+'Монолит'!I4+'Монолит'!I5</f>
        <v>8594.759372</v>
      </c>
      <c r="D7" s="220">
        <f>'Усадьба'!I3</f>
        <v>1496.635514</v>
      </c>
      <c r="E7" s="220">
        <f>'Тобол'!I3+'Тобол'!I4</f>
        <v>2346.268847</v>
      </c>
      <c r="F7" s="220">
        <f>'Высота'!I3+'Высота'!I4</f>
        <v>5986.814677</v>
      </c>
      <c r="G7" s="220">
        <f>'Вавилон'!I3</f>
        <v>0</v>
      </c>
      <c r="H7" s="220">
        <f>'Электрон'!I3+'Электрон'!I4</f>
        <v>849.6333333</v>
      </c>
      <c r="I7" s="220">
        <f>'Запад'!I3+'Запад'!I4+'Запад'!I5</f>
        <v>67133.29419</v>
      </c>
      <c r="J7" s="220">
        <f>'Ирида'!I3+'Ирида'!I4+'Ирида'!I5</f>
        <v>6927.269565</v>
      </c>
      <c r="K7" s="220">
        <f>'ЖСУ'!I3+'ЖСУ'!I4</f>
        <v>29915.42609</v>
      </c>
      <c r="L7" s="220">
        <f>'Суходолье'!I3+'Суходолье'!I4</f>
        <v>3700.933665</v>
      </c>
      <c r="M7" s="220">
        <f>'УК линейная'!I3</f>
        <v>1057.409619</v>
      </c>
      <c r="N7" s="220">
        <f>'Аурика '!I3+'Аурика '!I4</f>
        <v>1850.466833</v>
      </c>
      <c r="O7" s="220">
        <f>'Надежное управление'!I3+'Надежное управление'!I5</f>
        <v>660.8810116</v>
      </c>
      <c r="P7" s="220">
        <f>'ЖЭУ 9'!I3+'ЖЭУ 9'!I4</f>
        <v>2379.171642</v>
      </c>
      <c r="Q7" s="220">
        <f>'УК на Ткацком'!I3</f>
        <v>528.7048093</v>
      </c>
      <c r="R7" s="220">
        <f>'УК на пражской'!I3+'УК на пражской'!I4</f>
        <v>14067.25357</v>
      </c>
      <c r="S7" s="220">
        <f>'ТЭСК'!I3+'ТЭСК'!I4+'ТЭСК'!I5</f>
        <v>2028.273283</v>
      </c>
      <c r="T7" s="220">
        <f>'Восток сити'!I3+'Восток сити'!I4</f>
        <v>1113.985738</v>
      </c>
      <c r="U7" s="220">
        <f>'Ладья'!I3</f>
        <v>1496.635514</v>
      </c>
      <c r="V7" s="220">
        <f>'Юг'!I4+'Юг'!I3</f>
        <v>1820.888043</v>
      </c>
      <c r="W7" s="221">
        <f>'УК на Полевой'!I3+'УК на Полевой'!I4</f>
        <v>1036.712773</v>
      </c>
      <c r="X7" s="204"/>
      <c r="Y7" s="222">
        <f>'Алсу'!I3+'Алсу'!I4</f>
        <v>77259.24253</v>
      </c>
      <c r="Z7" s="222">
        <f>'УК Альметьевск'!I2+'УК Альметьевск'!I3+'УК Альметьевск'!I4</f>
        <v>10677.98506</v>
      </c>
      <c r="AA7" s="222">
        <f>'Новация'!I2</f>
        <v>3818.945858</v>
      </c>
      <c r="AB7" s="204"/>
      <c r="AC7" s="223">
        <f>'Жилкомплекс'!I2</f>
        <v>71314.94055</v>
      </c>
      <c r="AD7" s="224">
        <f>'Радужный_З'!I2</f>
        <v>355.138189</v>
      </c>
      <c r="AE7" s="224">
        <f>'Салават Купере'!I2</f>
        <v>355.138189</v>
      </c>
      <c r="AF7" s="224">
        <f>'ТСЖ №6'!I2</f>
        <v>473.5175853</v>
      </c>
      <c r="AG7" s="224">
        <f>'Прямые'!I2</f>
        <v>1065.414567</v>
      </c>
      <c r="AH7" s="206"/>
      <c r="AI7" s="222">
        <f>'Радужный (Казань)'!I2</f>
        <v>8497.65625</v>
      </c>
      <c r="AJ7" s="222">
        <f>'ЖК Моск рай-на'!H2+'ЖК Моск рай-на'!H3</f>
        <v>9541.666667</v>
      </c>
      <c r="AK7" s="222">
        <f>'Фукса 12'!I2</f>
        <v>566.5104167</v>
      </c>
      <c r="AL7" s="222">
        <f>'ТСЖ Соврменник'!I3</f>
        <v>453.2083333</v>
      </c>
      <c r="AM7" s="222">
        <f>'ЭРТХ_К'!G2</f>
        <v>184780.9167</v>
      </c>
      <c r="AN7" s="204"/>
      <c r="AO7" s="222">
        <f>'Тринити'!I2+'Тринити'!I3</f>
        <v>129.9212598</v>
      </c>
      <c r="AP7" s="222">
        <f>'Жилищный фонд'!I2</f>
        <v>2150</v>
      </c>
      <c r="AQ7" s="222">
        <f>'ЗИОН'!I2+'ЗИОН'!I4</f>
        <v>1216.346154</v>
      </c>
      <c r="AR7" s="222">
        <f>'СК Иннокомфорт'!I2</f>
        <v>473.5175853</v>
      </c>
      <c r="AS7" s="128"/>
      <c r="AT7" s="69"/>
      <c r="AU7" s="69"/>
      <c r="AV7" s="69"/>
    </row>
    <row r="8">
      <c r="A8" s="225"/>
      <c r="B8" s="186" t="s">
        <v>148</v>
      </c>
      <c r="C8" s="220">
        <f>'Монолит'!I8+'Монолит'!I12+'Монолит'!I11</f>
        <v>2333.09</v>
      </c>
      <c r="D8" s="220">
        <f>'Усадьба'!I6</f>
        <v>127.9166667</v>
      </c>
      <c r="E8" s="220">
        <f>'Тобол'!I7</f>
        <v>182.5</v>
      </c>
      <c r="F8" s="220">
        <f>'Высота'!I6+'Высота'!I10</f>
        <v>241.3333333</v>
      </c>
      <c r="G8" s="220">
        <f>'Вавилон'!I6</f>
        <v>0</v>
      </c>
      <c r="H8" s="220">
        <f>'Электрон'!I7</f>
        <v>46.16666667</v>
      </c>
      <c r="I8" s="220">
        <f>'Запад'!I9+'Запад'!I12</f>
        <v>17670.66667</v>
      </c>
      <c r="J8" s="220">
        <f>'Ирида'!I6+'Ирида'!I9+'Ирида'!I10</f>
        <v>2912.5</v>
      </c>
      <c r="K8" s="220">
        <f>'ЖСУ'!I7+'ЖСУ'!I10+'ЖСУ'!I12</f>
        <v>10697.16667</v>
      </c>
      <c r="L8" s="220">
        <f>'Суходолье'!I6+'Суходолье'!I9+'Суходолье'!I10</f>
        <v>5431.333333</v>
      </c>
      <c r="M8" s="220">
        <f>'УК линейная'!I4+'УК линейная'!I7</f>
        <v>213.75</v>
      </c>
      <c r="N8" s="220">
        <f>'Аурика '!I7+'Аурика '!I10+'Аурика '!I12</f>
        <v>6767</v>
      </c>
      <c r="O8" s="220">
        <f>'Надежное управление'!I6+'Надежное управление'!I9</f>
        <v>73.75</v>
      </c>
      <c r="P8" s="220">
        <f>'ЖЭУ 9'!I5+'ЖЭУ 9'!I8</f>
        <v>1278.666667</v>
      </c>
      <c r="Q8" s="220"/>
      <c r="R8" s="220">
        <f>'УК на пражской'!I6+'УК на пражской'!I11</f>
        <v>9453.166667</v>
      </c>
      <c r="S8" s="220">
        <f>'ТЭСК'!I6+'ТЭСК'!I9</f>
        <v>1162</v>
      </c>
      <c r="T8" s="220">
        <f>'Восток сити'!I7+'Восток сити'!I12</f>
        <v>880.1666667</v>
      </c>
      <c r="U8" s="220">
        <f>'Ладья'!I5</f>
        <v>1537.916667</v>
      </c>
      <c r="V8" s="220">
        <f>'Юг'!I6+'Юг'!I9</f>
        <v>393.8333333</v>
      </c>
      <c r="W8" s="221">
        <f>'УК на Полевой'!I7+'УК на Полевой'!I10+'УК на Полевой'!I12</f>
        <v>44.58333333</v>
      </c>
      <c r="X8" s="204"/>
      <c r="Y8" s="222">
        <f>'Алсу'!I6+'Алсу'!I9</f>
        <v>27971.75</v>
      </c>
      <c r="Z8" s="222">
        <f>'УК Альметьевск'!I10</f>
        <v>4724.666667</v>
      </c>
      <c r="AA8" s="222">
        <f>'Новация'!I3</f>
        <v>269.7083333</v>
      </c>
      <c r="AB8" s="204"/>
      <c r="AC8" s="223">
        <f>'Жилкомплекс'!I5</f>
        <v>22333.33333</v>
      </c>
      <c r="AD8" s="224">
        <f>'Радужный_З'!I4</f>
        <v>0</v>
      </c>
      <c r="AE8" s="224"/>
      <c r="AF8" s="224">
        <f>'ТСЖ №6'!I5</f>
        <v>2.166666667</v>
      </c>
      <c r="AG8" s="224"/>
      <c r="AH8" s="206"/>
      <c r="AI8" s="222">
        <f>'Радужный (Казань)'!I6</f>
        <v>0</v>
      </c>
      <c r="AJ8" s="222">
        <f>'ЖК Моск рай-на'!H6+'ЖК Моск рай-на'!H9+'ЖК Моск рай-на'!H8</f>
        <v>1733.666667</v>
      </c>
      <c r="AK8" s="222">
        <f>'Фукса 12'!I3</f>
        <v>0</v>
      </c>
      <c r="AL8" s="222">
        <f>'ТСЖ Соврменник'!I6</f>
        <v>89.58333333</v>
      </c>
      <c r="AM8" s="222">
        <f>'ЭРТХ_К'!G3</f>
        <v>1266.666667</v>
      </c>
      <c r="AN8" s="204"/>
      <c r="AO8" s="222">
        <f>'Тринити'!I5</f>
        <v>5685.666667</v>
      </c>
      <c r="AP8" s="222">
        <f>'Жилищный фонд'!I3</f>
        <v>0</v>
      </c>
      <c r="AQ8" s="222">
        <f>'ЗИОН'!I5</f>
        <v>3939.666667</v>
      </c>
      <c r="AR8" s="220">
        <f>'СК Иннокомфорт'!I4</f>
        <v>2222.166667</v>
      </c>
      <c r="AS8" s="128"/>
      <c r="AT8" s="69"/>
      <c r="AU8" s="69"/>
      <c r="AV8" s="69"/>
    </row>
    <row r="9">
      <c r="A9" s="225"/>
      <c r="B9" s="186" t="s">
        <v>149</v>
      </c>
      <c r="C9" s="220">
        <f>'Монолит'!I10</f>
        <v>0</v>
      </c>
      <c r="D9" s="220"/>
      <c r="E9" s="220"/>
      <c r="F9" s="220">
        <f>'Высота'!I8</f>
        <v>1107.25</v>
      </c>
      <c r="G9" s="220">
        <f>'Вавилон'!I8</f>
        <v>0</v>
      </c>
      <c r="H9" s="220">
        <f>'Электрон'!I9</f>
        <v>0</v>
      </c>
      <c r="I9" s="220">
        <f>'Запад'!I11</f>
        <v>0</v>
      </c>
      <c r="J9" s="220">
        <f>'Ирида'!I8</f>
        <v>0</v>
      </c>
      <c r="K9" s="220">
        <f>'ЖСУ'!I9</f>
        <v>0</v>
      </c>
      <c r="L9" s="220">
        <f>'Суходолье'!I8</f>
        <v>0</v>
      </c>
      <c r="M9" s="220">
        <f>'УК линейная'!I5</f>
        <v>0</v>
      </c>
      <c r="N9" s="220">
        <f>'Аурика '!I9</f>
        <v>0</v>
      </c>
      <c r="O9" s="220"/>
      <c r="P9" s="220">
        <f>'ЖЭУ 9'!I7</f>
        <v>0</v>
      </c>
      <c r="Q9" s="220"/>
      <c r="R9" s="220">
        <f>'УК на пражской'!I8</f>
        <v>2291.083333</v>
      </c>
      <c r="S9" s="220">
        <f>'ТЭСК'!I8</f>
        <v>0</v>
      </c>
      <c r="T9" s="220">
        <f>'Восток сити'!I9</f>
        <v>0</v>
      </c>
      <c r="U9" s="220"/>
      <c r="V9" s="220">
        <f>'Юг'!I8</f>
        <v>0</v>
      </c>
      <c r="W9" s="221">
        <f>'УК на Полевой'!I9</f>
        <v>0</v>
      </c>
      <c r="X9" s="204"/>
      <c r="Y9" s="222">
        <f>'Алсу'!I8</f>
        <v>6724.416667</v>
      </c>
      <c r="Z9" s="222">
        <f>'УК Альметьевск'!I12</f>
        <v>0</v>
      </c>
      <c r="AA9" s="222"/>
      <c r="AB9" s="204"/>
      <c r="AC9" s="223">
        <f>'Жилкомплекс'!I7</f>
        <v>61500</v>
      </c>
      <c r="AD9" s="224"/>
      <c r="AE9" s="224"/>
      <c r="AF9" s="224"/>
      <c r="AG9" s="224">
        <f>'Прямые'!I4</f>
        <v>0</v>
      </c>
      <c r="AH9" s="206"/>
      <c r="AI9" s="222"/>
      <c r="AJ9" s="222"/>
      <c r="AK9" s="222"/>
      <c r="AL9" s="222">
        <f>'ТСЖ Соврменник'!I8</f>
        <v>0</v>
      </c>
      <c r="AM9" s="222"/>
      <c r="AN9" s="204"/>
      <c r="AO9" s="222"/>
      <c r="AP9" s="222"/>
      <c r="AQ9" s="222"/>
      <c r="AR9" s="220"/>
      <c r="AS9" s="128"/>
      <c r="AT9" s="69"/>
      <c r="AU9" s="69"/>
      <c r="AV9" s="69"/>
    </row>
    <row r="10">
      <c r="A10" s="225"/>
      <c r="B10" s="186" t="s">
        <v>150</v>
      </c>
      <c r="C10" s="220">
        <f>'Монолит'!I9</f>
        <v>40053</v>
      </c>
      <c r="D10" s="220"/>
      <c r="E10" s="220"/>
      <c r="F10" s="220">
        <f>'Высота'!I7</f>
        <v>0</v>
      </c>
      <c r="G10" s="220">
        <f>'Вавилон'!I7</f>
        <v>0</v>
      </c>
      <c r="H10" s="220">
        <f>'Электрон'!I8</f>
        <v>14819.41667</v>
      </c>
      <c r="I10" s="220">
        <f>'Запад'!I10</f>
        <v>11103.75</v>
      </c>
      <c r="J10" s="220">
        <f>'Ирида'!I7</f>
        <v>0</v>
      </c>
      <c r="K10" s="220">
        <f>'ЖСУ'!I8</f>
        <v>0</v>
      </c>
      <c r="L10" s="220"/>
      <c r="M10" s="220">
        <f>'УК линейная'!I5</f>
        <v>0</v>
      </c>
      <c r="N10" s="220">
        <f>'Аурика '!I8</f>
        <v>0</v>
      </c>
      <c r="O10" s="220"/>
      <c r="P10" s="220">
        <f>'ЖЭУ 9'!I6</f>
        <v>3150.583333</v>
      </c>
      <c r="Q10" s="220"/>
      <c r="R10" s="220">
        <f>'УК на пражской'!I7</f>
        <v>0</v>
      </c>
      <c r="S10" s="220">
        <f>'ТЭСК'!I7</f>
        <v>3764.833333</v>
      </c>
      <c r="T10" s="220">
        <f>'Восток сити'!I8</f>
        <v>265</v>
      </c>
      <c r="U10" s="220"/>
      <c r="V10" s="220">
        <f>'Юг'!I7</f>
        <v>0</v>
      </c>
      <c r="W10" s="221">
        <f>'УК на Полевой'!I8</f>
        <v>0</v>
      </c>
      <c r="X10" s="204"/>
      <c r="Y10" s="222">
        <f>'Алсу'!I7</f>
        <v>8508.333333</v>
      </c>
      <c r="Z10" s="222">
        <f>'УК Альметьевск'!I11</f>
        <v>8433.916667</v>
      </c>
      <c r="AA10" s="222"/>
      <c r="AB10" s="204"/>
      <c r="AC10" s="223">
        <f>'Жилкомплекс'!I6</f>
        <v>0</v>
      </c>
      <c r="AD10" s="224"/>
      <c r="AE10" s="224"/>
      <c r="AF10" s="224"/>
      <c r="AG10" s="224"/>
      <c r="AH10" s="206"/>
      <c r="AI10" s="222"/>
      <c r="AJ10" s="222">
        <f>'ЖК Моск рай-на'!H5</f>
        <v>11626.83333</v>
      </c>
      <c r="AK10" s="222"/>
      <c r="AL10" s="222">
        <f>'ТСЖ Соврменник'!I7</f>
        <v>0</v>
      </c>
      <c r="AM10" s="222"/>
      <c r="AN10" s="204"/>
      <c r="AO10" s="222"/>
      <c r="AP10" s="222"/>
      <c r="AQ10" s="222"/>
      <c r="AR10" s="220"/>
      <c r="AS10" s="128"/>
      <c r="AT10" s="69"/>
      <c r="AU10" s="69"/>
      <c r="AV10" s="69"/>
    </row>
    <row r="11">
      <c r="A11" s="225"/>
      <c r="B11" s="186" t="s">
        <v>151</v>
      </c>
      <c r="C11" s="220">
        <f>'Монолит'!I7</f>
        <v>2468.916667</v>
      </c>
      <c r="D11" s="220"/>
      <c r="E11" s="220"/>
      <c r="F11" s="220">
        <f>'Высота'!I5</f>
        <v>554.1666667</v>
      </c>
      <c r="G11" s="220">
        <f>'Вавилон'!I5</f>
        <v>270</v>
      </c>
      <c r="H11" s="220">
        <f>'Электрон'!I6</f>
        <v>95.83333333</v>
      </c>
      <c r="I11" s="220">
        <f>'Запад'!I7+'Запад'!I8</f>
        <v>28494.51667</v>
      </c>
      <c r="J11" s="220">
        <f>'Ирида'!I11</f>
        <v>2280.416667</v>
      </c>
      <c r="K11" s="220">
        <f>'ЖСУ'!I5+'ЖСУ'!I6</f>
        <v>14419.43833</v>
      </c>
      <c r="L11" s="220">
        <f>'Суходолье'!I5</f>
        <v>7200</v>
      </c>
      <c r="M11" s="220"/>
      <c r="N11" s="220">
        <f>'Аурика '!I5</f>
        <v>1316</v>
      </c>
      <c r="O11" s="220"/>
      <c r="P11" s="220">
        <f>'ЖЭУ 9'!I9</f>
        <v>861.5833333</v>
      </c>
      <c r="Q11" s="220">
        <f>'УК на Ткацком'!I7</f>
        <v>3333.333333</v>
      </c>
      <c r="R11" s="220">
        <f>'УК на пражской'!I5</f>
        <v>4765.916667</v>
      </c>
      <c r="S11" s="220">
        <f>'ТЭСК'!I11</f>
        <v>432.4108333</v>
      </c>
      <c r="T11" s="220">
        <f>'Восток сити'!I5</f>
        <v>681.6666667</v>
      </c>
      <c r="U11" s="220">
        <f>'Ладья'!I4</f>
        <v>758.3333333</v>
      </c>
      <c r="V11" s="220">
        <f>'Юг'!I5</f>
        <v>706.25</v>
      </c>
      <c r="W11" s="221">
        <f>'УК на Полевой'!I6</f>
        <v>625.9683333</v>
      </c>
      <c r="X11" s="204"/>
      <c r="Y11" s="222">
        <f>'Алсу'!I5</f>
        <v>21308.41667</v>
      </c>
      <c r="Z11" s="222">
        <f>'УК Альметьевск'!I5</f>
        <v>5238.833333</v>
      </c>
      <c r="AA11" s="222"/>
      <c r="AB11" s="204"/>
      <c r="AC11" s="223">
        <f>'Жилкомплекс'!I3</f>
        <v>14411.91667</v>
      </c>
      <c r="AD11" s="224">
        <f>'Радужный_З'!I3</f>
        <v>1783.333333</v>
      </c>
      <c r="AE11" s="224"/>
      <c r="AF11" s="224">
        <f>'ТСЖ №6'!I3</f>
        <v>502</v>
      </c>
      <c r="AG11" s="224"/>
      <c r="AH11" s="206"/>
      <c r="AI11" s="222">
        <f>'Радужный (Казань)'!I3</f>
        <v>511.6666667</v>
      </c>
      <c r="AJ11" s="222">
        <f>'ЖК Моск рай-на'!H4</f>
        <v>7855.083333</v>
      </c>
      <c r="AK11" s="222"/>
      <c r="AL11" s="222">
        <f>'ТСЖ Соврменник'!I5+'ТСЖ Соврменник'!I4</f>
        <v>0</v>
      </c>
      <c r="AM11" s="222"/>
      <c r="AN11" s="204"/>
      <c r="AO11" s="222">
        <f>'Тринити'!I4</f>
        <v>6914.25</v>
      </c>
      <c r="AP11" s="222"/>
      <c r="AQ11" s="222">
        <f>'ЗИОН'!I3</f>
        <v>6283.75</v>
      </c>
      <c r="AR11" s="222">
        <f>'СК Иннокомфорт'!I3</f>
        <v>1243.75</v>
      </c>
      <c r="AS11" s="128"/>
      <c r="AT11" s="69"/>
      <c r="AU11" s="69"/>
      <c r="AV11" s="69"/>
    </row>
    <row r="12">
      <c r="A12" s="225"/>
      <c r="B12" s="186" t="s">
        <v>152</v>
      </c>
      <c r="C12" s="220">
        <f>'Монолит'!I14</f>
        <v>21940.76433</v>
      </c>
      <c r="D12" s="220">
        <f>'Усадьба'!I12</f>
        <v>2648.340372</v>
      </c>
      <c r="E12" s="220">
        <f>'Тобол'!I13</f>
        <v>1618.430227</v>
      </c>
      <c r="F12" s="220">
        <f>'Высота'!I12</f>
        <v>5094.376966</v>
      </c>
      <c r="G12" s="220">
        <f>'Вавилон'!I12</f>
        <v>496.5638198</v>
      </c>
      <c r="H12" s="220">
        <f>'Электрон'!I13</f>
        <v>5186.333229</v>
      </c>
      <c r="I12" s="220">
        <f>'Запад'!I17</f>
        <v>68102.80832</v>
      </c>
      <c r="J12" s="220">
        <f>'Ирида'!I13</f>
        <v>13572.74441</v>
      </c>
      <c r="K12" s="220">
        <f>'ЖСУ'!I13</f>
        <v>37794.02406</v>
      </c>
      <c r="L12" s="220">
        <f>'Суходолье'!I12</f>
        <v>36598.59264</v>
      </c>
      <c r="M12" s="220">
        <f>'УК линейная'!I8</f>
        <v>3604.685506</v>
      </c>
      <c r="N12" s="220">
        <f>'Аурика '!I13</f>
        <v>4726.551914</v>
      </c>
      <c r="O12" s="220">
        <f>'Надежное управление'!I10</f>
        <v>2023.037784</v>
      </c>
      <c r="P12" s="220">
        <f>'ЖЭУ 9'!I11</f>
        <v>11935.92293</v>
      </c>
      <c r="Q12" s="220">
        <f>'УК на Ткацком'!I8</f>
        <v>3117.317313</v>
      </c>
      <c r="R12" s="220">
        <f>'УК на пражской'!I12</f>
        <v>15816.47722</v>
      </c>
      <c r="S12" s="220">
        <f>'ТЭСК'!I12</f>
        <v>4009.293063</v>
      </c>
      <c r="T12" s="220">
        <f>'Восток сити'!I13</f>
        <v>1324.170186</v>
      </c>
      <c r="U12" s="220">
        <f>'Ладья'!I9</f>
        <v>2629.94912</v>
      </c>
      <c r="V12" s="220">
        <f>'Юг'!I10</f>
        <v>2446.036594</v>
      </c>
      <c r="W12" s="221">
        <f>'УК на Полевой'!I13</f>
        <v>1655.212733</v>
      </c>
      <c r="X12" s="204"/>
      <c r="Y12" s="222">
        <f>'Алсу'!I15</f>
        <v>119644.2937</v>
      </c>
      <c r="Z12" s="222">
        <f>'УК Альметьевск'!I16</f>
        <v>17361.34244</v>
      </c>
      <c r="AA12" s="222">
        <f>'Новация'!I5</f>
        <v>8165.716147</v>
      </c>
      <c r="AB12" s="204"/>
      <c r="AC12" s="223">
        <f>'Жилкомплекс'!I12</f>
        <v>99275.98145</v>
      </c>
      <c r="AD12" s="224">
        <f>'Радужный_З'!I6</f>
        <v>4524.248136</v>
      </c>
      <c r="AE12" s="224">
        <f>'Салават Купере'!I3</f>
        <v>1048.301397</v>
      </c>
      <c r="AF12" s="224">
        <f>'ТСЖ №6'!I6</f>
        <v>2648.340372</v>
      </c>
      <c r="AG12" s="224">
        <f>'Прямые'!I5</f>
        <v>2602.362241</v>
      </c>
      <c r="AH12" s="206"/>
      <c r="AI12" s="222">
        <f>'Радужный (Казань)'!I8</f>
        <v>11687.64102</v>
      </c>
      <c r="AJ12" s="222">
        <f>'ЖК Моск рай-на'!H12</f>
        <v>13627.91816</v>
      </c>
      <c r="AK12" s="222">
        <f>'Фукса 12'!I5</f>
        <v>367.8250517</v>
      </c>
      <c r="AL12" s="222">
        <f>'ТСЖ Соврменник'!I12</f>
        <v>3310.425465</v>
      </c>
      <c r="AM12" s="222">
        <f>'ЭРТХ_К'!G4</f>
        <v>0</v>
      </c>
      <c r="AN12" s="204"/>
      <c r="AO12" s="222">
        <f>'Тринити'!I6</f>
        <v>1563.25647</v>
      </c>
      <c r="AP12" s="222">
        <f>'Жилищный фонд'!I5</f>
        <v>10253.12332</v>
      </c>
      <c r="AQ12" s="222">
        <f>'ЗИОН'!I7</f>
        <v>4046.075568</v>
      </c>
      <c r="AR12" s="222">
        <f>'СК Иннокомфорт'!I5</f>
        <v>965.5407607</v>
      </c>
      <c r="AS12" s="128"/>
      <c r="AT12" s="69"/>
      <c r="AU12" s="69"/>
      <c r="AV12" s="69"/>
    </row>
    <row r="13">
      <c r="A13" s="225"/>
      <c r="B13" s="186" t="s">
        <v>153</v>
      </c>
      <c r="C13" s="220">
        <f>'Монолит'!I15</f>
        <v>654.7024698</v>
      </c>
      <c r="D13" s="220">
        <f>'Усадьба'!I13</f>
        <v>79.02527716</v>
      </c>
      <c r="E13" s="220">
        <f>'Тобол'!I14</f>
        <v>48.29322493</v>
      </c>
      <c r="F13" s="220">
        <f>'Высота'!I13</f>
        <v>152.0139012</v>
      </c>
      <c r="G13" s="220">
        <f>'Вавилон'!I13</f>
        <v>14.81723947</v>
      </c>
      <c r="H13" s="220">
        <f>'Электрон'!I14</f>
        <v>154.7578344</v>
      </c>
      <c r="I13" s="220">
        <f>'Запад'!I18</f>
        <v>2032.156954</v>
      </c>
      <c r="J13" s="220">
        <f>'Ирида'!I14</f>
        <v>405.0045455</v>
      </c>
      <c r="K13" s="220">
        <f>'ЖСУ'!I14</f>
        <v>1127.756559</v>
      </c>
      <c r="L13" s="220">
        <f>'Суходолье'!I13</f>
        <v>1092.085427</v>
      </c>
      <c r="M13" s="220">
        <f>'УК линейная'!I9</f>
        <v>107.5621828</v>
      </c>
      <c r="N13" s="220">
        <f>'Аурика '!I14</f>
        <v>141.0381683</v>
      </c>
      <c r="O13" s="220">
        <f>'Надежное управление'!I11</f>
        <v>60.36653117</v>
      </c>
      <c r="P13" s="220">
        <f>'ЖЭУ 9'!I12</f>
        <v>356.1625339</v>
      </c>
      <c r="Q13" s="220">
        <f>'УК на Ткацком'!I9</f>
        <v>93.01933666</v>
      </c>
      <c r="R13" s="220">
        <f>'УК на пражской'!I13</f>
        <v>471.9565164</v>
      </c>
      <c r="S13" s="220">
        <f>'ТЭСК'!I13</f>
        <v>119.635489</v>
      </c>
      <c r="T13" s="220">
        <f>'Восток сити'!I14</f>
        <v>39.51263858</v>
      </c>
      <c r="U13" s="220">
        <f>'Ладья'!I10</f>
        <v>78.47649051</v>
      </c>
      <c r="V13" s="220">
        <f>'Юг'!I11</f>
        <v>72.98862405</v>
      </c>
      <c r="W13" s="221">
        <f>'УК на Полевой'!I14</f>
        <v>49.39079823</v>
      </c>
      <c r="X13" s="204"/>
      <c r="Y13" s="226">
        <f>'Алсу'!I14</f>
        <v>7490.446381</v>
      </c>
      <c r="Z13" s="222">
        <f>'УК Альметьевск'!I15</f>
        <v>1086.923585</v>
      </c>
      <c r="AA13" s="222">
        <f>'Новация'!I4</f>
        <v>511.2225337</v>
      </c>
      <c r="AB13" s="204"/>
      <c r="AC13" s="223">
        <f>'Жилкомплекс'!I13</f>
        <v>23046.11847</v>
      </c>
      <c r="AD13" s="224">
        <f>'Радужный_З'!I7</f>
        <v>1050.267718</v>
      </c>
      <c r="AE13" s="224">
        <f>'Салават Купере'!I4</f>
        <v>243.3547152</v>
      </c>
      <c r="AF13" s="224">
        <f>'ТСЖ №6'!I7</f>
        <v>614.7908594</v>
      </c>
      <c r="AG13" s="224">
        <f>'Прямые'!I6</f>
        <v>604.117407</v>
      </c>
      <c r="AH13" s="206"/>
      <c r="AI13" s="222">
        <f>'Радужный (Казань)'!I7</f>
        <v>0</v>
      </c>
      <c r="AJ13" s="222">
        <f>'ЖК Моск рай-на'!H11</f>
        <v>0</v>
      </c>
      <c r="AK13" s="222">
        <f>'Фукса 12'!I4</f>
        <v>0</v>
      </c>
      <c r="AL13" s="222">
        <f>'ТСЖ Соврменник'!I13</f>
        <v>0</v>
      </c>
      <c r="AM13" s="222"/>
      <c r="AN13" s="204"/>
      <c r="AO13" s="222">
        <f>'Тринити'!I7</f>
        <v>287.1420765</v>
      </c>
      <c r="AP13" s="222">
        <f>'Жилищный фонд'!I6</f>
        <v>1883.314208</v>
      </c>
      <c r="AQ13" s="222">
        <f>'ЗИОН'!I8</f>
        <v>743.1912568</v>
      </c>
      <c r="AR13" s="222">
        <f>'СК Иннокомфорт'!I6</f>
        <v>177.352459</v>
      </c>
      <c r="AS13" s="128"/>
      <c r="AT13" s="69"/>
      <c r="AU13" s="69"/>
      <c r="AV13" s="69"/>
    </row>
    <row r="14">
      <c r="A14" s="225"/>
      <c r="B14" s="186" t="s">
        <v>154</v>
      </c>
      <c r="C14" s="220">
        <f>'Монолит'!I6</f>
        <v>841.6666667</v>
      </c>
      <c r="D14" s="220"/>
      <c r="E14" s="220">
        <f>'Тобол'!I15</f>
        <v>131.6504524</v>
      </c>
      <c r="F14" s="220"/>
      <c r="G14" s="220">
        <f>'Вавилон'!I4</f>
        <v>0</v>
      </c>
      <c r="H14" s="220">
        <f>'Электрон'!I5</f>
        <v>0</v>
      </c>
      <c r="I14" s="220">
        <f>'Запад'!I6+'Запад'!I15</f>
        <v>71946.58333</v>
      </c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1"/>
      <c r="X14" s="204"/>
      <c r="Y14" s="222">
        <f>'Алсу'!I13+'Алсу'!I11</f>
        <v>62563.25</v>
      </c>
      <c r="Z14" s="222">
        <f>'УК Альметьевск'!I14+'УК Альметьевск'!I9</f>
        <v>15997.5</v>
      </c>
      <c r="AA14" s="222"/>
      <c r="AB14" s="204"/>
      <c r="AC14" s="223">
        <f>'Жилкомплекс'!I8+'Жилкомплекс'!I10</f>
        <v>46583.33333</v>
      </c>
      <c r="AD14" s="224" t="str">
        <f>'Радужный_З'!AA8</f>
        <v/>
      </c>
      <c r="AE14" s="224"/>
      <c r="AF14" s="224"/>
      <c r="AG14" s="224" t="str">
        <f>'Прямые'!AA7</f>
        <v/>
      </c>
      <c r="AH14" s="206"/>
      <c r="AI14" s="222"/>
      <c r="AJ14" s="222">
        <f>'ЖК Моск рай-на'!H7</f>
        <v>317.2033333</v>
      </c>
      <c r="AK14" s="222"/>
      <c r="AL14" s="222"/>
      <c r="AM14" s="222"/>
      <c r="AN14" s="204"/>
      <c r="AO14" s="222"/>
      <c r="AP14" s="222"/>
      <c r="AQ14" s="222"/>
      <c r="AR14" s="222"/>
      <c r="AS14" s="128"/>
      <c r="AT14" s="69"/>
      <c r="AU14" s="69"/>
      <c r="AV14" s="69"/>
    </row>
    <row r="15">
      <c r="A15" s="227"/>
      <c r="B15" s="186" t="s">
        <v>155</v>
      </c>
      <c r="C15" s="220">
        <f>'Монолит'!I13</f>
        <v>49421.66667</v>
      </c>
      <c r="D15" s="220"/>
      <c r="E15" s="220"/>
      <c r="F15" s="220">
        <f>'Высота'!I11</f>
        <v>0</v>
      </c>
      <c r="G15" s="220">
        <f>'Вавилон'!I11</f>
        <v>2375</v>
      </c>
      <c r="H15" s="220">
        <f>'Электрон'!I12</f>
        <v>12360.33333</v>
      </c>
      <c r="I15" s="220">
        <f>'Запад'!I16</f>
        <v>17035.41667</v>
      </c>
      <c r="J15" s="222">
        <f>'Ирида'!I12</f>
        <v>0</v>
      </c>
      <c r="K15" s="222">
        <f>'ЖСУ'!I11</f>
        <v>2833.333333</v>
      </c>
      <c r="L15" s="222">
        <f>'Суходолье'!I11</f>
        <v>0</v>
      </c>
      <c r="M15" s="222">
        <f>'УК линейная'!I6</f>
        <v>0</v>
      </c>
      <c r="N15" s="222" t="str">
        <f>'Аурика '!I11</f>
        <v/>
      </c>
      <c r="O15" s="222"/>
      <c r="P15" s="222">
        <f>'ЖЭУ 9'!I10</f>
        <v>0</v>
      </c>
      <c r="Q15" s="222"/>
      <c r="R15" s="222">
        <f>'УК на пражской'!I10</f>
        <v>0</v>
      </c>
      <c r="S15" s="222">
        <f>'ТЭСК'!I10</f>
        <v>2262.416667</v>
      </c>
      <c r="T15" s="222">
        <f>'Восток сити'!I11</f>
        <v>291.6666667</v>
      </c>
      <c r="U15" s="222"/>
      <c r="V15" s="222">
        <f>'Юг'!I8</f>
        <v>0</v>
      </c>
      <c r="W15" s="221">
        <f>'УК на Полевой'!I11</f>
        <v>0</v>
      </c>
      <c r="X15" s="204"/>
      <c r="Y15" s="222">
        <f>'Алсу'!I12</f>
        <v>23448.08333</v>
      </c>
      <c r="Z15" s="222">
        <f>'УК Альметьевск'!I13</f>
        <v>0</v>
      </c>
      <c r="AA15" s="222"/>
      <c r="AB15" s="204"/>
      <c r="AC15" s="228">
        <f>'Жилкомплекс'!I11</f>
        <v>25416.66667</v>
      </c>
      <c r="AD15" s="224"/>
      <c r="AE15" s="224"/>
      <c r="AF15" s="224"/>
      <c r="AG15" s="224">
        <f>'Прямые'!I3</f>
        <v>0</v>
      </c>
      <c r="AH15" s="206"/>
      <c r="AI15" s="222">
        <f>'Радужный (Казань)'!I5</f>
        <v>0</v>
      </c>
      <c r="AJ15" s="222">
        <f>'ЖК Моск рай-на'!H10</f>
        <v>5400</v>
      </c>
      <c r="AK15" s="222"/>
      <c r="AL15" s="222">
        <f>'ТСЖ Соврменник'!I10</f>
        <v>0</v>
      </c>
      <c r="AM15" s="222"/>
      <c r="AN15" s="204"/>
      <c r="AO15" s="222"/>
      <c r="AP15" s="222"/>
      <c r="AQ15" s="222"/>
      <c r="AR15" s="222"/>
      <c r="AS15" s="128"/>
      <c r="AT15" s="69"/>
      <c r="AU15" s="69"/>
      <c r="AV15" s="69"/>
    </row>
    <row r="16">
      <c r="A16" s="229"/>
      <c r="B16" s="186" t="s">
        <v>156</v>
      </c>
      <c r="C16" s="220">
        <f>'Монолит'!I16</f>
        <v>1784.761247</v>
      </c>
      <c r="D16" s="220">
        <f>'Усадьба'!I14</f>
        <v>215.4280131</v>
      </c>
      <c r="E16" s="220"/>
      <c r="F16" s="220">
        <f>'Высота'!I14</f>
        <v>414.3997196</v>
      </c>
      <c r="G16" s="220">
        <f>'Вавилон'!I14</f>
        <v>40.39275245</v>
      </c>
      <c r="H16" s="220">
        <f>'Электрон'!I15</f>
        <v>421.8798589</v>
      </c>
      <c r="I16" s="220">
        <f>'Запад'!I19</f>
        <v>5539.791197</v>
      </c>
      <c r="J16" s="222">
        <f>'Ирида'!I15</f>
        <v>1104.068567</v>
      </c>
      <c r="K16" s="222">
        <f>'ЖСУ'!I15</f>
        <v>3074.33727</v>
      </c>
      <c r="L16" s="222">
        <f>'Суходолье'!I14</f>
        <v>2977.095458</v>
      </c>
      <c r="M16" s="222">
        <f>'УК линейная'!I10</f>
        <v>293.2214622</v>
      </c>
      <c r="N16" s="222">
        <f>'Аурика '!I15</f>
        <v>384.4791622</v>
      </c>
      <c r="O16" s="222">
        <f>'Надежное управление'!I12</f>
        <v>164.5630655</v>
      </c>
      <c r="P16" s="222">
        <f>'ЖЭУ 9'!I13</f>
        <v>970.9220866</v>
      </c>
      <c r="Q16" s="222">
        <f>'УК на Ткацком'!I10</f>
        <v>253.5767237</v>
      </c>
      <c r="R16" s="222">
        <f>'УК на пражской'!I14</f>
        <v>1286.583967</v>
      </c>
      <c r="S16" s="222">
        <f>'ТЭСК'!I14</f>
        <v>326.1340753</v>
      </c>
      <c r="T16" s="222">
        <f>'Восток сити'!I15</f>
        <v>107.7140065</v>
      </c>
      <c r="U16" s="222">
        <f>'Ладья'!I11</f>
        <v>213.9319852</v>
      </c>
      <c r="V16" s="222">
        <f>'Юг'!I12</f>
        <v>198.9717065</v>
      </c>
      <c r="W16" s="221">
        <f>'УК на Полевой'!I15</f>
        <v>134.6425082</v>
      </c>
      <c r="X16" s="204"/>
      <c r="Y16" s="222">
        <f>'Алсу'!I16</f>
        <v>9732.409298</v>
      </c>
      <c r="Z16" s="222">
        <f>'УК Альметьевск'!I17</f>
        <v>1412.250308</v>
      </c>
      <c r="AA16" s="222">
        <f>'Новация'!I6</f>
        <v>820.6998622</v>
      </c>
      <c r="AB16" s="204"/>
      <c r="AC16" s="223">
        <f>'Жилкомплекс'!I14</f>
        <v>9977.787964</v>
      </c>
      <c r="AD16" s="224">
        <f>'Радужный_З'!I8</f>
        <v>454.7120858</v>
      </c>
      <c r="AE16" s="224">
        <f>'Салават Купере'!I5</f>
        <v>105.3601174</v>
      </c>
      <c r="AF16" s="224">
        <f>'ТСЖ №6'!I8</f>
        <v>266.1729283</v>
      </c>
      <c r="AG16" s="224">
        <f>'Прямые'!I7</f>
        <v>261.5518705</v>
      </c>
      <c r="AH16" s="206"/>
      <c r="AI16" s="222">
        <f>'Радужный (Казань)'!I9</f>
        <v>1174.672888</v>
      </c>
      <c r="AJ16" s="222">
        <f>'ЖК Моск рай-на'!H13</f>
        <v>1369.681527</v>
      </c>
      <c r="AK16" s="222"/>
      <c r="AL16" s="222">
        <f>'ТСЖ Соврменник'!I14</f>
        <v>332.7161603</v>
      </c>
      <c r="AM16" s="222"/>
      <c r="AN16" s="204"/>
      <c r="AO16" s="222">
        <f>'Тринити'!I8</f>
        <v>157.1159646</v>
      </c>
      <c r="AP16" s="222">
        <f>'Жилищный фонд'!I7</f>
        <v>0</v>
      </c>
      <c r="AQ16" s="222">
        <f>'ЗИОН'!I9</f>
        <v>406.6530849</v>
      </c>
      <c r="AR16" s="226">
        <f>'СК Иннокомфорт'!I7</f>
        <v>97.04221343</v>
      </c>
      <c r="AS16" s="128"/>
      <c r="AT16" s="69"/>
      <c r="AU16" s="69"/>
      <c r="AV16" s="69"/>
    </row>
    <row r="17">
      <c r="A17" s="230" t="s">
        <v>157</v>
      </c>
      <c r="B17" s="185"/>
      <c r="C17" s="231">
        <f t="shared" ref="C17:W17" si="18">SUM(C7:C16)</f>
        <v>128093.3274</v>
      </c>
      <c r="D17" s="231">
        <f t="shared" si="18"/>
        <v>4567.345843</v>
      </c>
      <c r="E17" s="231">
        <f t="shared" si="18"/>
        <v>4327.142752</v>
      </c>
      <c r="F17" s="231">
        <f t="shared" si="18"/>
        <v>13550.35526</v>
      </c>
      <c r="G17" s="231">
        <f t="shared" si="18"/>
        <v>3196.773812</v>
      </c>
      <c r="H17" s="231">
        <f t="shared" si="18"/>
        <v>33934.35426</v>
      </c>
      <c r="I17" s="231">
        <f t="shared" si="18"/>
        <v>289058.984</v>
      </c>
      <c r="J17" s="231">
        <f t="shared" si="18"/>
        <v>27202.00375</v>
      </c>
      <c r="K17" s="231">
        <f t="shared" si="18"/>
        <v>99861.48231</v>
      </c>
      <c r="L17" s="231">
        <f t="shared" si="18"/>
        <v>57000.04053</v>
      </c>
      <c r="M17" s="231">
        <f t="shared" si="18"/>
        <v>5276.62877</v>
      </c>
      <c r="N17" s="231">
        <f t="shared" si="18"/>
        <v>15185.53608</v>
      </c>
      <c r="O17" s="231">
        <f t="shared" si="18"/>
        <v>2982.598393</v>
      </c>
      <c r="P17" s="231">
        <f t="shared" si="18"/>
        <v>20933.01252</v>
      </c>
      <c r="Q17" s="231">
        <f t="shared" si="18"/>
        <v>7325.951516</v>
      </c>
      <c r="R17" s="231">
        <f t="shared" si="18"/>
        <v>48152.43794</v>
      </c>
      <c r="S17" s="231">
        <f t="shared" si="18"/>
        <v>14104.99674</v>
      </c>
      <c r="T17" s="231">
        <f t="shared" si="18"/>
        <v>4703.882569</v>
      </c>
      <c r="U17" s="231">
        <f t="shared" si="18"/>
        <v>6715.243109</v>
      </c>
      <c r="V17" s="231">
        <f t="shared" si="18"/>
        <v>5638.968301</v>
      </c>
      <c r="W17" s="231">
        <f t="shared" si="18"/>
        <v>3546.510478</v>
      </c>
      <c r="X17" s="232"/>
      <c r="Y17" s="231">
        <f t="shared" ref="Y17:AA17" si="19">SUM(Y7:Y16)</f>
        <v>364650.6419</v>
      </c>
      <c r="Z17" s="231">
        <f t="shared" si="19"/>
        <v>64933.41806</v>
      </c>
      <c r="AA17" s="231">
        <f t="shared" si="19"/>
        <v>13586.29273</v>
      </c>
      <c r="AB17" s="232"/>
      <c r="AC17" s="231">
        <f t="shared" ref="AC17:AG17" si="20">SUM(AC7:AC16)</f>
        <v>373860.0784</v>
      </c>
      <c r="AD17" s="231">
        <f t="shared" si="20"/>
        <v>8167.699462</v>
      </c>
      <c r="AE17" s="231">
        <f t="shared" si="20"/>
        <v>1752.154419</v>
      </c>
      <c r="AF17" s="231">
        <f t="shared" si="20"/>
        <v>4506.988412</v>
      </c>
      <c r="AG17" s="231">
        <f t="shared" si="20"/>
        <v>4533.446085</v>
      </c>
      <c r="AH17" s="206"/>
      <c r="AI17" s="231">
        <f t="shared" ref="AI17:AM17" si="21">SUM(AI7:AI16)</f>
        <v>21871.63682</v>
      </c>
      <c r="AJ17" s="231">
        <f t="shared" si="21"/>
        <v>51472.05302</v>
      </c>
      <c r="AK17" s="231">
        <f t="shared" si="21"/>
        <v>934.3354683</v>
      </c>
      <c r="AL17" s="231">
        <f t="shared" si="21"/>
        <v>4185.933292</v>
      </c>
      <c r="AM17" s="231">
        <f t="shared" si="21"/>
        <v>186047.5833</v>
      </c>
      <c r="AN17" s="232"/>
      <c r="AO17" s="231">
        <f t="shared" ref="AO17:AR17" si="22">SUM(AO7:AO16)</f>
        <v>14737.35244</v>
      </c>
      <c r="AP17" s="231">
        <f t="shared" si="22"/>
        <v>14286.43752</v>
      </c>
      <c r="AQ17" s="231">
        <f t="shared" si="22"/>
        <v>16635.68273</v>
      </c>
      <c r="AR17" s="231">
        <f t="shared" si="22"/>
        <v>5179.369685</v>
      </c>
      <c r="AS17" s="233"/>
      <c r="AT17" s="234">
        <f>SUM(C17:AR17)</f>
        <v>1946698.68</v>
      </c>
      <c r="AU17" s="234">
        <f>24551172/12</f>
        <v>2045931</v>
      </c>
      <c r="AV17" s="234">
        <f>AU17-AT17</f>
        <v>99232.31985</v>
      </c>
    </row>
    <row r="18">
      <c r="A18" s="235"/>
      <c r="C18" s="236"/>
      <c r="D18" s="236"/>
      <c r="E18" s="236"/>
      <c r="F18" s="236"/>
      <c r="G18" s="236"/>
      <c r="H18" s="236"/>
      <c r="I18" s="236"/>
      <c r="J18" s="236"/>
      <c r="K18" s="236"/>
      <c r="L18" s="236"/>
      <c r="M18" s="236"/>
      <c r="N18" s="236"/>
      <c r="O18" s="236"/>
      <c r="P18" s="237"/>
      <c r="Q18" s="237"/>
      <c r="R18" s="236"/>
      <c r="S18" s="236"/>
      <c r="T18" s="236"/>
      <c r="U18" s="236"/>
      <c r="V18" s="236"/>
      <c r="W18" s="238"/>
      <c r="X18" s="204"/>
      <c r="Y18" s="239"/>
      <c r="Z18" s="239"/>
      <c r="AA18" s="239"/>
      <c r="AB18" s="204"/>
      <c r="AC18" s="240"/>
      <c r="AD18" s="240"/>
      <c r="AE18" s="240"/>
      <c r="AF18" s="240"/>
      <c r="AG18" s="240"/>
      <c r="AH18" s="206"/>
      <c r="AI18" s="239"/>
      <c r="AJ18" s="239"/>
      <c r="AK18" s="239"/>
      <c r="AL18" s="239"/>
      <c r="AM18" s="239"/>
      <c r="AN18" s="204"/>
      <c r="AO18" s="239"/>
      <c r="AP18" s="239"/>
      <c r="AQ18" s="239"/>
      <c r="AR18" s="239"/>
      <c r="AS18" s="128"/>
      <c r="AT18" s="69"/>
      <c r="AU18" s="69"/>
      <c r="AV18" s="69"/>
    </row>
    <row r="19">
      <c r="A19" s="180"/>
      <c r="B19" s="96" t="s">
        <v>158</v>
      </c>
      <c r="C19" s="241">
        <f t="shared" ref="C19:W19" si="23">C4+C6-C17</f>
        <v>-104098.5016</v>
      </c>
      <c r="D19" s="241">
        <f t="shared" si="23"/>
        <v>2282.75999</v>
      </c>
      <c r="E19" s="241">
        <f t="shared" si="23"/>
        <v>4461.320581</v>
      </c>
      <c r="F19" s="241">
        <f t="shared" si="23"/>
        <v>-4578.553597</v>
      </c>
      <c r="G19" s="241">
        <f t="shared" si="23"/>
        <v>-3196.773812</v>
      </c>
      <c r="H19" s="241">
        <f t="shared" si="23"/>
        <v>-28521.85426</v>
      </c>
      <c r="I19" s="241">
        <f t="shared" si="23"/>
        <v>-94685.06899</v>
      </c>
      <c r="J19" s="241">
        <f t="shared" si="23"/>
        <v>21138.05875</v>
      </c>
      <c r="K19" s="241">
        <f t="shared" si="23"/>
        <v>51889.71519</v>
      </c>
      <c r="L19" s="241">
        <f t="shared" si="23"/>
        <v>60013.29281</v>
      </c>
      <c r="M19" s="241">
        <f t="shared" si="23"/>
        <v>6650.037897</v>
      </c>
      <c r="N19" s="241">
        <f t="shared" si="23"/>
        <v>5769.463923</v>
      </c>
      <c r="O19" s="241">
        <f t="shared" si="23"/>
        <v>3563.347441</v>
      </c>
      <c r="P19" s="241">
        <f t="shared" si="23"/>
        <v>24788.43248</v>
      </c>
      <c r="Q19" s="241">
        <f t="shared" si="23"/>
        <v>6489.835984</v>
      </c>
      <c r="R19" s="241">
        <f t="shared" si="23"/>
        <v>2222.284562</v>
      </c>
      <c r="S19" s="241">
        <f t="shared" si="23"/>
        <v>8863.303256</v>
      </c>
      <c r="T19" s="241">
        <f t="shared" si="23"/>
        <v>4437.784098</v>
      </c>
      <c r="U19" s="241">
        <f t="shared" si="23"/>
        <v>2039.156891</v>
      </c>
      <c r="V19" s="241">
        <f t="shared" si="23"/>
        <v>4280.888366</v>
      </c>
      <c r="W19" s="241">
        <f t="shared" si="23"/>
        <v>5536.822855</v>
      </c>
      <c r="X19" s="241"/>
      <c r="Y19" s="241">
        <f t="shared" ref="Y19:AA19" si="24">Y4+Y6-Y17</f>
        <v>263130.9539</v>
      </c>
      <c r="Z19" s="241">
        <f t="shared" si="24"/>
        <v>32568.53277</v>
      </c>
      <c r="AA19" s="241">
        <f t="shared" si="24"/>
        <v>4996.308098</v>
      </c>
      <c r="AB19" s="241"/>
      <c r="AC19" s="241">
        <f t="shared" ref="AC19:AG19" si="25">AC4+AC6-AC17</f>
        <v>-29638.15176</v>
      </c>
      <c r="AD19" s="241">
        <f t="shared" si="25"/>
        <v>8426.217205</v>
      </c>
      <c r="AE19" s="241">
        <f t="shared" si="25"/>
        <v>1981.178914</v>
      </c>
      <c r="AF19" s="241">
        <f t="shared" si="25"/>
        <v>1106.344922</v>
      </c>
      <c r="AG19" s="241">
        <f t="shared" si="25"/>
        <v>3281.637248</v>
      </c>
      <c r="AH19" s="241"/>
      <c r="AI19" s="241">
        <f t="shared" ref="AI19:AM19" si="26">AI4+AI6-AI17</f>
        <v>5022.279845</v>
      </c>
      <c r="AJ19" s="241">
        <f t="shared" si="26"/>
        <v>52252.31364</v>
      </c>
      <c r="AK19" s="241">
        <f t="shared" si="26"/>
        <v>910.6645317</v>
      </c>
      <c r="AL19" s="241">
        <f t="shared" si="26"/>
        <v>6962.650041</v>
      </c>
      <c r="AM19" s="241">
        <f t="shared" si="26"/>
        <v>134182.0833</v>
      </c>
      <c r="AN19" s="241"/>
      <c r="AO19" s="241">
        <f t="shared" ref="AO19:AR19" si="27">AO4+AO6-AO17</f>
        <v>7445.980896</v>
      </c>
      <c r="AP19" s="241">
        <f t="shared" si="27"/>
        <v>23977.47164</v>
      </c>
      <c r="AQ19" s="241">
        <f t="shared" si="27"/>
        <v>24764.31727</v>
      </c>
      <c r="AR19" s="241">
        <f t="shared" si="27"/>
        <v>-200.2030184</v>
      </c>
      <c r="AS19" s="242"/>
      <c r="AT19" s="243">
        <f>SUM(C19:AR19)</f>
        <v>520516.3323</v>
      </c>
      <c r="AU19" s="244"/>
      <c r="AV19" s="244"/>
    </row>
    <row r="20">
      <c r="P20" s="69"/>
      <c r="Q20" s="69"/>
      <c r="T20" s="70"/>
      <c r="AL20" s="70"/>
      <c r="AT20" s="69"/>
      <c r="AU20" s="69"/>
      <c r="AV20" s="69"/>
    </row>
    <row r="21">
      <c r="P21" s="69"/>
      <c r="Q21" s="69"/>
      <c r="T21" s="70"/>
      <c r="AL21" s="70"/>
      <c r="AT21" s="69"/>
      <c r="AU21" s="69"/>
      <c r="AV21" s="69"/>
    </row>
    <row r="22">
      <c r="A22" s="131"/>
      <c r="C22" s="245"/>
      <c r="D22" s="245"/>
      <c r="E22" s="245"/>
      <c r="F22" s="245"/>
      <c r="G22" s="245"/>
      <c r="H22" s="245"/>
      <c r="I22" s="245"/>
      <c r="P22" s="69"/>
      <c r="Q22" s="69"/>
      <c r="AT22" s="69"/>
      <c r="AU22" s="69"/>
      <c r="AV22" s="69"/>
    </row>
    <row r="23">
      <c r="A23" s="246"/>
      <c r="B23" s="131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74"/>
      <c r="P23" s="69"/>
      <c r="Q23" s="69"/>
      <c r="AT23" s="69"/>
      <c r="AU23" s="69"/>
      <c r="AV23" s="69"/>
    </row>
    <row r="24">
      <c r="B24" s="131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74"/>
      <c r="P24" s="69"/>
      <c r="Q24" s="69"/>
      <c r="AT24" s="69"/>
      <c r="AU24" s="69"/>
      <c r="AV24" s="69"/>
    </row>
    <row r="25">
      <c r="B25" s="131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74"/>
      <c r="P25" s="69"/>
      <c r="Q25" s="69"/>
      <c r="AT25" s="69"/>
      <c r="AU25" s="69"/>
      <c r="AV25" s="69"/>
    </row>
    <row r="26">
      <c r="B26" s="131"/>
      <c r="C26" s="82"/>
      <c r="D26" s="82"/>
      <c r="E26" s="82"/>
      <c r="F26" s="82"/>
      <c r="G26" s="82"/>
      <c r="H26" s="82"/>
      <c r="I26" s="82"/>
      <c r="J26" s="82"/>
      <c r="K26" s="82"/>
      <c r="L26" s="144"/>
      <c r="M26" s="74"/>
      <c r="P26" s="69"/>
      <c r="Q26" s="69"/>
      <c r="AT26" s="69"/>
      <c r="AU26" s="69"/>
      <c r="AV26" s="69"/>
    </row>
    <row r="27">
      <c r="B27" s="131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74"/>
      <c r="P27" s="69"/>
      <c r="Q27" s="69"/>
      <c r="AT27" s="69"/>
      <c r="AU27" s="69"/>
      <c r="AV27" s="69"/>
    </row>
    <row r="28">
      <c r="A28" s="247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74"/>
      <c r="P28" s="69"/>
      <c r="Q28" s="69"/>
      <c r="AT28" s="69"/>
      <c r="AU28" s="69"/>
      <c r="AV28" s="69"/>
    </row>
    <row r="29">
      <c r="A29" s="67"/>
      <c r="B29" s="67"/>
      <c r="C29" s="83"/>
      <c r="D29" s="83"/>
      <c r="E29" s="83"/>
      <c r="F29" s="83"/>
      <c r="G29" s="83"/>
      <c r="H29" s="83"/>
      <c r="I29" s="83"/>
      <c r="J29" s="144"/>
      <c r="K29" s="144"/>
      <c r="L29" s="83"/>
      <c r="M29" s="74"/>
      <c r="P29" s="69"/>
      <c r="Q29" s="69"/>
      <c r="AT29" s="69"/>
      <c r="AU29" s="69"/>
      <c r="AV29" s="69"/>
    </row>
    <row r="30">
      <c r="A30" s="67"/>
      <c r="B30" s="67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74"/>
      <c r="P30" s="69"/>
      <c r="Q30" s="69"/>
      <c r="AT30" s="69"/>
      <c r="AU30" s="69"/>
      <c r="AV30" s="69"/>
    </row>
    <row r="31"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4"/>
      <c r="P31" s="69"/>
      <c r="Q31" s="69"/>
      <c r="AT31" s="69"/>
      <c r="AU31" s="69"/>
      <c r="AV31" s="69"/>
    </row>
    <row r="32"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P32" s="69"/>
      <c r="Q32" s="69"/>
      <c r="AT32" s="69"/>
      <c r="AU32" s="69"/>
      <c r="AV32" s="69"/>
    </row>
    <row r="33"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P33" s="69"/>
      <c r="Q33" s="69"/>
      <c r="AT33" s="69"/>
      <c r="AU33" s="69"/>
      <c r="AV33" s="69"/>
    </row>
    <row r="34">
      <c r="C34" s="69"/>
      <c r="D34" s="69"/>
      <c r="E34" s="69"/>
      <c r="F34" s="69"/>
      <c r="G34" s="69"/>
      <c r="H34" s="69"/>
      <c r="I34" s="69"/>
      <c r="J34" s="74"/>
      <c r="K34" s="74"/>
      <c r="L34" s="74"/>
      <c r="M34" s="248"/>
      <c r="P34" s="69"/>
      <c r="Q34" s="69"/>
      <c r="AT34" s="69"/>
      <c r="AU34" s="69"/>
      <c r="AV34" s="69"/>
    </row>
    <row r="35">
      <c r="P35" s="69"/>
      <c r="Q35" s="69"/>
      <c r="AT35" s="69"/>
      <c r="AU35" s="69"/>
      <c r="AV35" s="69"/>
    </row>
    <row r="36">
      <c r="P36" s="69"/>
      <c r="Q36" s="69"/>
      <c r="AT36" s="69"/>
      <c r="AU36" s="69"/>
      <c r="AV36" s="69"/>
    </row>
    <row r="37">
      <c r="P37" s="69"/>
      <c r="Q37" s="69"/>
      <c r="AT37" s="69"/>
      <c r="AU37" s="69"/>
      <c r="AV37" s="69"/>
    </row>
    <row r="38">
      <c r="P38" s="69"/>
      <c r="Q38" s="69"/>
      <c r="AT38" s="69"/>
      <c r="AU38" s="69"/>
      <c r="AV38" s="69"/>
    </row>
    <row r="39">
      <c r="P39" s="69"/>
      <c r="Q39" s="69"/>
      <c r="AT39" s="69"/>
      <c r="AU39" s="69"/>
      <c r="AV39" s="69"/>
    </row>
    <row r="40">
      <c r="P40" s="69"/>
      <c r="Q40" s="69"/>
      <c r="AT40" s="69"/>
      <c r="AU40" s="69"/>
      <c r="AV40" s="69"/>
    </row>
    <row r="41">
      <c r="P41" s="69"/>
      <c r="Q41" s="69"/>
      <c r="AT41" s="69"/>
      <c r="AU41" s="69"/>
      <c r="AV41" s="69"/>
    </row>
    <row r="42">
      <c r="P42" s="69"/>
      <c r="Q42" s="69"/>
      <c r="AT42" s="69"/>
      <c r="AU42" s="69"/>
      <c r="AV42" s="69"/>
    </row>
    <row r="43">
      <c r="P43" s="69"/>
      <c r="Q43" s="69"/>
      <c r="AT43" s="69"/>
      <c r="AU43" s="69"/>
      <c r="AV43" s="69"/>
    </row>
    <row r="44">
      <c r="P44" s="69"/>
      <c r="Q44" s="69"/>
      <c r="AT44" s="69"/>
      <c r="AU44" s="69"/>
      <c r="AV44" s="69"/>
    </row>
    <row r="45">
      <c r="P45" s="69"/>
      <c r="Q45" s="69"/>
      <c r="AT45" s="69"/>
      <c r="AU45" s="69"/>
      <c r="AV45" s="69"/>
    </row>
    <row r="46">
      <c r="P46" s="69"/>
      <c r="Q46" s="69"/>
      <c r="AT46" s="69"/>
      <c r="AU46" s="69"/>
      <c r="AV46" s="69"/>
    </row>
    <row r="47">
      <c r="P47" s="69"/>
      <c r="Q47" s="69"/>
      <c r="AT47" s="69"/>
      <c r="AU47" s="69"/>
      <c r="AV47" s="69"/>
    </row>
    <row r="48">
      <c r="P48" s="69"/>
      <c r="Q48" s="69"/>
      <c r="AT48" s="69"/>
      <c r="AU48" s="69"/>
      <c r="AV48" s="69"/>
    </row>
    <row r="49">
      <c r="P49" s="69"/>
      <c r="Q49" s="69"/>
      <c r="AT49" s="69"/>
      <c r="AU49" s="69"/>
      <c r="AV49" s="69"/>
    </row>
    <row r="50">
      <c r="P50" s="69"/>
      <c r="Q50" s="69"/>
      <c r="AT50" s="69"/>
      <c r="AU50" s="69"/>
      <c r="AV50" s="69"/>
    </row>
    <row r="51">
      <c r="P51" s="69"/>
      <c r="Q51" s="69"/>
      <c r="AT51" s="69"/>
      <c r="AU51" s="69"/>
      <c r="AV51" s="69"/>
    </row>
    <row r="52">
      <c r="P52" s="69"/>
      <c r="Q52" s="69"/>
      <c r="AT52" s="69"/>
      <c r="AU52" s="69"/>
      <c r="AV52" s="69"/>
    </row>
    <row r="53">
      <c r="P53" s="69"/>
      <c r="Q53" s="69"/>
      <c r="AT53" s="69"/>
      <c r="AU53" s="69"/>
      <c r="AV53" s="69"/>
    </row>
    <row r="54">
      <c r="P54" s="69"/>
      <c r="Q54" s="69"/>
      <c r="AT54" s="69"/>
      <c r="AU54" s="69"/>
      <c r="AV54" s="69"/>
    </row>
    <row r="55">
      <c r="P55" s="69"/>
      <c r="Q55" s="69"/>
      <c r="AT55" s="69"/>
      <c r="AU55" s="69"/>
      <c r="AV55" s="69"/>
    </row>
    <row r="56">
      <c r="P56" s="69"/>
      <c r="Q56" s="69"/>
      <c r="AT56" s="69"/>
      <c r="AU56" s="69"/>
      <c r="AV56" s="69"/>
    </row>
    <row r="57">
      <c r="P57" s="69"/>
      <c r="Q57" s="69"/>
      <c r="AT57" s="69"/>
      <c r="AU57" s="69"/>
      <c r="AV57" s="69"/>
    </row>
    <row r="58">
      <c r="P58" s="69"/>
      <c r="Q58" s="69"/>
      <c r="AT58" s="69"/>
      <c r="AU58" s="69"/>
      <c r="AV58" s="69"/>
    </row>
    <row r="59">
      <c r="P59" s="69"/>
      <c r="Q59" s="69"/>
      <c r="AT59" s="69"/>
      <c r="AU59" s="69"/>
      <c r="AV59" s="69"/>
    </row>
    <row r="60">
      <c r="P60" s="69"/>
      <c r="Q60" s="69"/>
      <c r="AT60" s="69"/>
      <c r="AU60" s="69"/>
      <c r="AV60" s="69"/>
    </row>
    <row r="61">
      <c r="P61" s="69"/>
      <c r="Q61" s="69"/>
      <c r="AT61" s="69"/>
      <c r="AU61" s="69"/>
      <c r="AV61" s="69"/>
    </row>
    <row r="62">
      <c r="P62" s="69"/>
      <c r="Q62" s="69"/>
      <c r="AT62" s="69"/>
      <c r="AU62" s="69"/>
      <c r="AV62" s="69"/>
    </row>
    <row r="63">
      <c r="P63" s="69"/>
      <c r="Q63" s="69"/>
      <c r="AT63" s="69"/>
      <c r="AU63" s="69"/>
      <c r="AV63" s="69"/>
    </row>
    <row r="64">
      <c r="P64" s="69"/>
      <c r="Q64" s="69"/>
      <c r="AT64" s="69"/>
      <c r="AU64" s="69"/>
      <c r="AV64" s="69"/>
    </row>
    <row r="65">
      <c r="P65" s="69"/>
      <c r="Q65" s="69"/>
      <c r="AT65" s="69"/>
      <c r="AU65" s="69"/>
      <c r="AV65" s="69"/>
    </row>
    <row r="66">
      <c r="P66" s="69"/>
      <c r="Q66" s="69"/>
      <c r="AT66" s="69"/>
      <c r="AU66" s="69"/>
      <c r="AV66" s="69"/>
    </row>
    <row r="67">
      <c r="P67" s="69"/>
      <c r="Q67" s="69"/>
      <c r="AT67" s="69"/>
      <c r="AU67" s="69"/>
      <c r="AV67" s="69"/>
    </row>
    <row r="68">
      <c r="P68" s="69"/>
      <c r="Q68" s="69"/>
      <c r="AT68" s="69"/>
      <c r="AU68" s="69"/>
      <c r="AV68" s="69"/>
    </row>
    <row r="69">
      <c r="P69" s="69"/>
      <c r="Q69" s="69"/>
      <c r="AT69" s="69"/>
      <c r="AU69" s="69"/>
      <c r="AV69" s="69"/>
    </row>
    <row r="70">
      <c r="P70" s="69"/>
      <c r="Q70" s="69"/>
      <c r="AT70" s="69"/>
      <c r="AU70" s="69"/>
      <c r="AV70" s="69"/>
    </row>
    <row r="71">
      <c r="P71" s="69"/>
      <c r="Q71" s="69"/>
      <c r="AT71" s="69"/>
      <c r="AU71" s="69"/>
      <c r="AV71" s="69"/>
    </row>
    <row r="72">
      <c r="P72" s="69"/>
      <c r="Q72" s="69"/>
      <c r="AT72" s="69"/>
      <c r="AU72" s="69"/>
      <c r="AV72" s="69"/>
    </row>
    <row r="73">
      <c r="P73" s="69"/>
      <c r="Q73" s="69"/>
      <c r="AT73" s="69"/>
      <c r="AU73" s="69"/>
      <c r="AV73" s="69"/>
    </row>
    <row r="74">
      <c r="P74" s="69"/>
      <c r="Q74" s="69"/>
      <c r="AT74" s="69"/>
      <c r="AU74" s="69"/>
      <c r="AV74" s="69"/>
    </row>
    <row r="75">
      <c r="P75" s="69"/>
      <c r="Q75" s="69"/>
      <c r="AT75" s="69"/>
      <c r="AU75" s="69"/>
      <c r="AV75" s="69"/>
    </row>
    <row r="76">
      <c r="P76" s="69"/>
      <c r="Q76" s="69"/>
      <c r="AT76" s="69"/>
      <c r="AU76" s="69"/>
      <c r="AV76" s="69"/>
    </row>
    <row r="77">
      <c r="P77" s="69"/>
      <c r="Q77" s="69"/>
      <c r="AT77" s="69"/>
      <c r="AU77" s="69"/>
      <c r="AV77" s="69"/>
    </row>
    <row r="78">
      <c r="P78" s="69"/>
      <c r="Q78" s="69"/>
      <c r="AT78" s="69"/>
      <c r="AU78" s="69"/>
      <c r="AV78" s="69"/>
    </row>
    <row r="79">
      <c r="P79" s="69"/>
      <c r="Q79" s="69"/>
      <c r="AT79" s="69"/>
      <c r="AU79" s="69"/>
      <c r="AV79" s="69"/>
    </row>
    <row r="80">
      <c r="P80" s="69"/>
      <c r="Q80" s="69"/>
      <c r="AT80" s="69"/>
      <c r="AU80" s="69"/>
      <c r="AV80" s="69"/>
    </row>
    <row r="81">
      <c r="P81" s="69"/>
      <c r="Q81" s="69"/>
      <c r="AT81" s="69"/>
      <c r="AU81" s="69"/>
      <c r="AV81" s="69"/>
    </row>
    <row r="82">
      <c r="P82" s="69"/>
      <c r="Q82" s="69"/>
      <c r="AT82" s="69"/>
      <c r="AU82" s="69"/>
      <c r="AV82" s="69"/>
    </row>
    <row r="83">
      <c r="P83" s="69"/>
      <c r="Q83" s="69"/>
      <c r="AT83" s="69"/>
      <c r="AU83" s="69"/>
      <c r="AV83" s="69"/>
    </row>
    <row r="84">
      <c r="P84" s="69"/>
      <c r="Q84" s="69"/>
      <c r="AT84" s="69"/>
      <c r="AU84" s="69"/>
      <c r="AV84" s="69"/>
    </row>
    <row r="85">
      <c r="P85" s="69"/>
      <c r="Q85" s="69"/>
      <c r="AT85" s="69"/>
      <c r="AU85" s="69"/>
      <c r="AV85" s="69"/>
    </row>
    <row r="86">
      <c r="P86" s="69"/>
      <c r="Q86" s="69"/>
      <c r="AT86" s="69"/>
      <c r="AU86" s="69"/>
      <c r="AV86" s="69"/>
    </row>
    <row r="87">
      <c r="P87" s="69"/>
      <c r="Q87" s="69"/>
      <c r="AT87" s="69"/>
      <c r="AU87" s="69"/>
      <c r="AV87" s="69"/>
    </row>
    <row r="88">
      <c r="P88" s="69"/>
      <c r="Q88" s="69"/>
      <c r="AT88" s="69"/>
      <c r="AU88" s="69"/>
      <c r="AV88" s="69"/>
    </row>
    <row r="89">
      <c r="P89" s="69"/>
      <c r="Q89" s="69"/>
      <c r="AT89" s="69"/>
      <c r="AU89" s="69"/>
      <c r="AV89" s="69"/>
    </row>
    <row r="90">
      <c r="P90" s="69"/>
      <c r="Q90" s="69"/>
      <c r="AT90" s="69"/>
      <c r="AU90" s="69"/>
      <c r="AV90" s="69"/>
    </row>
    <row r="91">
      <c r="P91" s="69"/>
      <c r="Q91" s="69"/>
      <c r="AT91" s="69"/>
      <c r="AU91" s="69"/>
      <c r="AV91" s="69"/>
    </row>
    <row r="92">
      <c r="P92" s="69"/>
      <c r="Q92" s="69"/>
      <c r="AT92" s="69"/>
      <c r="AU92" s="69"/>
      <c r="AV92" s="69"/>
    </row>
    <row r="93">
      <c r="P93" s="69"/>
      <c r="Q93" s="69"/>
      <c r="AT93" s="69"/>
      <c r="AU93" s="69"/>
      <c r="AV93" s="69"/>
    </row>
    <row r="94">
      <c r="P94" s="69"/>
      <c r="Q94" s="69"/>
      <c r="AT94" s="69"/>
      <c r="AU94" s="69"/>
      <c r="AV94" s="69"/>
    </row>
    <row r="95">
      <c r="P95" s="69"/>
      <c r="Q95" s="69"/>
      <c r="AT95" s="69"/>
      <c r="AU95" s="69"/>
      <c r="AV95" s="69"/>
    </row>
    <row r="96">
      <c r="P96" s="69"/>
      <c r="Q96" s="69"/>
      <c r="AT96" s="69"/>
      <c r="AU96" s="69"/>
      <c r="AV96" s="69"/>
    </row>
    <row r="97">
      <c r="P97" s="69"/>
      <c r="Q97" s="69"/>
      <c r="AT97" s="69"/>
      <c r="AU97" s="69"/>
      <c r="AV97" s="69"/>
    </row>
    <row r="98">
      <c r="P98" s="69"/>
      <c r="Q98" s="69"/>
      <c r="AT98" s="69"/>
      <c r="AU98" s="69"/>
      <c r="AV98" s="69"/>
    </row>
    <row r="99">
      <c r="P99" s="69"/>
      <c r="Q99" s="69"/>
      <c r="AT99" s="69"/>
      <c r="AU99" s="69"/>
      <c r="AV99" s="69"/>
    </row>
    <row r="100">
      <c r="P100" s="69"/>
      <c r="Q100" s="69"/>
      <c r="AT100" s="69"/>
      <c r="AU100" s="69"/>
      <c r="AV100" s="69"/>
    </row>
    <row r="101">
      <c r="P101" s="69"/>
      <c r="Q101" s="69"/>
      <c r="AT101" s="69"/>
      <c r="AU101" s="69"/>
      <c r="AV101" s="69"/>
    </row>
    <row r="102">
      <c r="P102" s="69"/>
      <c r="Q102" s="69"/>
      <c r="AT102" s="69"/>
      <c r="AU102" s="69"/>
      <c r="AV102" s="69"/>
    </row>
    <row r="103">
      <c r="P103" s="69"/>
      <c r="Q103" s="69"/>
      <c r="AT103" s="69"/>
      <c r="AU103" s="69"/>
      <c r="AV103" s="69"/>
    </row>
    <row r="104">
      <c r="P104" s="69"/>
      <c r="Q104" s="69"/>
      <c r="AT104" s="69"/>
      <c r="AU104" s="69"/>
      <c r="AV104" s="69"/>
    </row>
    <row r="105">
      <c r="P105" s="69"/>
      <c r="Q105" s="69"/>
      <c r="AT105" s="69"/>
      <c r="AU105" s="69"/>
      <c r="AV105" s="69"/>
    </row>
    <row r="106">
      <c r="P106" s="69"/>
      <c r="Q106" s="69"/>
      <c r="AT106" s="69"/>
      <c r="AU106" s="69"/>
      <c r="AV106" s="69"/>
    </row>
    <row r="107">
      <c r="P107" s="69"/>
      <c r="Q107" s="69"/>
      <c r="AT107" s="69"/>
      <c r="AU107" s="69"/>
      <c r="AV107" s="69"/>
    </row>
    <row r="108">
      <c r="P108" s="69"/>
      <c r="Q108" s="69"/>
      <c r="AT108" s="69"/>
      <c r="AU108" s="69"/>
      <c r="AV108" s="69"/>
    </row>
    <row r="109">
      <c r="P109" s="69"/>
      <c r="Q109" s="69"/>
      <c r="AT109" s="69"/>
      <c r="AU109" s="69"/>
      <c r="AV109" s="69"/>
    </row>
    <row r="110">
      <c r="P110" s="69"/>
      <c r="Q110" s="69"/>
      <c r="AT110" s="69"/>
      <c r="AU110" s="69"/>
      <c r="AV110" s="69"/>
    </row>
    <row r="111">
      <c r="P111" s="69"/>
      <c r="Q111" s="69"/>
      <c r="AT111" s="69"/>
      <c r="AU111" s="69"/>
      <c r="AV111" s="69"/>
    </row>
    <row r="112">
      <c r="P112" s="69"/>
      <c r="Q112" s="69"/>
      <c r="AT112" s="69"/>
      <c r="AU112" s="69"/>
      <c r="AV112" s="69"/>
    </row>
    <row r="113">
      <c r="P113" s="69"/>
      <c r="Q113" s="69"/>
      <c r="AT113" s="69"/>
      <c r="AU113" s="69"/>
      <c r="AV113" s="69"/>
    </row>
    <row r="114">
      <c r="P114" s="69"/>
      <c r="Q114" s="69"/>
      <c r="AT114" s="69"/>
      <c r="AU114" s="69"/>
      <c r="AV114" s="69"/>
    </row>
    <row r="115">
      <c r="P115" s="69"/>
      <c r="Q115" s="69"/>
      <c r="AT115" s="69"/>
      <c r="AU115" s="69"/>
      <c r="AV115" s="69"/>
    </row>
    <row r="116">
      <c r="P116" s="69"/>
      <c r="Q116" s="69"/>
      <c r="AT116" s="69"/>
      <c r="AU116" s="69"/>
      <c r="AV116" s="69"/>
    </row>
    <row r="117">
      <c r="P117" s="69"/>
      <c r="Q117" s="69"/>
      <c r="AT117" s="69"/>
      <c r="AU117" s="69"/>
      <c r="AV117" s="69"/>
    </row>
    <row r="118">
      <c r="P118" s="69"/>
      <c r="Q118" s="69"/>
      <c r="AT118" s="69"/>
      <c r="AU118" s="69"/>
      <c r="AV118" s="69"/>
    </row>
    <row r="119">
      <c r="P119" s="69"/>
      <c r="Q119" s="69"/>
      <c r="AT119" s="69"/>
      <c r="AU119" s="69"/>
      <c r="AV119" s="69"/>
    </row>
    <row r="120">
      <c r="P120" s="69"/>
      <c r="Q120" s="69"/>
      <c r="AT120" s="69"/>
      <c r="AU120" s="69"/>
      <c r="AV120" s="69"/>
    </row>
    <row r="121">
      <c r="P121" s="69"/>
      <c r="Q121" s="69"/>
      <c r="AT121" s="69"/>
      <c r="AU121" s="69"/>
      <c r="AV121" s="69"/>
    </row>
    <row r="122">
      <c r="P122" s="69"/>
      <c r="Q122" s="69"/>
      <c r="AT122" s="69"/>
      <c r="AU122" s="69"/>
      <c r="AV122" s="69"/>
    </row>
    <row r="123">
      <c r="P123" s="69"/>
      <c r="Q123" s="69"/>
      <c r="AT123" s="69"/>
      <c r="AU123" s="69"/>
      <c r="AV123" s="69"/>
    </row>
    <row r="124">
      <c r="P124" s="69"/>
      <c r="Q124" s="69"/>
      <c r="AT124" s="69"/>
      <c r="AU124" s="69"/>
      <c r="AV124" s="69"/>
    </row>
    <row r="125">
      <c r="P125" s="69"/>
      <c r="Q125" s="69"/>
      <c r="AT125" s="69"/>
      <c r="AU125" s="69"/>
      <c r="AV125" s="69"/>
    </row>
    <row r="126">
      <c r="P126" s="69"/>
      <c r="Q126" s="69"/>
      <c r="AT126" s="69"/>
      <c r="AU126" s="69"/>
      <c r="AV126" s="69"/>
    </row>
    <row r="127">
      <c r="P127" s="69"/>
      <c r="Q127" s="69"/>
      <c r="AT127" s="69"/>
      <c r="AU127" s="69"/>
      <c r="AV127" s="69"/>
    </row>
    <row r="128">
      <c r="P128" s="69"/>
      <c r="Q128" s="69"/>
      <c r="AT128" s="69"/>
      <c r="AU128" s="69"/>
      <c r="AV128" s="69"/>
    </row>
    <row r="129">
      <c r="P129" s="69"/>
      <c r="Q129" s="69"/>
      <c r="AT129" s="69"/>
      <c r="AU129" s="69"/>
      <c r="AV129" s="69"/>
    </row>
    <row r="130">
      <c r="P130" s="69"/>
      <c r="Q130" s="69"/>
      <c r="AT130" s="69"/>
      <c r="AU130" s="69"/>
      <c r="AV130" s="69"/>
    </row>
    <row r="131">
      <c r="P131" s="69"/>
      <c r="Q131" s="69"/>
      <c r="AT131" s="69"/>
      <c r="AU131" s="69"/>
      <c r="AV131" s="69"/>
    </row>
    <row r="132">
      <c r="P132" s="69"/>
      <c r="Q132" s="69"/>
      <c r="AT132" s="69"/>
      <c r="AU132" s="69"/>
      <c r="AV132" s="69"/>
    </row>
    <row r="133">
      <c r="P133" s="69"/>
      <c r="Q133" s="69"/>
      <c r="AT133" s="69"/>
      <c r="AU133" s="69"/>
      <c r="AV133" s="69"/>
    </row>
    <row r="134">
      <c r="P134" s="69"/>
      <c r="Q134" s="69"/>
      <c r="AT134" s="69"/>
      <c r="AU134" s="69"/>
      <c r="AV134" s="69"/>
    </row>
    <row r="135">
      <c r="P135" s="69"/>
      <c r="Q135" s="69"/>
      <c r="AT135" s="69"/>
      <c r="AU135" s="69"/>
      <c r="AV135" s="69"/>
    </row>
    <row r="136">
      <c r="P136" s="69"/>
      <c r="Q136" s="69"/>
      <c r="AT136" s="69"/>
      <c r="AU136" s="69"/>
      <c r="AV136" s="69"/>
    </row>
    <row r="137">
      <c r="P137" s="69"/>
      <c r="Q137" s="69"/>
      <c r="AT137" s="69"/>
      <c r="AU137" s="69"/>
      <c r="AV137" s="69"/>
    </row>
    <row r="138">
      <c r="P138" s="69"/>
      <c r="Q138" s="69"/>
      <c r="AT138" s="69"/>
      <c r="AU138" s="69"/>
      <c r="AV138" s="69"/>
    </row>
    <row r="139">
      <c r="P139" s="69"/>
      <c r="Q139" s="69"/>
      <c r="AT139" s="69"/>
      <c r="AU139" s="69"/>
      <c r="AV139" s="69"/>
    </row>
    <row r="140">
      <c r="P140" s="69"/>
      <c r="Q140" s="69"/>
      <c r="AT140" s="69"/>
      <c r="AU140" s="69"/>
      <c r="AV140" s="69"/>
    </row>
    <row r="141">
      <c r="P141" s="69"/>
      <c r="Q141" s="69"/>
      <c r="AT141" s="69"/>
      <c r="AU141" s="69"/>
      <c r="AV141" s="69"/>
    </row>
    <row r="142">
      <c r="P142" s="69"/>
      <c r="Q142" s="69"/>
      <c r="AT142" s="69"/>
      <c r="AU142" s="69"/>
      <c r="AV142" s="69"/>
    </row>
    <row r="143">
      <c r="P143" s="69"/>
      <c r="Q143" s="69"/>
      <c r="AT143" s="69"/>
      <c r="AU143" s="69"/>
      <c r="AV143" s="69"/>
    </row>
    <row r="144">
      <c r="P144" s="69"/>
      <c r="Q144" s="69"/>
      <c r="AT144" s="69"/>
      <c r="AU144" s="69"/>
      <c r="AV144" s="69"/>
    </row>
    <row r="145">
      <c r="P145" s="69"/>
      <c r="Q145" s="69"/>
      <c r="AT145" s="69"/>
      <c r="AU145" s="69"/>
      <c r="AV145" s="69"/>
    </row>
    <row r="146">
      <c r="P146" s="69"/>
      <c r="Q146" s="69"/>
      <c r="AT146" s="69"/>
      <c r="AU146" s="69"/>
      <c r="AV146" s="69"/>
    </row>
    <row r="147">
      <c r="P147" s="69"/>
      <c r="Q147" s="69"/>
      <c r="AT147" s="69"/>
      <c r="AU147" s="69"/>
      <c r="AV147" s="69"/>
    </row>
    <row r="148">
      <c r="P148" s="69"/>
      <c r="Q148" s="69"/>
      <c r="AT148" s="69"/>
      <c r="AU148" s="69"/>
      <c r="AV148" s="69"/>
    </row>
    <row r="149">
      <c r="P149" s="69"/>
      <c r="Q149" s="69"/>
      <c r="AT149" s="69"/>
      <c r="AU149" s="69"/>
      <c r="AV149" s="69"/>
    </row>
    <row r="150">
      <c r="P150" s="69"/>
      <c r="Q150" s="69"/>
      <c r="AT150" s="69"/>
      <c r="AU150" s="69"/>
      <c r="AV150" s="69"/>
    </row>
    <row r="151">
      <c r="P151" s="69"/>
      <c r="Q151" s="69"/>
      <c r="AT151" s="69"/>
      <c r="AU151" s="69"/>
      <c r="AV151" s="69"/>
    </row>
    <row r="152">
      <c r="P152" s="69"/>
      <c r="Q152" s="69"/>
      <c r="AT152" s="69"/>
      <c r="AU152" s="69"/>
      <c r="AV152" s="69"/>
    </row>
    <row r="153">
      <c r="P153" s="69"/>
      <c r="Q153" s="69"/>
      <c r="AT153" s="69"/>
      <c r="AU153" s="69"/>
      <c r="AV153" s="69"/>
    </row>
    <row r="154">
      <c r="P154" s="69"/>
      <c r="Q154" s="69"/>
      <c r="AT154" s="69"/>
      <c r="AU154" s="69"/>
      <c r="AV154" s="69"/>
    </row>
    <row r="155">
      <c r="P155" s="69"/>
      <c r="Q155" s="69"/>
      <c r="AT155" s="69"/>
      <c r="AU155" s="69"/>
      <c r="AV155" s="69"/>
    </row>
    <row r="156">
      <c r="P156" s="69"/>
      <c r="Q156" s="69"/>
      <c r="AT156" s="69"/>
      <c r="AU156" s="69"/>
      <c r="AV156" s="69"/>
    </row>
    <row r="157">
      <c r="P157" s="69"/>
      <c r="Q157" s="69"/>
      <c r="AT157" s="69"/>
      <c r="AU157" s="69"/>
      <c r="AV157" s="69"/>
    </row>
    <row r="158">
      <c r="P158" s="69"/>
      <c r="Q158" s="69"/>
      <c r="AT158" s="69"/>
      <c r="AU158" s="69"/>
      <c r="AV158" s="69"/>
    </row>
    <row r="159">
      <c r="P159" s="69"/>
      <c r="Q159" s="69"/>
      <c r="AT159" s="69"/>
      <c r="AU159" s="69"/>
      <c r="AV159" s="69"/>
    </row>
    <row r="160">
      <c r="P160" s="69"/>
      <c r="Q160" s="69"/>
      <c r="AT160" s="69"/>
      <c r="AU160" s="69"/>
      <c r="AV160" s="69"/>
    </row>
    <row r="161">
      <c r="P161" s="69"/>
      <c r="Q161" s="69"/>
      <c r="AT161" s="69"/>
      <c r="AU161" s="69"/>
      <c r="AV161" s="69"/>
    </row>
    <row r="162">
      <c r="P162" s="69"/>
      <c r="Q162" s="69"/>
      <c r="AT162" s="69"/>
      <c r="AU162" s="69"/>
      <c r="AV162" s="69"/>
    </row>
    <row r="163">
      <c r="P163" s="69"/>
      <c r="Q163" s="69"/>
      <c r="AT163" s="69"/>
      <c r="AU163" s="69"/>
      <c r="AV163" s="69"/>
    </row>
    <row r="164">
      <c r="P164" s="69"/>
      <c r="Q164" s="69"/>
      <c r="AT164" s="69"/>
      <c r="AU164" s="69"/>
      <c r="AV164" s="69"/>
    </row>
    <row r="165">
      <c r="P165" s="69"/>
      <c r="Q165" s="69"/>
      <c r="AT165" s="69"/>
      <c r="AU165" s="69"/>
      <c r="AV165" s="69"/>
    </row>
    <row r="166">
      <c r="P166" s="69"/>
      <c r="Q166" s="69"/>
      <c r="AT166" s="69"/>
      <c r="AU166" s="69"/>
      <c r="AV166" s="69"/>
    </row>
    <row r="167">
      <c r="P167" s="69"/>
      <c r="Q167" s="69"/>
      <c r="AT167" s="69"/>
      <c r="AU167" s="69"/>
      <c r="AV167" s="69"/>
    </row>
    <row r="168">
      <c r="P168" s="69"/>
      <c r="Q168" s="69"/>
      <c r="AT168" s="69"/>
      <c r="AU168" s="69"/>
      <c r="AV168" s="69"/>
    </row>
    <row r="169">
      <c r="P169" s="69"/>
      <c r="Q169" s="69"/>
      <c r="AT169" s="69"/>
      <c r="AU169" s="69"/>
      <c r="AV169" s="69"/>
    </row>
    <row r="170">
      <c r="P170" s="69"/>
      <c r="Q170" s="69"/>
      <c r="AT170" s="69"/>
      <c r="AU170" s="69"/>
      <c r="AV170" s="69"/>
    </row>
    <row r="171">
      <c r="P171" s="69"/>
      <c r="Q171" s="69"/>
      <c r="AT171" s="69"/>
      <c r="AU171" s="69"/>
      <c r="AV171" s="69"/>
    </row>
    <row r="172">
      <c r="P172" s="69"/>
      <c r="Q172" s="69"/>
      <c r="AT172" s="69"/>
      <c r="AU172" s="69"/>
      <c r="AV172" s="69"/>
    </row>
    <row r="173">
      <c r="P173" s="69"/>
      <c r="Q173" s="69"/>
      <c r="AT173" s="69"/>
      <c r="AU173" s="69"/>
      <c r="AV173" s="69"/>
    </row>
    <row r="174">
      <c r="P174" s="69"/>
      <c r="Q174" s="69"/>
      <c r="AT174" s="69"/>
      <c r="AU174" s="69"/>
      <c r="AV174" s="69"/>
    </row>
    <row r="175">
      <c r="P175" s="69"/>
      <c r="Q175" s="69"/>
      <c r="AT175" s="69"/>
      <c r="AU175" s="69"/>
      <c r="AV175" s="69"/>
    </row>
    <row r="176">
      <c r="P176" s="69"/>
      <c r="Q176" s="69"/>
      <c r="AT176" s="69"/>
      <c r="AU176" s="69"/>
      <c r="AV176" s="69"/>
    </row>
    <row r="177">
      <c r="P177" s="69"/>
      <c r="Q177" s="69"/>
      <c r="AT177" s="69"/>
      <c r="AU177" s="69"/>
      <c r="AV177" s="69"/>
    </row>
    <row r="178">
      <c r="P178" s="69"/>
      <c r="Q178" s="69"/>
      <c r="AT178" s="69"/>
      <c r="AU178" s="69"/>
      <c r="AV178" s="69"/>
    </row>
    <row r="179">
      <c r="P179" s="69"/>
      <c r="Q179" s="69"/>
      <c r="AT179" s="69"/>
      <c r="AU179" s="69"/>
      <c r="AV179" s="69"/>
    </row>
    <row r="180">
      <c r="P180" s="69"/>
      <c r="Q180" s="69"/>
      <c r="AT180" s="69"/>
      <c r="AU180" s="69"/>
      <c r="AV180" s="69"/>
    </row>
    <row r="181">
      <c r="P181" s="69"/>
      <c r="Q181" s="69"/>
      <c r="AT181" s="69"/>
      <c r="AU181" s="69"/>
      <c r="AV181" s="69"/>
    </row>
    <row r="182">
      <c r="P182" s="69"/>
      <c r="Q182" s="69"/>
      <c r="AT182" s="69"/>
      <c r="AU182" s="69"/>
      <c r="AV182" s="69"/>
    </row>
    <row r="183">
      <c r="P183" s="69"/>
      <c r="Q183" s="69"/>
      <c r="AT183" s="69"/>
      <c r="AU183" s="69"/>
      <c r="AV183" s="69"/>
    </row>
    <row r="184">
      <c r="P184" s="69"/>
      <c r="Q184" s="69"/>
      <c r="AT184" s="69"/>
      <c r="AU184" s="69"/>
      <c r="AV184" s="69"/>
    </row>
    <row r="185">
      <c r="P185" s="69"/>
      <c r="Q185" s="69"/>
      <c r="AT185" s="69"/>
      <c r="AU185" s="69"/>
      <c r="AV185" s="69"/>
    </row>
    <row r="186">
      <c r="P186" s="69"/>
      <c r="Q186" s="69"/>
      <c r="AT186" s="69"/>
      <c r="AU186" s="69"/>
      <c r="AV186" s="69"/>
    </row>
    <row r="187">
      <c r="P187" s="69"/>
      <c r="Q187" s="69"/>
      <c r="AT187" s="69"/>
      <c r="AU187" s="69"/>
      <c r="AV187" s="69"/>
    </row>
    <row r="188">
      <c r="P188" s="69"/>
      <c r="Q188" s="69"/>
      <c r="AT188" s="69"/>
      <c r="AU188" s="69"/>
      <c r="AV188" s="69"/>
    </row>
    <row r="189">
      <c r="P189" s="69"/>
      <c r="Q189" s="69"/>
      <c r="AT189" s="69"/>
      <c r="AU189" s="69"/>
      <c r="AV189" s="69"/>
    </row>
    <row r="190">
      <c r="P190" s="69"/>
      <c r="Q190" s="69"/>
      <c r="AT190" s="69"/>
      <c r="AU190" s="69"/>
      <c r="AV190" s="69"/>
    </row>
    <row r="191">
      <c r="P191" s="69"/>
      <c r="Q191" s="69"/>
      <c r="AT191" s="69"/>
      <c r="AU191" s="69"/>
      <c r="AV191" s="69"/>
    </row>
    <row r="192">
      <c r="P192" s="69"/>
      <c r="Q192" s="69"/>
      <c r="AT192" s="69"/>
      <c r="AU192" s="69"/>
      <c r="AV192" s="69"/>
    </row>
    <row r="193">
      <c r="P193" s="69"/>
      <c r="Q193" s="69"/>
      <c r="AT193" s="69"/>
      <c r="AU193" s="69"/>
      <c r="AV193" s="69"/>
    </row>
    <row r="194">
      <c r="P194" s="69"/>
      <c r="Q194" s="69"/>
      <c r="AT194" s="69"/>
      <c r="AU194" s="69"/>
      <c r="AV194" s="69"/>
    </row>
    <row r="195">
      <c r="P195" s="69"/>
      <c r="Q195" s="69"/>
      <c r="AT195" s="69"/>
      <c r="AU195" s="69"/>
      <c r="AV195" s="69"/>
    </row>
    <row r="196">
      <c r="P196" s="69"/>
      <c r="Q196" s="69"/>
      <c r="AT196" s="69"/>
      <c r="AU196" s="69"/>
      <c r="AV196" s="69"/>
    </row>
    <row r="197">
      <c r="P197" s="69"/>
      <c r="Q197" s="69"/>
      <c r="AT197" s="69"/>
      <c r="AU197" s="69"/>
      <c r="AV197" s="69"/>
    </row>
    <row r="198">
      <c r="P198" s="69"/>
      <c r="Q198" s="69"/>
      <c r="AT198" s="69"/>
      <c r="AU198" s="69"/>
      <c r="AV198" s="69"/>
    </row>
    <row r="199">
      <c r="P199" s="69"/>
      <c r="Q199" s="69"/>
      <c r="AT199" s="69"/>
      <c r="AU199" s="69"/>
      <c r="AV199" s="69"/>
    </row>
    <row r="200">
      <c r="P200" s="69"/>
      <c r="Q200" s="69"/>
      <c r="AT200" s="69"/>
      <c r="AU200" s="69"/>
      <c r="AV200" s="69"/>
    </row>
    <row r="201">
      <c r="P201" s="69"/>
      <c r="Q201" s="69"/>
      <c r="AT201" s="69"/>
      <c r="AU201" s="69"/>
      <c r="AV201" s="69"/>
    </row>
    <row r="202">
      <c r="P202" s="69"/>
      <c r="Q202" s="69"/>
      <c r="AT202" s="69"/>
      <c r="AU202" s="69"/>
      <c r="AV202" s="69"/>
    </row>
    <row r="203">
      <c r="P203" s="69"/>
      <c r="Q203" s="69"/>
      <c r="AT203" s="69"/>
      <c r="AU203" s="69"/>
      <c r="AV203" s="69"/>
    </row>
    <row r="204">
      <c r="P204" s="69"/>
      <c r="Q204" s="69"/>
      <c r="AT204" s="69"/>
      <c r="AU204" s="69"/>
      <c r="AV204" s="69"/>
    </row>
    <row r="205">
      <c r="P205" s="69"/>
      <c r="Q205" s="69"/>
      <c r="AT205" s="69"/>
      <c r="AU205" s="69"/>
      <c r="AV205" s="69"/>
    </row>
    <row r="206">
      <c r="P206" s="69"/>
      <c r="Q206" s="69"/>
      <c r="AT206" s="69"/>
      <c r="AU206" s="69"/>
      <c r="AV206" s="69"/>
    </row>
    <row r="207">
      <c r="P207" s="69"/>
      <c r="Q207" s="69"/>
      <c r="AT207" s="69"/>
      <c r="AU207" s="69"/>
      <c r="AV207" s="69"/>
    </row>
    <row r="208">
      <c r="P208" s="69"/>
      <c r="Q208" s="69"/>
      <c r="AT208" s="69"/>
      <c r="AU208" s="69"/>
      <c r="AV208" s="69"/>
    </row>
    <row r="209">
      <c r="P209" s="69"/>
      <c r="Q209" s="69"/>
      <c r="AT209" s="69"/>
      <c r="AU209" s="69"/>
      <c r="AV209" s="69"/>
    </row>
    <row r="210">
      <c r="P210" s="69"/>
      <c r="Q210" s="69"/>
      <c r="AT210" s="69"/>
      <c r="AU210" s="69"/>
      <c r="AV210" s="69"/>
    </row>
    <row r="211">
      <c r="P211" s="69"/>
      <c r="Q211" s="69"/>
      <c r="AT211" s="69"/>
      <c r="AU211" s="69"/>
      <c r="AV211" s="69"/>
    </row>
    <row r="212">
      <c r="P212" s="69"/>
      <c r="Q212" s="69"/>
      <c r="AT212" s="69"/>
      <c r="AU212" s="69"/>
      <c r="AV212" s="69"/>
    </row>
    <row r="213">
      <c r="P213" s="69"/>
      <c r="Q213" s="69"/>
      <c r="AT213" s="69"/>
      <c r="AU213" s="69"/>
      <c r="AV213" s="69"/>
    </row>
    <row r="214">
      <c r="P214" s="69"/>
      <c r="Q214" s="69"/>
      <c r="AT214" s="69"/>
      <c r="AU214" s="69"/>
      <c r="AV214" s="69"/>
    </row>
    <row r="215">
      <c r="P215" s="69"/>
      <c r="Q215" s="69"/>
      <c r="AT215" s="69"/>
      <c r="AU215" s="69"/>
      <c r="AV215" s="69"/>
    </row>
    <row r="216">
      <c r="P216" s="69"/>
      <c r="Q216" s="69"/>
      <c r="AT216" s="69"/>
      <c r="AU216" s="69"/>
      <c r="AV216" s="69"/>
    </row>
    <row r="217">
      <c r="P217" s="69"/>
      <c r="Q217" s="69"/>
      <c r="AT217" s="69"/>
      <c r="AU217" s="69"/>
      <c r="AV217" s="69"/>
    </row>
    <row r="218">
      <c r="P218" s="69"/>
      <c r="Q218" s="69"/>
      <c r="AT218" s="69"/>
      <c r="AU218" s="69"/>
      <c r="AV218" s="69"/>
    </row>
    <row r="219">
      <c r="P219" s="69"/>
      <c r="Q219" s="69"/>
      <c r="AT219" s="69"/>
      <c r="AU219" s="69"/>
      <c r="AV219" s="69"/>
    </row>
    <row r="220">
      <c r="P220" s="69"/>
      <c r="Q220" s="69"/>
      <c r="AT220" s="69"/>
      <c r="AU220" s="69"/>
      <c r="AV220" s="69"/>
    </row>
    <row r="221">
      <c r="P221" s="69"/>
      <c r="Q221" s="69"/>
      <c r="AT221" s="69"/>
      <c r="AU221" s="69"/>
      <c r="AV221" s="69"/>
    </row>
    <row r="222">
      <c r="P222" s="69"/>
      <c r="Q222" s="69"/>
      <c r="AT222" s="69"/>
      <c r="AU222" s="69"/>
      <c r="AV222" s="69"/>
    </row>
    <row r="223">
      <c r="P223" s="69"/>
      <c r="Q223" s="69"/>
      <c r="AT223" s="69"/>
      <c r="AU223" s="69"/>
      <c r="AV223" s="69"/>
    </row>
    <row r="224">
      <c r="P224" s="69"/>
      <c r="Q224" s="69"/>
      <c r="AT224" s="69"/>
      <c r="AU224" s="69"/>
      <c r="AV224" s="69"/>
    </row>
    <row r="225">
      <c r="P225" s="69"/>
      <c r="Q225" s="69"/>
      <c r="AT225" s="69"/>
      <c r="AU225" s="69"/>
      <c r="AV225" s="69"/>
    </row>
    <row r="226">
      <c r="P226" s="69"/>
      <c r="Q226" s="69"/>
      <c r="AT226" s="69"/>
      <c r="AU226" s="69"/>
      <c r="AV226" s="69"/>
    </row>
    <row r="227">
      <c r="P227" s="69"/>
      <c r="Q227" s="69"/>
      <c r="AT227" s="69"/>
      <c r="AU227" s="69"/>
      <c r="AV227" s="69"/>
    </row>
    <row r="228">
      <c r="P228" s="69"/>
      <c r="Q228" s="69"/>
      <c r="AT228" s="69"/>
      <c r="AU228" s="69"/>
      <c r="AV228" s="69"/>
    </row>
    <row r="229">
      <c r="P229" s="69"/>
      <c r="Q229" s="69"/>
      <c r="AT229" s="69"/>
      <c r="AU229" s="69"/>
      <c r="AV229" s="69"/>
    </row>
    <row r="230">
      <c r="P230" s="69"/>
      <c r="Q230" s="69"/>
      <c r="AT230" s="69"/>
      <c r="AU230" s="69"/>
      <c r="AV230" s="69"/>
    </row>
    <row r="231">
      <c r="P231" s="69"/>
      <c r="Q231" s="69"/>
      <c r="AT231" s="69"/>
      <c r="AU231" s="69"/>
      <c r="AV231" s="69"/>
    </row>
    <row r="232">
      <c r="P232" s="69"/>
      <c r="Q232" s="69"/>
      <c r="AT232" s="69"/>
      <c r="AU232" s="69"/>
      <c r="AV232" s="69"/>
    </row>
    <row r="233">
      <c r="P233" s="69"/>
      <c r="Q233" s="69"/>
      <c r="AT233" s="69"/>
      <c r="AU233" s="69"/>
      <c r="AV233" s="69"/>
    </row>
    <row r="234">
      <c r="P234" s="69"/>
      <c r="Q234" s="69"/>
      <c r="AT234" s="69"/>
      <c r="AU234" s="69"/>
      <c r="AV234" s="69"/>
    </row>
    <row r="235">
      <c r="P235" s="69"/>
      <c r="Q235" s="69"/>
      <c r="AT235" s="69"/>
      <c r="AU235" s="69"/>
      <c r="AV235" s="69"/>
    </row>
    <row r="236">
      <c r="P236" s="69"/>
      <c r="Q236" s="69"/>
      <c r="AT236" s="69"/>
      <c r="AU236" s="69"/>
      <c r="AV236" s="69"/>
    </row>
    <row r="237">
      <c r="P237" s="69"/>
      <c r="Q237" s="69"/>
      <c r="AT237" s="69"/>
      <c r="AU237" s="69"/>
      <c r="AV237" s="69"/>
    </row>
    <row r="238">
      <c r="P238" s="69"/>
      <c r="Q238" s="69"/>
      <c r="AT238" s="69"/>
      <c r="AU238" s="69"/>
      <c r="AV238" s="69"/>
    </row>
    <row r="239">
      <c r="P239" s="69"/>
      <c r="Q239" s="69"/>
      <c r="AT239" s="69"/>
      <c r="AU239" s="69"/>
      <c r="AV239" s="69"/>
    </row>
    <row r="240">
      <c r="P240" s="69"/>
      <c r="Q240" s="69"/>
      <c r="AT240" s="69"/>
      <c r="AU240" s="69"/>
      <c r="AV240" s="69"/>
    </row>
    <row r="241">
      <c r="P241" s="69"/>
      <c r="Q241" s="69"/>
      <c r="AT241" s="69"/>
      <c r="AU241" s="69"/>
      <c r="AV241" s="69"/>
    </row>
    <row r="242">
      <c r="P242" s="69"/>
      <c r="Q242" s="69"/>
      <c r="AT242" s="69"/>
      <c r="AU242" s="69"/>
      <c r="AV242" s="69"/>
    </row>
    <row r="243">
      <c r="P243" s="69"/>
      <c r="Q243" s="69"/>
      <c r="AT243" s="69"/>
      <c r="AU243" s="69"/>
      <c r="AV243" s="69"/>
    </row>
    <row r="244">
      <c r="P244" s="69"/>
      <c r="Q244" s="69"/>
      <c r="AT244" s="69"/>
      <c r="AU244" s="69"/>
      <c r="AV244" s="69"/>
    </row>
    <row r="245">
      <c r="P245" s="69"/>
      <c r="Q245" s="69"/>
      <c r="AT245" s="69"/>
      <c r="AU245" s="69"/>
      <c r="AV245" s="69"/>
    </row>
    <row r="246">
      <c r="P246" s="69"/>
      <c r="Q246" s="69"/>
      <c r="AT246" s="69"/>
      <c r="AU246" s="69"/>
      <c r="AV246" s="69"/>
    </row>
    <row r="247">
      <c r="P247" s="69"/>
      <c r="Q247" s="69"/>
      <c r="AT247" s="69"/>
      <c r="AU247" s="69"/>
      <c r="AV247" s="69"/>
    </row>
    <row r="248">
      <c r="P248" s="69"/>
      <c r="Q248" s="69"/>
      <c r="AT248" s="69"/>
      <c r="AU248" s="69"/>
      <c r="AV248" s="69"/>
    </row>
    <row r="249">
      <c r="P249" s="69"/>
      <c r="Q249" s="69"/>
      <c r="AT249" s="69"/>
      <c r="AU249" s="69"/>
      <c r="AV249" s="69"/>
    </row>
    <row r="250">
      <c r="P250" s="69"/>
      <c r="Q250" s="69"/>
      <c r="AT250" s="69"/>
      <c r="AU250" s="69"/>
      <c r="AV250" s="69"/>
    </row>
    <row r="251">
      <c r="P251" s="69"/>
      <c r="Q251" s="69"/>
      <c r="AT251" s="69"/>
      <c r="AU251" s="69"/>
      <c r="AV251" s="69"/>
    </row>
    <row r="252">
      <c r="P252" s="69"/>
      <c r="Q252" s="69"/>
      <c r="AT252" s="69"/>
      <c r="AU252" s="69"/>
      <c r="AV252" s="69"/>
    </row>
    <row r="253">
      <c r="P253" s="69"/>
      <c r="Q253" s="69"/>
      <c r="AT253" s="69"/>
      <c r="AU253" s="69"/>
      <c r="AV253" s="69"/>
    </row>
    <row r="254">
      <c r="P254" s="69"/>
      <c r="Q254" s="69"/>
      <c r="AT254" s="69"/>
      <c r="AU254" s="69"/>
      <c r="AV254" s="69"/>
    </row>
    <row r="255">
      <c r="P255" s="69"/>
      <c r="Q255" s="69"/>
      <c r="AT255" s="69"/>
      <c r="AU255" s="69"/>
      <c r="AV255" s="69"/>
    </row>
    <row r="256">
      <c r="P256" s="69"/>
      <c r="Q256" s="69"/>
      <c r="AT256" s="69"/>
      <c r="AU256" s="69"/>
      <c r="AV256" s="69"/>
    </row>
    <row r="257">
      <c r="P257" s="69"/>
      <c r="Q257" s="69"/>
      <c r="AT257" s="69"/>
      <c r="AU257" s="69"/>
      <c r="AV257" s="69"/>
    </row>
    <row r="258">
      <c r="P258" s="69"/>
      <c r="Q258" s="69"/>
      <c r="AT258" s="69"/>
      <c r="AU258" s="69"/>
      <c r="AV258" s="69"/>
    </row>
    <row r="259">
      <c r="P259" s="69"/>
      <c r="Q259" s="69"/>
      <c r="AT259" s="69"/>
      <c r="AU259" s="69"/>
      <c r="AV259" s="69"/>
    </row>
    <row r="260">
      <c r="P260" s="69"/>
      <c r="Q260" s="69"/>
      <c r="AT260" s="69"/>
      <c r="AU260" s="69"/>
      <c r="AV260" s="69"/>
    </row>
    <row r="261">
      <c r="P261" s="69"/>
      <c r="Q261" s="69"/>
      <c r="AT261" s="69"/>
      <c r="AU261" s="69"/>
      <c r="AV261" s="69"/>
    </row>
    <row r="262">
      <c r="P262" s="69"/>
      <c r="Q262" s="69"/>
      <c r="AT262" s="69"/>
      <c r="AU262" s="69"/>
      <c r="AV262" s="69"/>
    </row>
    <row r="263">
      <c r="P263" s="69"/>
      <c r="Q263" s="69"/>
      <c r="AT263" s="69"/>
      <c r="AU263" s="69"/>
      <c r="AV263" s="69"/>
    </row>
    <row r="264">
      <c r="P264" s="69"/>
      <c r="Q264" s="69"/>
      <c r="AT264" s="69"/>
      <c r="AU264" s="69"/>
      <c r="AV264" s="69"/>
    </row>
    <row r="265">
      <c r="P265" s="69"/>
      <c r="Q265" s="69"/>
      <c r="AT265" s="69"/>
      <c r="AU265" s="69"/>
      <c r="AV265" s="69"/>
    </row>
    <row r="266">
      <c r="P266" s="69"/>
      <c r="Q266" s="69"/>
      <c r="AT266" s="69"/>
      <c r="AU266" s="69"/>
      <c r="AV266" s="69"/>
    </row>
    <row r="267">
      <c r="P267" s="69"/>
      <c r="Q267" s="69"/>
      <c r="AT267" s="69"/>
      <c r="AU267" s="69"/>
      <c r="AV267" s="69"/>
    </row>
    <row r="268">
      <c r="P268" s="69"/>
      <c r="Q268" s="69"/>
      <c r="AT268" s="69"/>
      <c r="AU268" s="69"/>
      <c r="AV268" s="69"/>
    </row>
    <row r="269">
      <c r="P269" s="69"/>
      <c r="Q269" s="69"/>
      <c r="AT269" s="69"/>
      <c r="AU269" s="69"/>
      <c r="AV269" s="69"/>
    </row>
    <row r="270">
      <c r="P270" s="69"/>
      <c r="Q270" s="69"/>
      <c r="AT270" s="69"/>
      <c r="AU270" s="69"/>
      <c r="AV270" s="69"/>
    </row>
    <row r="271">
      <c r="P271" s="69"/>
      <c r="Q271" s="69"/>
      <c r="AT271" s="69"/>
      <c r="AU271" s="69"/>
      <c r="AV271" s="69"/>
    </row>
    <row r="272">
      <c r="P272" s="69"/>
      <c r="Q272" s="69"/>
      <c r="AT272" s="69"/>
      <c r="AU272" s="69"/>
      <c r="AV272" s="69"/>
    </row>
    <row r="273">
      <c r="P273" s="69"/>
      <c r="Q273" s="69"/>
      <c r="AT273" s="69"/>
      <c r="AU273" s="69"/>
      <c r="AV273" s="69"/>
    </row>
    <row r="274">
      <c r="P274" s="69"/>
      <c r="Q274" s="69"/>
      <c r="AT274" s="69"/>
      <c r="AU274" s="69"/>
      <c r="AV274" s="69"/>
    </row>
    <row r="275">
      <c r="P275" s="69"/>
      <c r="Q275" s="69"/>
      <c r="AT275" s="69"/>
      <c r="AU275" s="69"/>
      <c r="AV275" s="69"/>
    </row>
    <row r="276">
      <c r="P276" s="69"/>
      <c r="Q276" s="69"/>
      <c r="AT276" s="69"/>
      <c r="AU276" s="69"/>
      <c r="AV276" s="69"/>
    </row>
    <row r="277">
      <c r="P277" s="69"/>
      <c r="Q277" s="69"/>
      <c r="AT277" s="69"/>
      <c r="AU277" s="69"/>
      <c r="AV277" s="69"/>
    </row>
    <row r="278">
      <c r="P278" s="69"/>
      <c r="Q278" s="69"/>
      <c r="AT278" s="69"/>
      <c r="AU278" s="69"/>
      <c r="AV278" s="69"/>
    </row>
    <row r="279">
      <c r="P279" s="69"/>
      <c r="Q279" s="69"/>
      <c r="AT279" s="69"/>
      <c r="AU279" s="69"/>
      <c r="AV279" s="69"/>
    </row>
    <row r="280">
      <c r="P280" s="69"/>
      <c r="Q280" s="69"/>
      <c r="AT280" s="69"/>
      <c r="AU280" s="69"/>
      <c r="AV280" s="69"/>
    </row>
    <row r="281">
      <c r="P281" s="69"/>
      <c r="Q281" s="69"/>
      <c r="AT281" s="69"/>
      <c r="AU281" s="69"/>
      <c r="AV281" s="69"/>
    </row>
    <row r="282">
      <c r="P282" s="69"/>
      <c r="Q282" s="69"/>
      <c r="AT282" s="69"/>
      <c r="AU282" s="69"/>
      <c r="AV282" s="69"/>
    </row>
    <row r="283">
      <c r="P283" s="69"/>
      <c r="Q283" s="69"/>
      <c r="AT283" s="69"/>
      <c r="AU283" s="69"/>
      <c r="AV283" s="69"/>
    </row>
    <row r="284">
      <c r="P284" s="69"/>
      <c r="Q284" s="69"/>
      <c r="AT284" s="69"/>
      <c r="AU284" s="69"/>
      <c r="AV284" s="69"/>
    </row>
    <row r="285">
      <c r="P285" s="69"/>
      <c r="Q285" s="69"/>
      <c r="AT285" s="69"/>
      <c r="AU285" s="69"/>
      <c r="AV285" s="69"/>
    </row>
    <row r="286">
      <c r="P286" s="69"/>
      <c r="Q286" s="69"/>
      <c r="AT286" s="69"/>
      <c r="AU286" s="69"/>
      <c r="AV286" s="69"/>
    </row>
    <row r="287">
      <c r="P287" s="69"/>
      <c r="Q287" s="69"/>
      <c r="AT287" s="69"/>
      <c r="AU287" s="69"/>
      <c r="AV287" s="69"/>
    </row>
    <row r="288">
      <c r="P288" s="69"/>
      <c r="Q288" s="69"/>
      <c r="AT288" s="69"/>
      <c r="AU288" s="69"/>
      <c r="AV288" s="69"/>
    </row>
    <row r="289">
      <c r="P289" s="69"/>
      <c r="Q289" s="69"/>
      <c r="AT289" s="69"/>
      <c r="AU289" s="69"/>
      <c r="AV289" s="69"/>
    </row>
    <row r="290">
      <c r="P290" s="69"/>
      <c r="Q290" s="69"/>
      <c r="AT290" s="69"/>
      <c r="AU290" s="69"/>
      <c r="AV290" s="69"/>
    </row>
    <row r="291">
      <c r="P291" s="69"/>
      <c r="Q291" s="69"/>
      <c r="AT291" s="69"/>
      <c r="AU291" s="69"/>
      <c r="AV291" s="69"/>
    </row>
    <row r="292">
      <c r="P292" s="69"/>
      <c r="Q292" s="69"/>
      <c r="AT292" s="69"/>
      <c r="AU292" s="69"/>
      <c r="AV292" s="69"/>
    </row>
    <row r="293">
      <c r="P293" s="69"/>
      <c r="Q293" s="69"/>
      <c r="AT293" s="69"/>
      <c r="AU293" s="69"/>
      <c r="AV293" s="69"/>
    </row>
    <row r="294">
      <c r="P294" s="69"/>
      <c r="Q294" s="69"/>
      <c r="AT294" s="69"/>
      <c r="AU294" s="69"/>
      <c r="AV294" s="69"/>
    </row>
    <row r="295">
      <c r="P295" s="69"/>
      <c r="Q295" s="69"/>
      <c r="AT295" s="69"/>
      <c r="AU295" s="69"/>
      <c r="AV295" s="69"/>
    </row>
    <row r="296">
      <c r="P296" s="69"/>
      <c r="Q296" s="69"/>
      <c r="AT296" s="69"/>
      <c r="AU296" s="69"/>
      <c r="AV296" s="69"/>
    </row>
    <row r="297">
      <c r="P297" s="69"/>
      <c r="Q297" s="69"/>
      <c r="AT297" s="69"/>
      <c r="AU297" s="69"/>
      <c r="AV297" s="69"/>
    </row>
    <row r="298">
      <c r="P298" s="69"/>
      <c r="Q298" s="69"/>
      <c r="AT298" s="69"/>
      <c r="AU298" s="69"/>
      <c r="AV298" s="69"/>
    </row>
    <row r="299">
      <c r="P299" s="69"/>
      <c r="Q299" s="69"/>
      <c r="AT299" s="69"/>
      <c r="AU299" s="69"/>
      <c r="AV299" s="69"/>
    </row>
    <row r="300">
      <c r="P300" s="69"/>
      <c r="Q300" s="69"/>
      <c r="AT300" s="69"/>
      <c r="AU300" s="69"/>
      <c r="AV300" s="69"/>
    </row>
    <row r="301">
      <c r="P301" s="69"/>
      <c r="Q301" s="69"/>
      <c r="AT301" s="69"/>
      <c r="AU301" s="69"/>
      <c r="AV301" s="69"/>
    </row>
    <row r="302">
      <c r="P302" s="69"/>
      <c r="Q302" s="69"/>
      <c r="AT302" s="69"/>
      <c r="AU302" s="69"/>
      <c r="AV302" s="69"/>
    </row>
    <row r="303">
      <c r="P303" s="69"/>
      <c r="Q303" s="69"/>
      <c r="AT303" s="69"/>
      <c r="AU303" s="69"/>
      <c r="AV303" s="69"/>
    </row>
    <row r="304">
      <c r="P304" s="69"/>
      <c r="Q304" s="69"/>
      <c r="AT304" s="69"/>
      <c r="AU304" s="69"/>
      <c r="AV304" s="69"/>
    </row>
    <row r="305">
      <c r="P305" s="69"/>
      <c r="Q305" s="69"/>
      <c r="AT305" s="69"/>
      <c r="AU305" s="69"/>
      <c r="AV305" s="69"/>
    </row>
    <row r="306">
      <c r="P306" s="69"/>
      <c r="Q306" s="69"/>
      <c r="AT306" s="69"/>
      <c r="AU306" s="69"/>
      <c r="AV306" s="69"/>
    </row>
    <row r="307">
      <c r="P307" s="69"/>
      <c r="Q307" s="69"/>
      <c r="AT307" s="69"/>
      <c r="AU307" s="69"/>
      <c r="AV307" s="69"/>
    </row>
    <row r="308">
      <c r="P308" s="69"/>
      <c r="Q308" s="69"/>
      <c r="AT308" s="69"/>
      <c r="AU308" s="69"/>
      <c r="AV308" s="69"/>
    </row>
    <row r="309">
      <c r="P309" s="69"/>
      <c r="Q309" s="69"/>
      <c r="AT309" s="69"/>
      <c r="AU309" s="69"/>
      <c r="AV309" s="69"/>
    </row>
    <row r="310">
      <c r="P310" s="69"/>
      <c r="Q310" s="69"/>
      <c r="AT310" s="69"/>
      <c r="AU310" s="69"/>
      <c r="AV310" s="69"/>
    </row>
    <row r="311">
      <c r="P311" s="69"/>
      <c r="Q311" s="69"/>
      <c r="AT311" s="69"/>
      <c r="AU311" s="69"/>
      <c r="AV311" s="69"/>
    </row>
    <row r="312">
      <c r="P312" s="69"/>
      <c r="Q312" s="69"/>
      <c r="AT312" s="69"/>
      <c r="AU312" s="69"/>
      <c r="AV312" s="69"/>
    </row>
    <row r="313">
      <c r="P313" s="69"/>
      <c r="Q313" s="69"/>
      <c r="AT313" s="69"/>
      <c r="AU313" s="69"/>
      <c r="AV313" s="69"/>
    </row>
    <row r="314">
      <c r="P314" s="69"/>
      <c r="Q314" s="69"/>
      <c r="AT314" s="69"/>
      <c r="AU314" s="69"/>
      <c r="AV314" s="69"/>
    </row>
    <row r="315">
      <c r="P315" s="69"/>
      <c r="Q315" s="69"/>
      <c r="AT315" s="69"/>
      <c r="AU315" s="69"/>
      <c r="AV315" s="69"/>
    </row>
    <row r="316">
      <c r="P316" s="69"/>
      <c r="Q316" s="69"/>
      <c r="AT316" s="69"/>
      <c r="AU316" s="69"/>
      <c r="AV316" s="69"/>
    </row>
    <row r="317">
      <c r="P317" s="69"/>
      <c r="Q317" s="69"/>
      <c r="AT317" s="69"/>
      <c r="AU317" s="69"/>
      <c r="AV317" s="69"/>
    </row>
    <row r="318">
      <c r="P318" s="69"/>
      <c r="Q318" s="69"/>
      <c r="AT318" s="69"/>
      <c r="AU318" s="69"/>
      <c r="AV318" s="69"/>
    </row>
    <row r="319">
      <c r="P319" s="69"/>
      <c r="Q319" s="69"/>
      <c r="AT319" s="69"/>
      <c r="AU319" s="69"/>
      <c r="AV319" s="69"/>
    </row>
    <row r="320">
      <c r="P320" s="69"/>
      <c r="Q320" s="69"/>
      <c r="AT320" s="69"/>
      <c r="AU320" s="69"/>
      <c r="AV320" s="69"/>
    </row>
    <row r="321">
      <c r="P321" s="69"/>
      <c r="Q321" s="69"/>
      <c r="AT321" s="69"/>
      <c r="AU321" s="69"/>
      <c r="AV321" s="69"/>
    </row>
    <row r="322">
      <c r="P322" s="69"/>
      <c r="Q322" s="69"/>
      <c r="AT322" s="69"/>
      <c r="AU322" s="69"/>
      <c r="AV322" s="69"/>
    </row>
    <row r="323">
      <c r="P323" s="69"/>
      <c r="Q323" s="69"/>
      <c r="AT323" s="69"/>
      <c r="AU323" s="69"/>
      <c r="AV323" s="69"/>
    </row>
    <row r="324">
      <c r="P324" s="69"/>
      <c r="Q324" s="69"/>
      <c r="AT324" s="69"/>
      <c r="AU324" s="69"/>
      <c r="AV324" s="69"/>
    </row>
    <row r="325">
      <c r="P325" s="69"/>
      <c r="Q325" s="69"/>
      <c r="AT325" s="69"/>
      <c r="AU325" s="69"/>
      <c r="AV325" s="69"/>
    </row>
    <row r="326">
      <c r="P326" s="69"/>
      <c r="Q326" s="69"/>
      <c r="AT326" s="69"/>
      <c r="AU326" s="69"/>
      <c r="AV326" s="69"/>
    </row>
    <row r="327">
      <c r="P327" s="69"/>
      <c r="Q327" s="69"/>
      <c r="AT327" s="69"/>
      <c r="AU327" s="69"/>
      <c r="AV327" s="69"/>
    </row>
    <row r="328">
      <c r="P328" s="69"/>
      <c r="Q328" s="69"/>
      <c r="AT328" s="69"/>
      <c r="AU328" s="69"/>
      <c r="AV328" s="69"/>
    </row>
    <row r="329">
      <c r="P329" s="69"/>
      <c r="Q329" s="69"/>
      <c r="AT329" s="69"/>
      <c r="AU329" s="69"/>
      <c r="AV329" s="69"/>
    </row>
    <row r="330">
      <c r="P330" s="69"/>
      <c r="Q330" s="69"/>
      <c r="AT330" s="69"/>
      <c r="AU330" s="69"/>
      <c r="AV330" s="69"/>
    </row>
    <row r="331">
      <c r="P331" s="69"/>
      <c r="Q331" s="69"/>
      <c r="AT331" s="69"/>
      <c r="AU331" s="69"/>
      <c r="AV331" s="69"/>
    </row>
    <row r="332">
      <c r="P332" s="69"/>
      <c r="Q332" s="69"/>
      <c r="AT332" s="69"/>
      <c r="AU332" s="69"/>
      <c r="AV332" s="69"/>
    </row>
    <row r="333">
      <c r="P333" s="69"/>
      <c r="Q333" s="69"/>
      <c r="AT333" s="69"/>
      <c r="AU333" s="69"/>
      <c r="AV333" s="69"/>
    </row>
    <row r="334">
      <c r="P334" s="69"/>
      <c r="Q334" s="69"/>
      <c r="AT334" s="69"/>
      <c r="AU334" s="69"/>
      <c r="AV334" s="69"/>
    </row>
    <row r="335">
      <c r="P335" s="69"/>
      <c r="Q335" s="69"/>
      <c r="AT335" s="69"/>
      <c r="AU335" s="69"/>
      <c r="AV335" s="69"/>
    </row>
    <row r="336">
      <c r="P336" s="69"/>
      <c r="Q336" s="69"/>
      <c r="AT336" s="69"/>
      <c r="AU336" s="69"/>
      <c r="AV336" s="69"/>
    </row>
    <row r="337">
      <c r="P337" s="69"/>
      <c r="Q337" s="69"/>
      <c r="AT337" s="69"/>
      <c r="AU337" s="69"/>
      <c r="AV337" s="69"/>
    </row>
    <row r="338">
      <c r="P338" s="69"/>
      <c r="Q338" s="69"/>
      <c r="AT338" s="69"/>
      <c r="AU338" s="69"/>
      <c r="AV338" s="69"/>
    </row>
    <row r="339">
      <c r="P339" s="69"/>
      <c r="Q339" s="69"/>
      <c r="AT339" s="69"/>
      <c r="AU339" s="69"/>
      <c r="AV339" s="69"/>
    </row>
    <row r="340">
      <c r="P340" s="69"/>
      <c r="Q340" s="69"/>
      <c r="AT340" s="69"/>
      <c r="AU340" s="69"/>
      <c r="AV340" s="69"/>
    </row>
    <row r="341">
      <c r="P341" s="69"/>
      <c r="Q341" s="69"/>
      <c r="AT341" s="69"/>
      <c r="AU341" s="69"/>
      <c r="AV341" s="69"/>
    </row>
    <row r="342">
      <c r="P342" s="69"/>
      <c r="Q342" s="69"/>
      <c r="AT342" s="69"/>
      <c r="AU342" s="69"/>
      <c r="AV342" s="69"/>
    </row>
    <row r="343">
      <c r="P343" s="69"/>
      <c r="Q343" s="69"/>
      <c r="AT343" s="69"/>
      <c r="AU343" s="69"/>
      <c r="AV343" s="69"/>
    </row>
    <row r="344">
      <c r="P344" s="69"/>
      <c r="Q344" s="69"/>
      <c r="AT344" s="69"/>
      <c r="AU344" s="69"/>
      <c r="AV344" s="69"/>
    </row>
    <row r="345">
      <c r="P345" s="69"/>
      <c r="Q345" s="69"/>
      <c r="AT345" s="69"/>
      <c r="AU345" s="69"/>
      <c r="AV345" s="69"/>
    </row>
    <row r="346">
      <c r="P346" s="69"/>
      <c r="Q346" s="69"/>
      <c r="AT346" s="69"/>
      <c r="AU346" s="69"/>
      <c r="AV346" s="69"/>
    </row>
    <row r="347">
      <c r="P347" s="69"/>
      <c r="Q347" s="69"/>
      <c r="AT347" s="69"/>
      <c r="AU347" s="69"/>
      <c r="AV347" s="69"/>
    </row>
    <row r="348">
      <c r="P348" s="69"/>
      <c r="Q348" s="69"/>
      <c r="AT348" s="69"/>
      <c r="AU348" s="69"/>
      <c r="AV348" s="69"/>
    </row>
    <row r="349">
      <c r="P349" s="69"/>
      <c r="Q349" s="69"/>
      <c r="AT349" s="69"/>
      <c r="AU349" s="69"/>
      <c r="AV349" s="69"/>
    </row>
    <row r="350">
      <c r="P350" s="69"/>
      <c r="Q350" s="69"/>
      <c r="AT350" s="69"/>
      <c r="AU350" s="69"/>
      <c r="AV350" s="69"/>
    </row>
    <row r="351">
      <c r="P351" s="69"/>
      <c r="Q351" s="69"/>
      <c r="AT351" s="69"/>
      <c r="AU351" s="69"/>
      <c r="AV351" s="69"/>
    </row>
    <row r="352">
      <c r="P352" s="69"/>
      <c r="Q352" s="69"/>
      <c r="AT352" s="69"/>
      <c r="AU352" s="69"/>
      <c r="AV352" s="69"/>
    </row>
    <row r="353">
      <c r="P353" s="69"/>
      <c r="Q353" s="69"/>
      <c r="AT353" s="69"/>
      <c r="AU353" s="69"/>
      <c r="AV353" s="69"/>
    </row>
    <row r="354">
      <c r="P354" s="69"/>
      <c r="Q354" s="69"/>
      <c r="AT354" s="69"/>
      <c r="AU354" s="69"/>
      <c r="AV354" s="69"/>
    </row>
    <row r="355">
      <c r="P355" s="69"/>
      <c r="Q355" s="69"/>
      <c r="AT355" s="69"/>
      <c r="AU355" s="69"/>
      <c r="AV355" s="69"/>
    </row>
    <row r="356">
      <c r="P356" s="69"/>
      <c r="Q356" s="69"/>
      <c r="AT356" s="69"/>
      <c r="AU356" s="69"/>
      <c r="AV356" s="69"/>
    </row>
    <row r="357">
      <c r="P357" s="69"/>
      <c r="Q357" s="69"/>
      <c r="AT357" s="69"/>
      <c r="AU357" s="69"/>
      <c r="AV357" s="69"/>
    </row>
    <row r="358">
      <c r="P358" s="69"/>
      <c r="Q358" s="69"/>
      <c r="AT358" s="69"/>
      <c r="AU358" s="69"/>
      <c r="AV358" s="69"/>
    </row>
    <row r="359">
      <c r="P359" s="69"/>
      <c r="Q359" s="69"/>
      <c r="AT359" s="69"/>
      <c r="AU359" s="69"/>
      <c r="AV359" s="69"/>
    </row>
    <row r="360">
      <c r="P360" s="69"/>
      <c r="Q360" s="69"/>
      <c r="AT360" s="69"/>
      <c r="AU360" s="69"/>
      <c r="AV360" s="69"/>
    </row>
    <row r="361">
      <c r="P361" s="69"/>
      <c r="Q361" s="69"/>
      <c r="AT361" s="69"/>
      <c r="AU361" s="69"/>
      <c r="AV361" s="69"/>
    </row>
    <row r="362">
      <c r="P362" s="69"/>
      <c r="Q362" s="69"/>
      <c r="AT362" s="69"/>
      <c r="AU362" s="69"/>
      <c r="AV362" s="69"/>
    </row>
    <row r="363">
      <c r="P363" s="69"/>
      <c r="Q363" s="69"/>
      <c r="AT363" s="69"/>
      <c r="AU363" s="69"/>
      <c r="AV363" s="69"/>
    </row>
    <row r="364">
      <c r="P364" s="69"/>
      <c r="Q364" s="69"/>
      <c r="AT364" s="69"/>
      <c r="AU364" s="69"/>
      <c r="AV364" s="69"/>
    </row>
    <row r="365">
      <c r="P365" s="69"/>
      <c r="Q365" s="69"/>
      <c r="AT365" s="69"/>
      <c r="AU365" s="69"/>
      <c r="AV365" s="69"/>
    </row>
    <row r="366">
      <c r="P366" s="69"/>
      <c r="Q366" s="69"/>
      <c r="AT366" s="69"/>
      <c r="AU366" s="69"/>
      <c r="AV366" s="69"/>
    </row>
    <row r="367">
      <c r="P367" s="69"/>
      <c r="Q367" s="69"/>
      <c r="AT367" s="69"/>
      <c r="AU367" s="69"/>
      <c r="AV367" s="69"/>
    </row>
    <row r="368">
      <c r="P368" s="69"/>
      <c r="Q368" s="69"/>
      <c r="AT368" s="69"/>
      <c r="AU368" s="69"/>
      <c r="AV368" s="69"/>
    </row>
    <row r="369">
      <c r="P369" s="69"/>
      <c r="Q369" s="69"/>
      <c r="AT369" s="69"/>
      <c r="AU369" s="69"/>
      <c r="AV369" s="69"/>
    </row>
    <row r="370">
      <c r="P370" s="69"/>
      <c r="Q370" s="69"/>
      <c r="AT370" s="69"/>
      <c r="AU370" s="69"/>
      <c r="AV370" s="69"/>
    </row>
    <row r="371">
      <c r="P371" s="69"/>
      <c r="Q371" s="69"/>
      <c r="AT371" s="69"/>
      <c r="AU371" s="69"/>
      <c r="AV371" s="69"/>
    </row>
    <row r="372">
      <c r="P372" s="69"/>
      <c r="Q372" s="69"/>
      <c r="AT372" s="69"/>
      <c r="AU372" s="69"/>
      <c r="AV372" s="69"/>
    </row>
    <row r="373">
      <c r="P373" s="69"/>
      <c r="Q373" s="69"/>
      <c r="AT373" s="69"/>
      <c r="AU373" s="69"/>
      <c r="AV373" s="69"/>
    </row>
    <row r="374">
      <c r="P374" s="69"/>
      <c r="Q374" s="69"/>
      <c r="AT374" s="69"/>
      <c r="AU374" s="69"/>
      <c r="AV374" s="69"/>
    </row>
    <row r="375">
      <c r="P375" s="69"/>
      <c r="Q375" s="69"/>
      <c r="AT375" s="69"/>
      <c r="AU375" s="69"/>
      <c r="AV375" s="69"/>
    </row>
    <row r="376">
      <c r="P376" s="69"/>
      <c r="Q376" s="69"/>
      <c r="AT376" s="69"/>
      <c r="AU376" s="69"/>
      <c r="AV376" s="69"/>
    </row>
    <row r="377">
      <c r="P377" s="69"/>
      <c r="Q377" s="69"/>
      <c r="AT377" s="69"/>
      <c r="AU377" s="69"/>
      <c r="AV377" s="69"/>
    </row>
    <row r="378">
      <c r="P378" s="69"/>
      <c r="Q378" s="69"/>
      <c r="AT378" s="69"/>
      <c r="AU378" s="69"/>
      <c r="AV378" s="69"/>
    </row>
    <row r="379">
      <c r="P379" s="69"/>
      <c r="Q379" s="69"/>
      <c r="AT379" s="69"/>
      <c r="AU379" s="69"/>
      <c r="AV379" s="69"/>
    </row>
    <row r="380">
      <c r="P380" s="69"/>
      <c r="Q380" s="69"/>
      <c r="AT380" s="69"/>
      <c r="AU380" s="69"/>
      <c r="AV380" s="69"/>
    </row>
    <row r="381">
      <c r="P381" s="69"/>
      <c r="Q381" s="69"/>
      <c r="AT381" s="69"/>
      <c r="AU381" s="69"/>
      <c r="AV381" s="69"/>
    </row>
    <row r="382">
      <c r="P382" s="69"/>
      <c r="Q382" s="69"/>
      <c r="AT382" s="69"/>
      <c r="AU382" s="69"/>
      <c r="AV382" s="69"/>
    </row>
    <row r="383">
      <c r="P383" s="69"/>
      <c r="Q383" s="69"/>
      <c r="AT383" s="69"/>
      <c r="AU383" s="69"/>
      <c r="AV383" s="69"/>
    </row>
    <row r="384">
      <c r="P384" s="69"/>
      <c r="Q384" s="69"/>
      <c r="AT384" s="69"/>
      <c r="AU384" s="69"/>
      <c r="AV384" s="69"/>
    </row>
    <row r="385">
      <c r="P385" s="69"/>
      <c r="Q385" s="69"/>
      <c r="AT385" s="69"/>
      <c r="AU385" s="69"/>
      <c r="AV385" s="69"/>
    </row>
    <row r="386">
      <c r="P386" s="69"/>
      <c r="Q386" s="69"/>
      <c r="AT386" s="69"/>
      <c r="AU386" s="69"/>
      <c r="AV386" s="69"/>
    </row>
    <row r="387">
      <c r="P387" s="69"/>
      <c r="Q387" s="69"/>
      <c r="AT387" s="69"/>
      <c r="AU387" s="69"/>
      <c r="AV387" s="69"/>
    </row>
    <row r="388">
      <c r="P388" s="69"/>
      <c r="Q388" s="69"/>
      <c r="AT388" s="69"/>
      <c r="AU388" s="69"/>
      <c r="AV388" s="69"/>
    </row>
    <row r="389">
      <c r="P389" s="69"/>
      <c r="Q389" s="69"/>
      <c r="AT389" s="69"/>
      <c r="AU389" s="69"/>
      <c r="AV389" s="69"/>
    </row>
    <row r="390">
      <c r="P390" s="69"/>
      <c r="Q390" s="69"/>
      <c r="AT390" s="69"/>
      <c r="AU390" s="69"/>
      <c r="AV390" s="69"/>
    </row>
    <row r="391">
      <c r="P391" s="69"/>
      <c r="Q391" s="69"/>
      <c r="AT391" s="69"/>
      <c r="AU391" s="69"/>
      <c r="AV391" s="69"/>
    </row>
    <row r="392">
      <c r="P392" s="69"/>
      <c r="Q392" s="69"/>
      <c r="AT392" s="69"/>
      <c r="AU392" s="69"/>
      <c r="AV392" s="69"/>
    </row>
    <row r="393">
      <c r="P393" s="69"/>
      <c r="Q393" s="69"/>
      <c r="AT393" s="69"/>
      <c r="AU393" s="69"/>
      <c r="AV393" s="69"/>
    </row>
    <row r="394">
      <c r="P394" s="69"/>
      <c r="Q394" s="69"/>
      <c r="AT394" s="69"/>
      <c r="AU394" s="69"/>
      <c r="AV394" s="69"/>
    </row>
    <row r="395">
      <c r="P395" s="69"/>
      <c r="Q395" s="69"/>
      <c r="AT395" s="69"/>
      <c r="AU395" s="69"/>
      <c r="AV395" s="69"/>
    </row>
    <row r="396">
      <c r="P396" s="69"/>
      <c r="Q396" s="69"/>
      <c r="AT396" s="69"/>
      <c r="AU396" s="69"/>
      <c r="AV396" s="69"/>
    </row>
    <row r="397">
      <c r="P397" s="69"/>
      <c r="Q397" s="69"/>
      <c r="AT397" s="69"/>
      <c r="AU397" s="69"/>
      <c r="AV397" s="69"/>
    </row>
    <row r="398">
      <c r="P398" s="69"/>
      <c r="Q398" s="69"/>
      <c r="AT398" s="69"/>
      <c r="AU398" s="69"/>
      <c r="AV398" s="69"/>
    </row>
    <row r="399">
      <c r="P399" s="69"/>
      <c r="Q399" s="69"/>
      <c r="AT399" s="69"/>
      <c r="AU399" s="69"/>
      <c r="AV399" s="69"/>
    </row>
    <row r="400">
      <c r="P400" s="69"/>
      <c r="Q400" s="69"/>
      <c r="AT400" s="69"/>
      <c r="AU400" s="69"/>
      <c r="AV400" s="69"/>
    </row>
    <row r="401">
      <c r="P401" s="69"/>
      <c r="Q401" s="69"/>
      <c r="AT401" s="69"/>
      <c r="AU401" s="69"/>
      <c r="AV401" s="69"/>
    </row>
    <row r="402">
      <c r="P402" s="69"/>
      <c r="Q402" s="69"/>
      <c r="AT402" s="69"/>
      <c r="AU402" s="69"/>
      <c r="AV402" s="69"/>
    </row>
    <row r="403">
      <c r="P403" s="69"/>
      <c r="Q403" s="69"/>
      <c r="AT403" s="69"/>
      <c r="AU403" s="69"/>
      <c r="AV403" s="69"/>
    </row>
    <row r="404">
      <c r="P404" s="69"/>
      <c r="Q404" s="69"/>
      <c r="AT404" s="69"/>
      <c r="AU404" s="69"/>
      <c r="AV404" s="69"/>
    </row>
    <row r="405">
      <c r="P405" s="69"/>
      <c r="Q405" s="69"/>
      <c r="AT405" s="69"/>
      <c r="AU405" s="69"/>
      <c r="AV405" s="69"/>
    </row>
    <row r="406">
      <c r="P406" s="69"/>
      <c r="Q406" s="69"/>
      <c r="AT406" s="69"/>
      <c r="AU406" s="69"/>
      <c r="AV406" s="69"/>
    </row>
    <row r="407">
      <c r="P407" s="69"/>
      <c r="Q407" s="69"/>
      <c r="AT407" s="69"/>
      <c r="AU407" s="69"/>
      <c r="AV407" s="69"/>
    </row>
    <row r="408">
      <c r="P408" s="69"/>
      <c r="Q408" s="69"/>
      <c r="AT408" s="69"/>
      <c r="AU408" s="69"/>
      <c r="AV408" s="69"/>
    </row>
    <row r="409">
      <c r="P409" s="69"/>
      <c r="Q409" s="69"/>
      <c r="AT409" s="69"/>
      <c r="AU409" s="69"/>
      <c r="AV409" s="69"/>
    </row>
    <row r="410">
      <c r="P410" s="69"/>
      <c r="Q410" s="69"/>
      <c r="AT410" s="69"/>
      <c r="AU410" s="69"/>
      <c r="AV410" s="69"/>
    </row>
    <row r="411">
      <c r="P411" s="69"/>
      <c r="Q411" s="69"/>
      <c r="AT411" s="69"/>
      <c r="AU411" s="69"/>
      <c r="AV411" s="69"/>
    </row>
    <row r="412">
      <c r="P412" s="69"/>
      <c r="Q412" s="69"/>
      <c r="AT412" s="69"/>
      <c r="AU412" s="69"/>
      <c r="AV412" s="69"/>
    </row>
    <row r="413">
      <c r="P413" s="69"/>
      <c r="Q413" s="69"/>
      <c r="AT413" s="69"/>
      <c r="AU413" s="69"/>
      <c r="AV413" s="69"/>
    </row>
    <row r="414">
      <c r="P414" s="69"/>
      <c r="Q414" s="69"/>
      <c r="AT414" s="69"/>
      <c r="AU414" s="69"/>
      <c r="AV414" s="69"/>
    </row>
    <row r="415">
      <c r="P415" s="69"/>
      <c r="Q415" s="69"/>
      <c r="AT415" s="69"/>
      <c r="AU415" s="69"/>
      <c r="AV415" s="69"/>
    </row>
    <row r="416">
      <c r="P416" s="69"/>
      <c r="Q416" s="69"/>
      <c r="AT416" s="69"/>
      <c r="AU416" s="69"/>
      <c r="AV416" s="69"/>
    </row>
    <row r="417">
      <c r="P417" s="69"/>
      <c r="Q417" s="69"/>
      <c r="AT417" s="69"/>
      <c r="AU417" s="69"/>
      <c r="AV417" s="69"/>
    </row>
    <row r="418">
      <c r="P418" s="69"/>
      <c r="Q418" s="69"/>
      <c r="AT418" s="69"/>
      <c r="AU418" s="69"/>
      <c r="AV418" s="69"/>
    </row>
    <row r="419">
      <c r="P419" s="69"/>
      <c r="Q419" s="69"/>
      <c r="AT419" s="69"/>
      <c r="AU419" s="69"/>
      <c r="AV419" s="69"/>
    </row>
    <row r="420">
      <c r="P420" s="69"/>
      <c r="Q420" s="69"/>
      <c r="AT420" s="69"/>
      <c r="AU420" s="69"/>
      <c r="AV420" s="69"/>
    </row>
    <row r="421">
      <c r="P421" s="69"/>
      <c r="Q421" s="69"/>
      <c r="AT421" s="69"/>
      <c r="AU421" s="69"/>
      <c r="AV421" s="69"/>
    </row>
    <row r="422">
      <c r="P422" s="69"/>
      <c r="Q422" s="69"/>
      <c r="AT422" s="69"/>
      <c r="AU422" s="69"/>
      <c r="AV422" s="69"/>
    </row>
    <row r="423">
      <c r="P423" s="69"/>
      <c r="Q423" s="69"/>
      <c r="AT423" s="69"/>
      <c r="AU423" s="69"/>
      <c r="AV423" s="69"/>
    </row>
    <row r="424">
      <c r="P424" s="69"/>
      <c r="Q424" s="69"/>
      <c r="AT424" s="69"/>
      <c r="AU424" s="69"/>
      <c r="AV424" s="69"/>
    </row>
    <row r="425">
      <c r="P425" s="69"/>
      <c r="Q425" s="69"/>
      <c r="AT425" s="69"/>
      <c r="AU425" s="69"/>
      <c r="AV425" s="69"/>
    </row>
    <row r="426">
      <c r="P426" s="69"/>
      <c r="Q426" s="69"/>
      <c r="AT426" s="69"/>
      <c r="AU426" s="69"/>
      <c r="AV426" s="69"/>
    </row>
    <row r="427">
      <c r="P427" s="69"/>
      <c r="Q427" s="69"/>
      <c r="AT427" s="69"/>
      <c r="AU427" s="69"/>
      <c r="AV427" s="69"/>
    </row>
    <row r="428">
      <c r="P428" s="69"/>
      <c r="Q428" s="69"/>
      <c r="AT428" s="69"/>
      <c r="AU428" s="69"/>
      <c r="AV428" s="69"/>
    </row>
    <row r="429">
      <c r="P429" s="69"/>
      <c r="Q429" s="69"/>
      <c r="AT429" s="69"/>
      <c r="AU429" s="69"/>
      <c r="AV429" s="69"/>
    </row>
    <row r="430">
      <c r="P430" s="69"/>
      <c r="Q430" s="69"/>
      <c r="AT430" s="69"/>
      <c r="AU430" s="69"/>
      <c r="AV430" s="69"/>
    </row>
    <row r="431">
      <c r="P431" s="69"/>
      <c r="Q431" s="69"/>
      <c r="AT431" s="69"/>
      <c r="AU431" s="69"/>
      <c r="AV431" s="69"/>
    </row>
    <row r="432">
      <c r="P432" s="69"/>
      <c r="Q432" s="69"/>
      <c r="AT432" s="69"/>
      <c r="AU432" s="69"/>
      <c r="AV432" s="69"/>
    </row>
    <row r="433">
      <c r="P433" s="69"/>
      <c r="Q433" s="69"/>
      <c r="AT433" s="69"/>
      <c r="AU433" s="69"/>
      <c r="AV433" s="69"/>
    </row>
    <row r="434">
      <c r="P434" s="69"/>
      <c r="Q434" s="69"/>
      <c r="AT434" s="69"/>
      <c r="AU434" s="69"/>
      <c r="AV434" s="69"/>
    </row>
    <row r="435">
      <c r="P435" s="69"/>
      <c r="Q435" s="69"/>
      <c r="AT435" s="69"/>
      <c r="AU435" s="69"/>
      <c r="AV435" s="69"/>
    </row>
    <row r="436">
      <c r="P436" s="69"/>
      <c r="Q436" s="69"/>
      <c r="AT436" s="69"/>
      <c r="AU436" s="69"/>
      <c r="AV436" s="69"/>
    </row>
    <row r="437">
      <c r="P437" s="69"/>
      <c r="Q437" s="69"/>
      <c r="AT437" s="69"/>
      <c r="AU437" s="69"/>
      <c r="AV437" s="69"/>
    </row>
    <row r="438">
      <c r="P438" s="69"/>
      <c r="Q438" s="69"/>
      <c r="AT438" s="69"/>
      <c r="AU438" s="69"/>
      <c r="AV438" s="69"/>
    </row>
    <row r="439">
      <c r="P439" s="69"/>
      <c r="Q439" s="69"/>
      <c r="AT439" s="69"/>
      <c r="AU439" s="69"/>
      <c r="AV439" s="69"/>
    </row>
    <row r="440">
      <c r="P440" s="69"/>
      <c r="Q440" s="69"/>
      <c r="AT440" s="69"/>
      <c r="AU440" s="69"/>
      <c r="AV440" s="69"/>
    </row>
    <row r="441">
      <c r="P441" s="69"/>
      <c r="Q441" s="69"/>
      <c r="AT441" s="69"/>
      <c r="AU441" s="69"/>
      <c r="AV441" s="69"/>
    </row>
    <row r="442">
      <c r="P442" s="69"/>
      <c r="Q442" s="69"/>
      <c r="AT442" s="69"/>
      <c r="AU442" s="69"/>
      <c r="AV442" s="69"/>
    </row>
    <row r="443">
      <c r="P443" s="69"/>
      <c r="Q443" s="69"/>
      <c r="AT443" s="69"/>
      <c r="AU443" s="69"/>
      <c r="AV443" s="69"/>
    </row>
    <row r="444">
      <c r="P444" s="69"/>
      <c r="Q444" s="69"/>
      <c r="AT444" s="69"/>
      <c r="AU444" s="69"/>
      <c r="AV444" s="69"/>
    </row>
    <row r="445">
      <c r="P445" s="69"/>
      <c r="Q445" s="69"/>
      <c r="AT445" s="69"/>
      <c r="AU445" s="69"/>
      <c r="AV445" s="69"/>
    </row>
    <row r="446">
      <c r="P446" s="69"/>
      <c r="Q446" s="69"/>
      <c r="AT446" s="69"/>
      <c r="AU446" s="69"/>
      <c r="AV446" s="69"/>
    </row>
    <row r="447">
      <c r="P447" s="69"/>
      <c r="Q447" s="69"/>
      <c r="AT447" s="69"/>
      <c r="AU447" s="69"/>
      <c r="AV447" s="69"/>
    </row>
    <row r="448">
      <c r="P448" s="69"/>
      <c r="Q448" s="69"/>
      <c r="AT448" s="69"/>
      <c r="AU448" s="69"/>
      <c r="AV448" s="69"/>
    </row>
    <row r="449">
      <c r="P449" s="69"/>
      <c r="Q449" s="69"/>
      <c r="AT449" s="69"/>
      <c r="AU449" s="69"/>
      <c r="AV449" s="69"/>
    </row>
    <row r="450">
      <c r="P450" s="69"/>
      <c r="Q450" s="69"/>
      <c r="AT450" s="69"/>
      <c r="AU450" s="69"/>
      <c r="AV450" s="69"/>
    </row>
    <row r="451">
      <c r="P451" s="69"/>
      <c r="Q451" s="69"/>
      <c r="AT451" s="69"/>
      <c r="AU451" s="69"/>
      <c r="AV451" s="69"/>
    </row>
    <row r="452">
      <c r="P452" s="69"/>
      <c r="Q452" s="69"/>
      <c r="AT452" s="69"/>
      <c r="AU452" s="69"/>
      <c r="AV452" s="69"/>
    </row>
    <row r="453">
      <c r="P453" s="69"/>
      <c r="Q453" s="69"/>
      <c r="AT453" s="69"/>
      <c r="AU453" s="69"/>
      <c r="AV453" s="69"/>
    </row>
    <row r="454">
      <c r="P454" s="69"/>
      <c r="Q454" s="69"/>
      <c r="AT454" s="69"/>
      <c r="AU454" s="69"/>
      <c r="AV454" s="69"/>
    </row>
    <row r="455">
      <c r="P455" s="69"/>
      <c r="Q455" s="69"/>
      <c r="AT455" s="69"/>
      <c r="AU455" s="69"/>
      <c r="AV455" s="69"/>
    </row>
    <row r="456">
      <c r="P456" s="69"/>
      <c r="Q456" s="69"/>
      <c r="AT456" s="69"/>
      <c r="AU456" s="69"/>
      <c r="AV456" s="69"/>
    </row>
    <row r="457">
      <c r="P457" s="69"/>
      <c r="Q457" s="69"/>
      <c r="AT457" s="69"/>
      <c r="AU457" s="69"/>
      <c r="AV457" s="69"/>
    </row>
    <row r="458">
      <c r="P458" s="69"/>
      <c r="Q458" s="69"/>
      <c r="AT458" s="69"/>
      <c r="AU458" s="69"/>
      <c r="AV458" s="69"/>
    </row>
    <row r="459">
      <c r="P459" s="69"/>
      <c r="Q459" s="69"/>
      <c r="AT459" s="69"/>
      <c r="AU459" s="69"/>
      <c r="AV459" s="69"/>
    </row>
    <row r="460">
      <c r="P460" s="69"/>
      <c r="Q460" s="69"/>
      <c r="AT460" s="69"/>
      <c r="AU460" s="69"/>
      <c r="AV460" s="69"/>
    </row>
    <row r="461">
      <c r="P461" s="69"/>
      <c r="Q461" s="69"/>
      <c r="AT461" s="69"/>
      <c r="AU461" s="69"/>
      <c r="AV461" s="69"/>
    </row>
    <row r="462">
      <c r="P462" s="69"/>
      <c r="Q462" s="69"/>
      <c r="AT462" s="69"/>
      <c r="AU462" s="69"/>
      <c r="AV462" s="69"/>
    </row>
    <row r="463">
      <c r="P463" s="69"/>
      <c r="Q463" s="69"/>
      <c r="AT463" s="69"/>
      <c r="AU463" s="69"/>
      <c r="AV463" s="69"/>
    </row>
    <row r="464">
      <c r="P464" s="69"/>
      <c r="Q464" s="69"/>
      <c r="AT464" s="69"/>
      <c r="AU464" s="69"/>
      <c r="AV464" s="69"/>
    </row>
    <row r="465">
      <c r="P465" s="69"/>
      <c r="Q465" s="69"/>
      <c r="AT465" s="69"/>
      <c r="AU465" s="69"/>
      <c r="AV465" s="69"/>
    </row>
    <row r="466">
      <c r="P466" s="69"/>
      <c r="Q466" s="69"/>
      <c r="AT466" s="69"/>
      <c r="AU466" s="69"/>
      <c r="AV466" s="69"/>
    </row>
    <row r="467">
      <c r="P467" s="69"/>
      <c r="Q467" s="69"/>
      <c r="AT467" s="69"/>
      <c r="AU467" s="69"/>
      <c r="AV467" s="69"/>
    </row>
    <row r="468">
      <c r="P468" s="69"/>
      <c r="Q468" s="69"/>
      <c r="AT468" s="69"/>
      <c r="AU468" s="69"/>
      <c r="AV468" s="69"/>
    </row>
    <row r="469">
      <c r="P469" s="69"/>
      <c r="Q469" s="69"/>
      <c r="AT469" s="69"/>
      <c r="AU469" s="69"/>
      <c r="AV469" s="69"/>
    </row>
    <row r="470">
      <c r="P470" s="69"/>
      <c r="Q470" s="69"/>
      <c r="AT470" s="69"/>
      <c r="AU470" s="69"/>
      <c r="AV470" s="69"/>
    </row>
    <row r="471">
      <c r="P471" s="69"/>
      <c r="Q471" s="69"/>
      <c r="AT471" s="69"/>
      <c r="AU471" s="69"/>
      <c r="AV471" s="69"/>
    </row>
    <row r="472">
      <c r="P472" s="69"/>
      <c r="Q472" s="69"/>
      <c r="AT472" s="69"/>
      <c r="AU472" s="69"/>
      <c r="AV472" s="69"/>
    </row>
    <row r="473">
      <c r="P473" s="69"/>
      <c r="Q473" s="69"/>
      <c r="AT473" s="69"/>
      <c r="AU473" s="69"/>
      <c r="AV473" s="69"/>
    </row>
    <row r="474">
      <c r="P474" s="69"/>
      <c r="Q474" s="69"/>
      <c r="AT474" s="69"/>
      <c r="AU474" s="69"/>
      <c r="AV474" s="69"/>
    </row>
    <row r="475">
      <c r="P475" s="69"/>
      <c r="Q475" s="69"/>
      <c r="AT475" s="69"/>
      <c r="AU475" s="69"/>
      <c r="AV475" s="69"/>
    </row>
    <row r="476">
      <c r="P476" s="69"/>
      <c r="Q476" s="69"/>
      <c r="AT476" s="69"/>
      <c r="AU476" s="69"/>
      <c r="AV476" s="69"/>
    </row>
    <row r="477">
      <c r="P477" s="69"/>
      <c r="Q477" s="69"/>
      <c r="AT477" s="69"/>
      <c r="AU477" s="69"/>
      <c r="AV477" s="69"/>
    </row>
    <row r="478">
      <c r="P478" s="69"/>
      <c r="Q478" s="69"/>
      <c r="AT478" s="69"/>
      <c r="AU478" s="69"/>
      <c r="AV478" s="69"/>
    </row>
    <row r="479">
      <c r="P479" s="69"/>
      <c r="Q479" s="69"/>
      <c r="AT479" s="69"/>
      <c r="AU479" s="69"/>
      <c r="AV479" s="69"/>
    </row>
    <row r="480">
      <c r="P480" s="69"/>
      <c r="Q480" s="69"/>
      <c r="AT480" s="69"/>
      <c r="AU480" s="69"/>
      <c r="AV480" s="69"/>
    </row>
    <row r="481">
      <c r="P481" s="69"/>
      <c r="Q481" s="69"/>
      <c r="AT481" s="69"/>
      <c r="AU481" s="69"/>
      <c r="AV481" s="69"/>
    </row>
    <row r="482">
      <c r="P482" s="69"/>
      <c r="Q482" s="69"/>
      <c r="AT482" s="69"/>
      <c r="AU482" s="69"/>
      <c r="AV482" s="69"/>
    </row>
    <row r="483">
      <c r="P483" s="69"/>
      <c r="Q483" s="69"/>
      <c r="AT483" s="69"/>
      <c r="AU483" s="69"/>
      <c r="AV483" s="69"/>
    </row>
    <row r="484">
      <c r="P484" s="69"/>
      <c r="Q484" s="69"/>
      <c r="AT484" s="69"/>
      <c r="AU484" s="69"/>
      <c r="AV484" s="69"/>
    </row>
    <row r="485">
      <c r="P485" s="69"/>
      <c r="Q485" s="69"/>
      <c r="AT485" s="69"/>
      <c r="AU485" s="69"/>
      <c r="AV485" s="69"/>
    </row>
    <row r="486">
      <c r="P486" s="69"/>
      <c r="Q486" s="69"/>
      <c r="AT486" s="69"/>
      <c r="AU486" s="69"/>
      <c r="AV486" s="69"/>
    </row>
    <row r="487">
      <c r="P487" s="69"/>
      <c r="Q487" s="69"/>
      <c r="AT487" s="69"/>
      <c r="AU487" s="69"/>
      <c r="AV487" s="69"/>
    </row>
    <row r="488">
      <c r="P488" s="69"/>
      <c r="Q488" s="69"/>
      <c r="AT488" s="69"/>
      <c r="AU488" s="69"/>
      <c r="AV488" s="69"/>
    </row>
    <row r="489">
      <c r="P489" s="69"/>
      <c r="Q489" s="69"/>
      <c r="AT489" s="69"/>
      <c r="AU489" s="69"/>
      <c r="AV489" s="69"/>
    </row>
    <row r="490">
      <c r="P490" s="69"/>
      <c r="Q490" s="69"/>
      <c r="AT490" s="69"/>
      <c r="AU490" s="69"/>
      <c r="AV490" s="69"/>
    </row>
    <row r="491">
      <c r="P491" s="69"/>
      <c r="Q491" s="69"/>
      <c r="AT491" s="69"/>
      <c r="AU491" s="69"/>
      <c r="AV491" s="69"/>
    </row>
    <row r="492">
      <c r="P492" s="69"/>
      <c r="Q492" s="69"/>
      <c r="AT492" s="69"/>
      <c r="AU492" s="69"/>
      <c r="AV492" s="69"/>
    </row>
    <row r="493">
      <c r="P493" s="69"/>
      <c r="Q493" s="69"/>
      <c r="AT493" s="69"/>
      <c r="AU493" s="69"/>
      <c r="AV493" s="69"/>
    </row>
    <row r="494">
      <c r="P494" s="69"/>
      <c r="Q494" s="69"/>
      <c r="AT494" s="69"/>
      <c r="AU494" s="69"/>
      <c r="AV494" s="69"/>
    </row>
    <row r="495">
      <c r="P495" s="69"/>
      <c r="Q495" s="69"/>
      <c r="AT495" s="69"/>
      <c r="AU495" s="69"/>
      <c r="AV495" s="69"/>
    </row>
    <row r="496">
      <c r="P496" s="69"/>
      <c r="Q496" s="69"/>
      <c r="AT496" s="69"/>
      <c r="AU496" s="69"/>
      <c r="AV496" s="69"/>
    </row>
    <row r="497">
      <c r="P497" s="69"/>
      <c r="Q497" s="69"/>
      <c r="AT497" s="69"/>
      <c r="AU497" s="69"/>
      <c r="AV497" s="69"/>
    </row>
    <row r="498">
      <c r="P498" s="69"/>
      <c r="Q498" s="69"/>
      <c r="AT498" s="69"/>
      <c r="AU498" s="69"/>
      <c r="AV498" s="69"/>
    </row>
    <row r="499">
      <c r="P499" s="69"/>
      <c r="Q499" s="69"/>
      <c r="AT499" s="69"/>
      <c r="AU499" s="69"/>
      <c r="AV499" s="69"/>
    </row>
    <row r="500">
      <c r="P500" s="69"/>
      <c r="Q500" s="69"/>
      <c r="AT500" s="69"/>
      <c r="AU500" s="69"/>
      <c r="AV500" s="69"/>
    </row>
    <row r="501">
      <c r="P501" s="69"/>
      <c r="Q501" s="69"/>
      <c r="AT501" s="69"/>
      <c r="AU501" s="69"/>
      <c r="AV501" s="69"/>
    </row>
    <row r="502">
      <c r="P502" s="69"/>
      <c r="Q502" s="69"/>
      <c r="AT502" s="69"/>
      <c r="AU502" s="69"/>
      <c r="AV502" s="69"/>
    </row>
    <row r="503">
      <c r="P503" s="69"/>
      <c r="Q503" s="69"/>
      <c r="AT503" s="69"/>
      <c r="AU503" s="69"/>
      <c r="AV503" s="69"/>
    </row>
    <row r="504">
      <c r="P504" s="69"/>
      <c r="Q504" s="69"/>
      <c r="AT504" s="69"/>
      <c r="AU504" s="69"/>
      <c r="AV504" s="69"/>
    </row>
    <row r="505">
      <c r="P505" s="69"/>
      <c r="Q505" s="69"/>
      <c r="AT505" s="69"/>
      <c r="AU505" s="69"/>
      <c r="AV505" s="69"/>
    </row>
    <row r="506">
      <c r="P506" s="69"/>
      <c r="Q506" s="69"/>
      <c r="AT506" s="69"/>
      <c r="AU506" s="69"/>
      <c r="AV506" s="69"/>
    </row>
    <row r="507">
      <c r="P507" s="69"/>
      <c r="Q507" s="69"/>
      <c r="AT507" s="69"/>
      <c r="AU507" s="69"/>
      <c r="AV507" s="69"/>
    </row>
    <row r="508">
      <c r="P508" s="69"/>
      <c r="Q508" s="69"/>
      <c r="AT508" s="69"/>
      <c r="AU508" s="69"/>
      <c r="AV508" s="69"/>
    </row>
    <row r="509">
      <c r="P509" s="69"/>
      <c r="Q509" s="69"/>
      <c r="AT509" s="69"/>
      <c r="AU509" s="69"/>
      <c r="AV509" s="69"/>
    </row>
    <row r="510">
      <c r="P510" s="69"/>
      <c r="Q510" s="69"/>
      <c r="AT510" s="69"/>
      <c r="AU510" s="69"/>
      <c r="AV510" s="69"/>
    </row>
    <row r="511">
      <c r="P511" s="69"/>
      <c r="Q511" s="69"/>
      <c r="AT511" s="69"/>
      <c r="AU511" s="69"/>
      <c r="AV511" s="69"/>
    </row>
    <row r="512">
      <c r="P512" s="69"/>
      <c r="Q512" s="69"/>
      <c r="AT512" s="69"/>
      <c r="AU512" s="69"/>
      <c r="AV512" s="69"/>
    </row>
    <row r="513">
      <c r="P513" s="69"/>
      <c r="Q513" s="69"/>
      <c r="AT513" s="69"/>
      <c r="AU513" s="69"/>
      <c r="AV513" s="69"/>
    </row>
    <row r="514">
      <c r="P514" s="69"/>
      <c r="Q514" s="69"/>
      <c r="AT514" s="69"/>
      <c r="AU514" s="69"/>
      <c r="AV514" s="69"/>
    </row>
    <row r="515">
      <c r="P515" s="69"/>
      <c r="Q515" s="69"/>
      <c r="AT515" s="69"/>
      <c r="AU515" s="69"/>
      <c r="AV515" s="69"/>
    </row>
    <row r="516">
      <c r="P516" s="69"/>
      <c r="Q516" s="69"/>
      <c r="AT516" s="69"/>
      <c r="AU516" s="69"/>
      <c r="AV516" s="69"/>
    </row>
    <row r="517">
      <c r="P517" s="69"/>
      <c r="Q517" s="69"/>
      <c r="AT517" s="69"/>
      <c r="AU517" s="69"/>
      <c r="AV517" s="69"/>
    </row>
    <row r="518">
      <c r="P518" s="69"/>
      <c r="Q518" s="69"/>
      <c r="AT518" s="69"/>
      <c r="AU518" s="69"/>
      <c r="AV518" s="69"/>
    </row>
    <row r="519">
      <c r="P519" s="69"/>
      <c r="Q519" s="69"/>
      <c r="AT519" s="69"/>
      <c r="AU519" s="69"/>
      <c r="AV519" s="69"/>
    </row>
    <row r="520">
      <c r="P520" s="69"/>
      <c r="Q520" s="69"/>
      <c r="AT520" s="69"/>
      <c r="AU520" s="69"/>
      <c r="AV520" s="69"/>
    </row>
    <row r="521">
      <c r="P521" s="69"/>
      <c r="Q521" s="69"/>
      <c r="AT521" s="69"/>
      <c r="AU521" s="69"/>
      <c r="AV521" s="69"/>
    </row>
    <row r="522">
      <c r="P522" s="69"/>
      <c r="Q522" s="69"/>
      <c r="AT522" s="69"/>
      <c r="AU522" s="69"/>
      <c r="AV522" s="69"/>
    </row>
    <row r="523">
      <c r="P523" s="69"/>
      <c r="Q523" s="69"/>
      <c r="AT523" s="69"/>
      <c r="AU523" s="69"/>
      <c r="AV523" s="69"/>
    </row>
    <row r="524">
      <c r="P524" s="69"/>
      <c r="Q524" s="69"/>
      <c r="AT524" s="69"/>
      <c r="AU524" s="69"/>
      <c r="AV524" s="69"/>
    </row>
    <row r="525">
      <c r="P525" s="69"/>
      <c r="Q525" s="69"/>
      <c r="AT525" s="69"/>
      <c r="AU525" s="69"/>
      <c r="AV525" s="69"/>
    </row>
    <row r="526">
      <c r="P526" s="69"/>
      <c r="Q526" s="69"/>
      <c r="AT526" s="69"/>
      <c r="AU526" s="69"/>
      <c r="AV526" s="69"/>
    </row>
    <row r="527">
      <c r="P527" s="69"/>
      <c r="Q527" s="69"/>
      <c r="AT527" s="69"/>
      <c r="AU527" s="69"/>
      <c r="AV527" s="69"/>
    </row>
    <row r="528">
      <c r="P528" s="69"/>
      <c r="Q528" s="69"/>
      <c r="AT528" s="69"/>
      <c r="AU528" s="69"/>
      <c r="AV528" s="69"/>
    </row>
    <row r="529">
      <c r="P529" s="69"/>
      <c r="Q529" s="69"/>
      <c r="AT529" s="69"/>
      <c r="AU529" s="69"/>
      <c r="AV529" s="69"/>
    </row>
    <row r="530">
      <c r="P530" s="69"/>
      <c r="Q530" s="69"/>
      <c r="AT530" s="69"/>
      <c r="AU530" s="69"/>
      <c r="AV530" s="69"/>
    </row>
    <row r="531">
      <c r="P531" s="69"/>
      <c r="Q531" s="69"/>
      <c r="AT531" s="69"/>
      <c r="AU531" s="69"/>
      <c r="AV531" s="69"/>
    </row>
    <row r="532">
      <c r="P532" s="69"/>
      <c r="Q532" s="69"/>
      <c r="AT532" s="69"/>
      <c r="AU532" s="69"/>
      <c r="AV532" s="69"/>
    </row>
    <row r="533">
      <c r="P533" s="69"/>
      <c r="Q533" s="69"/>
      <c r="AT533" s="69"/>
      <c r="AU533" s="69"/>
      <c r="AV533" s="69"/>
    </row>
    <row r="534">
      <c r="P534" s="69"/>
      <c r="Q534" s="69"/>
      <c r="AT534" s="69"/>
      <c r="AU534" s="69"/>
      <c r="AV534" s="69"/>
    </row>
    <row r="535">
      <c r="P535" s="69"/>
      <c r="Q535" s="69"/>
      <c r="AT535" s="69"/>
      <c r="AU535" s="69"/>
      <c r="AV535" s="69"/>
    </row>
    <row r="536">
      <c r="P536" s="69"/>
      <c r="Q536" s="69"/>
      <c r="AT536" s="69"/>
      <c r="AU536" s="69"/>
      <c r="AV536" s="69"/>
    </row>
    <row r="537">
      <c r="P537" s="69"/>
      <c r="Q537" s="69"/>
      <c r="AT537" s="69"/>
      <c r="AU537" s="69"/>
      <c r="AV537" s="69"/>
    </row>
    <row r="538">
      <c r="P538" s="69"/>
      <c r="Q538" s="69"/>
      <c r="AT538" s="69"/>
      <c r="AU538" s="69"/>
      <c r="AV538" s="69"/>
    </row>
    <row r="539">
      <c r="P539" s="69"/>
      <c r="Q539" s="69"/>
      <c r="AT539" s="69"/>
      <c r="AU539" s="69"/>
      <c r="AV539" s="69"/>
    </row>
    <row r="540">
      <c r="P540" s="69"/>
      <c r="Q540" s="69"/>
      <c r="AT540" s="69"/>
      <c r="AU540" s="69"/>
      <c r="AV540" s="69"/>
    </row>
    <row r="541">
      <c r="P541" s="69"/>
      <c r="Q541" s="69"/>
      <c r="AT541" s="69"/>
      <c r="AU541" s="69"/>
      <c r="AV541" s="69"/>
    </row>
    <row r="542">
      <c r="P542" s="69"/>
      <c r="Q542" s="69"/>
      <c r="AT542" s="69"/>
      <c r="AU542" s="69"/>
      <c r="AV542" s="69"/>
    </row>
    <row r="543">
      <c r="P543" s="69"/>
      <c r="Q543" s="69"/>
      <c r="AT543" s="69"/>
      <c r="AU543" s="69"/>
      <c r="AV543" s="69"/>
    </row>
    <row r="544">
      <c r="P544" s="69"/>
      <c r="Q544" s="69"/>
      <c r="AT544" s="69"/>
      <c r="AU544" s="69"/>
      <c r="AV544" s="69"/>
    </row>
    <row r="545">
      <c r="P545" s="69"/>
      <c r="Q545" s="69"/>
      <c r="AT545" s="69"/>
      <c r="AU545" s="69"/>
      <c r="AV545" s="69"/>
    </row>
    <row r="546">
      <c r="P546" s="69"/>
      <c r="Q546" s="69"/>
      <c r="AT546" s="69"/>
      <c r="AU546" s="69"/>
      <c r="AV546" s="69"/>
    </row>
    <row r="547">
      <c r="P547" s="69"/>
      <c r="Q547" s="69"/>
      <c r="AT547" s="69"/>
      <c r="AU547" s="69"/>
      <c r="AV547" s="69"/>
    </row>
    <row r="548">
      <c r="P548" s="69"/>
      <c r="Q548" s="69"/>
      <c r="AT548" s="69"/>
      <c r="AU548" s="69"/>
      <c r="AV548" s="69"/>
    </row>
    <row r="549">
      <c r="P549" s="69"/>
      <c r="Q549" s="69"/>
      <c r="AT549" s="69"/>
      <c r="AU549" s="69"/>
      <c r="AV549" s="69"/>
    </row>
    <row r="550">
      <c r="P550" s="69"/>
      <c r="Q550" s="69"/>
      <c r="AT550" s="69"/>
      <c r="AU550" s="69"/>
      <c r="AV550" s="69"/>
    </row>
    <row r="551">
      <c r="P551" s="69"/>
      <c r="Q551" s="69"/>
      <c r="AT551" s="69"/>
      <c r="AU551" s="69"/>
      <c r="AV551" s="69"/>
    </row>
    <row r="552">
      <c r="P552" s="69"/>
      <c r="Q552" s="69"/>
      <c r="AT552" s="69"/>
      <c r="AU552" s="69"/>
      <c r="AV552" s="69"/>
    </row>
    <row r="553">
      <c r="P553" s="69"/>
      <c r="Q553" s="69"/>
      <c r="AT553" s="69"/>
      <c r="AU553" s="69"/>
      <c r="AV553" s="69"/>
    </row>
    <row r="554">
      <c r="P554" s="69"/>
      <c r="Q554" s="69"/>
      <c r="AT554" s="69"/>
      <c r="AU554" s="69"/>
      <c r="AV554" s="69"/>
    </row>
    <row r="555">
      <c r="P555" s="69"/>
      <c r="Q555" s="69"/>
      <c r="AT555" s="69"/>
      <c r="AU555" s="69"/>
      <c r="AV555" s="69"/>
    </row>
    <row r="556">
      <c r="P556" s="69"/>
      <c r="Q556" s="69"/>
      <c r="AT556" s="69"/>
      <c r="AU556" s="69"/>
      <c r="AV556" s="69"/>
    </row>
    <row r="557">
      <c r="P557" s="69"/>
      <c r="Q557" s="69"/>
      <c r="AT557" s="69"/>
      <c r="AU557" s="69"/>
      <c r="AV557" s="69"/>
    </row>
    <row r="558">
      <c r="P558" s="69"/>
      <c r="Q558" s="69"/>
      <c r="AT558" s="69"/>
      <c r="AU558" s="69"/>
      <c r="AV558" s="69"/>
    </row>
    <row r="559">
      <c r="P559" s="69"/>
      <c r="Q559" s="69"/>
      <c r="AT559" s="69"/>
      <c r="AU559" s="69"/>
      <c r="AV559" s="69"/>
    </row>
    <row r="560">
      <c r="P560" s="69"/>
      <c r="Q560" s="69"/>
      <c r="AT560" s="69"/>
      <c r="AU560" s="69"/>
      <c r="AV560" s="69"/>
    </row>
    <row r="561">
      <c r="P561" s="69"/>
      <c r="Q561" s="69"/>
      <c r="AT561" s="69"/>
      <c r="AU561" s="69"/>
      <c r="AV561" s="69"/>
    </row>
    <row r="562">
      <c r="P562" s="69"/>
      <c r="Q562" s="69"/>
      <c r="AT562" s="69"/>
      <c r="AU562" s="69"/>
      <c r="AV562" s="69"/>
    </row>
    <row r="563">
      <c r="P563" s="69"/>
      <c r="Q563" s="69"/>
      <c r="AT563" s="69"/>
      <c r="AU563" s="69"/>
      <c r="AV563" s="69"/>
    </row>
    <row r="564">
      <c r="P564" s="69"/>
      <c r="Q564" s="69"/>
      <c r="AT564" s="69"/>
      <c r="AU564" s="69"/>
      <c r="AV564" s="69"/>
    </row>
    <row r="565">
      <c r="P565" s="69"/>
      <c r="Q565" s="69"/>
      <c r="AT565" s="69"/>
      <c r="AU565" s="69"/>
      <c r="AV565" s="69"/>
    </row>
    <row r="566">
      <c r="P566" s="69"/>
      <c r="Q566" s="69"/>
      <c r="AT566" s="69"/>
      <c r="AU566" s="69"/>
      <c r="AV566" s="69"/>
    </row>
    <row r="567">
      <c r="P567" s="69"/>
      <c r="Q567" s="69"/>
      <c r="AT567" s="69"/>
      <c r="AU567" s="69"/>
      <c r="AV567" s="69"/>
    </row>
    <row r="568">
      <c r="P568" s="69"/>
      <c r="Q568" s="69"/>
      <c r="AT568" s="69"/>
      <c r="AU568" s="69"/>
      <c r="AV568" s="69"/>
    </row>
    <row r="569">
      <c r="P569" s="69"/>
      <c r="Q569" s="69"/>
      <c r="AT569" s="69"/>
      <c r="AU569" s="69"/>
      <c r="AV569" s="69"/>
    </row>
    <row r="570">
      <c r="P570" s="69"/>
      <c r="Q570" s="69"/>
      <c r="AT570" s="69"/>
      <c r="AU570" s="69"/>
      <c r="AV570" s="69"/>
    </row>
    <row r="571">
      <c r="P571" s="69"/>
      <c r="Q571" s="69"/>
      <c r="AT571" s="69"/>
      <c r="AU571" s="69"/>
      <c r="AV571" s="69"/>
    </row>
    <row r="572">
      <c r="P572" s="69"/>
      <c r="Q572" s="69"/>
      <c r="AT572" s="69"/>
      <c r="AU572" s="69"/>
      <c r="AV572" s="69"/>
    </row>
    <row r="573">
      <c r="P573" s="69"/>
      <c r="Q573" s="69"/>
      <c r="AT573" s="69"/>
      <c r="AU573" s="69"/>
      <c r="AV573" s="69"/>
    </row>
    <row r="574">
      <c r="P574" s="69"/>
      <c r="Q574" s="69"/>
      <c r="AT574" s="69"/>
      <c r="AU574" s="69"/>
      <c r="AV574" s="69"/>
    </row>
    <row r="575">
      <c r="P575" s="69"/>
      <c r="Q575" s="69"/>
      <c r="AT575" s="69"/>
      <c r="AU575" s="69"/>
      <c r="AV575" s="69"/>
    </row>
    <row r="576">
      <c r="P576" s="69"/>
      <c r="Q576" s="69"/>
      <c r="AT576" s="69"/>
      <c r="AU576" s="69"/>
      <c r="AV576" s="69"/>
    </row>
    <row r="577">
      <c r="P577" s="69"/>
      <c r="Q577" s="69"/>
      <c r="AT577" s="69"/>
      <c r="AU577" s="69"/>
      <c r="AV577" s="69"/>
    </row>
    <row r="578">
      <c r="P578" s="69"/>
      <c r="Q578" s="69"/>
      <c r="AT578" s="69"/>
      <c r="AU578" s="69"/>
      <c r="AV578" s="69"/>
    </row>
    <row r="579">
      <c r="P579" s="69"/>
      <c r="Q579" s="69"/>
      <c r="AT579" s="69"/>
      <c r="AU579" s="69"/>
      <c r="AV579" s="69"/>
    </row>
    <row r="580">
      <c r="P580" s="69"/>
      <c r="Q580" s="69"/>
      <c r="AT580" s="69"/>
      <c r="AU580" s="69"/>
      <c r="AV580" s="69"/>
    </row>
    <row r="581">
      <c r="P581" s="69"/>
      <c r="Q581" s="69"/>
      <c r="AT581" s="69"/>
      <c r="AU581" s="69"/>
      <c r="AV581" s="69"/>
    </row>
    <row r="582">
      <c r="P582" s="69"/>
      <c r="Q582" s="69"/>
      <c r="AT582" s="69"/>
      <c r="AU582" s="69"/>
      <c r="AV582" s="69"/>
    </row>
    <row r="583">
      <c r="P583" s="69"/>
      <c r="Q583" s="69"/>
      <c r="AT583" s="69"/>
      <c r="AU583" s="69"/>
      <c r="AV583" s="69"/>
    </row>
    <row r="584">
      <c r="P584" s="69"/>
      <c r="Q584" s="69"/>
      <c r="AT584" s="69"/>
      <c r="AU584" s="69"/>
      <c r="AV584" s="69"/>
    </row>
    <row r="585">
      <c r="P585" s="69"/>
      <c r="Q585" s="69"/>
      <c r="AT585" s="69"/>
      <c r="AU585" s="69"/>
      <c r="AV585" s="69"/>
    </row>
    <row r="586">
      <c r="P586" s="69"/>
      <c r="Q586" s="69"/>
      <c r="AT586" s="69"/>
      <c r="AU586" s="69"/>
      <c r="AV586" s="69"/>
    </row>
    <row r="587">
      <c r="P587" s="69"/>
      <c r="Q587" s="69"/>
      <c r="AT587" s="69"/>
      <c r="AU587" s="69"/>
      <c r="AV587" s="69"/>
    </row>
    <row r="588">
      <c r="P588" s="69"/>
      <c r="Q588" s="69"/>
      <c r="AT588" s="69"/>
      <c r="AU588" s="69"/>
      <c r="AV588" s="69"/>
    </row>
    <row r="589">
      <c r="P589" s="69"/>
      <c r="Q589" s="69"/>
      <c r="AT589" s="69"/>
      <c r="AU589" s="69"/>
      <c r="AV589" s="69"/>
    </row>
    <row r="590">
      <c r="P590" s="69"/>
      <c r="Q590" s="69"/>
      <c r="AT590" s="69"/>
      <c r="AU590" s="69"/>
      <c r="AV590" s="69"/>
    </row>
    <row r="591">
      <c r="P591" s="69"/>
      <c r="Q591" s="69"/>
      <c r="AT591" s="69"/>
      <c r="AU591" s="69"/>
      <c r="AV591" s="69"/>
    </row>
    <row r="592">
      <c r="P592" s="69"/>
      <c r="Q592" s="69"/>
      <c r="AT592" s="69"/>
      <c r="AU592" s="69"/>
      <c r="AV592" s="69"/>
    </row>
    <row r="593">
      <c r="P593" s="69"/>
      <c r="Q593" s="69"/>
      <c r="AT593" s="69"/>
      <c r="AU593" s="69"/>
      <c r="AV593" s="69"/>
    </row>
    <row r="594">
      <c r="P594" s="69"/>
      <c r="Q594" s="69"/>
      <c r="AT594" s="69"/>
      <c r="AU594" s="69"/>
      <c r="AV594" s="69"/>
    </row>
    <row r="595">
      <c r="P595" s="69"/>
      <c r="Q595" s="69"/>
      <c r="AT595" s="69"/>
      <c r="AU595" s="69"/>
      <c r="AV595" s="69"/>
    </row>
    <row r="596">
      <c r="P596" s="69"/>
      <c r="Q596" s="69"/>
      <c r="AT596" s="69"/>
      <c r="AU596" s="69"/>
      <c r="AV596" s="69"/>
    </row>
    <row r="597">
      <c r="P597" s="69"/>
      <c r="Q597" s="69"/>
      <c r="AT597" s="69"/>
      <c r="AU597" s="69"/>
      <c r="AV597" s="69"/>
    </row>
    <row r="598">
      <c r="P598" s="69"/>
      <c r="Q598" s="69"/>
      <c r="AT598" s="69"/>
      <c r="AU598" s="69"/>
      <c r="AV598" s="69"/>
    </row>
    <row r="599">
      <c r="P599" s="69"/>
      <c r="Q599" s="69"/>
      <c r="AT599" s="69"/>
      <c r="AU599" s="69"/>
      <c r="AV599" s="69"/>
    </row>
    <row r="600">
      <c r="P600" s="69"/>
      <c r="Q600" s="69"/>
      <c r="AT600" s="69"/>
      <c r="AU600" s="69"/>
      <c r="AV600" s="69"/>
    </row>
    <row r="601">
      <c r="P601" s="69"/>
      <c r="Q601" s="69"/>
      <c r="AT601" s="69"/>
      <c r="AU601" s="69"/>
      <c r="AV601" s="69"/>
    </row>
    <row r="602">
      <c r="P602" s="69"/>
      <c r="Q602" s="69"/>
      <c r="AT602" s="69"/>
      <c r="AU602" s="69"/>
      <c r="AV602" s="69"/>
    </row>
    <row r="603">
      <c r="P603" s="69"/>
      <c r="Q603" s="69"/>
      <c r="AT603" s="69"/>
      <c r="AU603" s="69"/>
      <c r="AV603" s="69"/>
    </row>
    <row r="604">
      <c r="P604" s="69"/>
      <c r="Q604" s="69"/>
      <c r="AT604" s="69"/>
      <c r="AU604" s="69"/>
      <c r="AV604" s="69"/>
    </row>
    <row r="605">
      <c r="P605" s="69"/>
      <c r="Q605" s="69"/>
      <c r="AT605" s="69"/>
      <c r="AU605" s="69"/>
      <c r="AV605" s="69"/>
    </row>
    <row r="606">
      <c r="P606" s="69"/>
      <c r="Q606" s="69"/>
      <c r="AT606" s="69"/>
      <c r="AU606" s="69"/>
      <c r="AV606" s="69"/>
    </row>
    <row r="607">
      <c r="P607" s="69"/>
      <c r="Q607" s="69"/>
      <c r="AT607" s="69"/>
      <c r="AU607" s="69"/>
      <c r="AV607" s="69"/>
    </row>
    <row r="608">
      <c r="P608" s="69"/>
      <c r="Q608" s="69"/>
      <c r="AT608" s="69"/>
      <c r="AU608" s="69"/>
      <c r="AV608" s="69"/>
    </row>
    <row r="609">
      <c r="P609" s="69"/>
      <c r="Q609" s="69"/>
      <c r="AT609" s="69"/>
      <c r="AU609" s="69"/>
      <c r="AV609" s="69"/>
    </row>
    <row r="610">
      <c r="P610" s="69"/>
      <c r="Q610" s="69"/>
      <c r="AT610" s="69"/>
      <c r="AU610" s="69"/>
      <c r="AV610" s="69"/>
    </row>
    <row r="611">
      <c r="P611" s="69"/>
      <c r="Q611" s="69"/>
      <c r="AT611" s="69"/>
      <c r="AU611" s="69"/>
      <c r="AV611" s="69"/>
    </row>
    <row r="612">
      <c r="P612" s="69"/>
      <c r="Q612" s="69"/>
      <c r="AT612" s="69"/>
      <c r="AU612" s="69"/>
      <c r="AV612" s="69"/>
    </row>
    <row r="613">
      <c r="P613" s="69"/>
      <c r="Q613" s="69"/>
      <c r="AT613" s="69"/>
      <c r="AU613" s="69"/>
      <c r="AV613" s="69"/>
    </row>
    <row r="614">
      <c r="P614" s="69"/>
      <c r="Q614" s="69"/>
      <c r="AT614" s="69"/>
      <c r="AU614" s="69"/>
      <c r="AV614" s="69"/>
    </row>
    <row r="615">
      <c r="P615" s="69"/>
      <c r="Q615" s="69"/>
      <c r="AT615" s="69"/>
      <c r="AU615" s="69"/>
      <c r="AV615" s="69"/>
    </row>
    <row r="616">
      <c r="P616" s="69"/>
      <c r="Q616" s="69"/>
      <c r="AT616" s="69"/>
      <c r="AU616" s="69"/>
      <c r="AV616" s="69"/>
    </row>
    <row r="617">
      <c r="P617" s="69"/>
      <c r="Q617" s="69"/>
      <c r="AT617" s="69"/>
      <c r="AU617" s="69"/>
      <c r="AV617" s="69"/>
    </row>
    <row r="618">
      <c r="P618" s="69"/>
      <c r="Q618" s="69"/>
      <c r="AT618" s="69"/>
      <c r="AU618" s="69"/>
      <c r="AV618" s="69"/>
    </row>
    <row r="619">
      <c r="P619" s="69"/>
      <c r="Q619" s="69"/>
      <c r="AT619" s="69"/>
      <c r="AU619" s="69"/>
      <c r="AV619" s="69"/>
    </row>
    <row r="620">
      <c r="P620" s="69"/>
      <c r="Q620" s="69"/>
      <c r="AT620" s="69"/>
      <c r="AU620" s="69"/>
      <c r="AV620" s="69"/>
    </row>
    <row r="621">
      <c r="P621" s="69"/>
      <c r="Q621" s="69"/>
      <c r="AT621" s="69"/>
      <c r="AU621" s="69"/>
      <c r="AV621" s="69"/>
    </row>
    <row r="622">
      <c r="P622" s="69"/>
      <c r="Q622" s="69"/>
      <c r="AT622" s="69"/>
      <c r="AU622" s="69"/>
      <c r="AV622" s="69"/>
    </row>
    <row r="623">
      <c r="P623" s="69"/>
      <c r="Q623" s="69"/>
      <c r="AT623" s="69"/>
      <c r="AU623" s="69"/>
      <c r="AV623" s="69"/>
    </row>
    <row r="624">
      <c r="P624" s="69"/>
      <c r="Q624" s="69"/>
      <c r="AT624" s="69"/>
      <c r="AU624" s="69"/>
      <c r="AV624" s="69"/>
    </row>
    <row r="625">
      <c r="P625" s="69"/>
      <c r="Q625" s="69"/>
      <c r="AT625" s="69"/>
      <c r="AU625" s="69"/>
      <c r="AV625" s="69"/>
    </row>
    <row r="626">
      <c r="P626" s="69"/>
      <c r="Q626" s="69"/>
      <c r="AT626" s="69"/>
      <c r="AU626" s="69"/>
      <c r="AV626" s="69"/>
    </row>
    <row r="627">
      <c r="P627" s="69"/>
      <c r="Q627" s="69"/>
      <c r="AT627" s="69"/>
      <c r="AU627" s="69"/>
      <c r="AV627" s="69"/>
    </row>
    <row r="628">
      <c r="P628" s="69"/>
      <c r="Q628" s="69"/>
      <c r="AT628" s="69"/>
      <c r="AU628" s="69"/>
      <c r="AV628" s="69"/>
    </row>
    <row r="629">
      <c r="P629" s="69"/>
      <c r="Q629" s="69"/>
      <c r="AT629" s="69"/>
      <c r="AU629" s="69"/>
      <c r="AV629" s="69"/>
    </row>
    <row r="630">
      <c r="P630" s="69"/>
      <c r="Q630" s="69"/>
      <c r="AT630" s="69"/>
      <c r="AU630" s="69"/>
      <c r="AV630" s="69"/>
    </row>
    <row r="631">
      <c r="P631" s="69"/>
      <c r="Q631" s="69"/>
      <c r="AT631" s="69"/>
      <c r="AU631" s="69"/>
      <c r="AV631" s="69"/>
    </row>
    <row r="632">
      <c r="P632" s="69"/>
      <c r="Q632" s="69"/>
      <c r="AT632" s="69"/>
      <c r="AU632" s="69"/>
      <c r="AV632" s="69"/>
    </row>
    <row r="633">
      <c r="P633" s="69"/>
      <c r="Q633" s="69"/>
      <c r="AT633" s="69"/>
      <c r="AU633" s="69"/>
      <c r="AV633" s="69"/>
    </row>
    <row r="634">
      <c r="P634" s="69"/>
      <c r="Q634" s="69"/>
      <c r="AT634" s="69"/>
      <c r="AU634" s="69"/>
      <c r="AV634" s="69"/>
    </row>
    <row r="635">
      <c r="P635" s="69"/>
      <c r="Q635" s="69"/>
      <c r="AT635" s="69"/>
      <c r="AU635" s="69"/>
      <c r="AV635" s="69"/>
    </row>
    <row r="636">
      <c r="P636" s="69"/>
      <c r="Q636" s="69"/>
      <c r="AT636" s="69"/>
      <c r="AU636" s="69"/>
      <c r="AV636" s="69"/>
    </row>
    <row r="637">
      <c r="P637" s="69"/>
      <c r="Q637" s="69"/>
      <c r="AT637" s="69"/>
      <c r="AU637" s="69"/>
      <c r="AV637" s="69"/>
    </row>
    <row r="638">
      <c r="P638" s="69"/>
      <c r="Q638" s="69"/>
      <c r="AT638" s="69"/>
      <c r="AU638" s="69"/>
      <c r="AV638" s="69"/>
    </row>
    <row r="639">
      <c r="P639" s="69"/>
      <c r="Q639" s="69"/>
      <c r="AT639" s="69"/>
      <c r="AU639" s="69"/>
      <c r="AV639" s="69"/>
    </row>
    <row r="640">
      <c r="P640" s="69"/>
      <c r="Q640" s="69"/>
      <c r="AT640" s="69"/>
      <c r="AU640" s="69"/>
      <c r="AV640" s="69"/>
    </row>
    <row r="641">
      <c r="P641" s="69"/>
      <c r="Q641" s="69"/>
      <c r="AT641" s="69"/>
      <c r="AU641" s="69"/>
      <c r="AV641" s="69"/>
    </row>
    <row r="642">
      <c r="P642" s="69"/>
      <c r="Q642" s="69"/>
      <c r="AT642" s="69"/>
      <c r="AU642" s="69"/>
      <c r="AV642" s="69"/>
    </row>
    <row r="643">
      <c r="P643" s="69"/>
      <c r="Q643" s="69"/>
      <c r="AT643" s="69"/>
      <c r="AU643" s="69"/>
      <c r="AV643" s="69"/>
    </row>
    <row r="644">
      <c r="P644" s="69"/>
      <c r="Q644" s="69"/>
      <c r="AT644" s="69"/>
      <c r="AU644" s="69"/>
      <c r="AV644" s="69"/>
    </row>
    <row r="645">
      <c r="P645" s="69"/>
      <c r="Q645" s="69"/>
      <c r="AT645" s="69"/>
      <c r="AU645" s="69"/>
      <c r="AV645" s="69"/>
    </row>
    <row r="646">
      <c r="P646" s="69"/>
      <c r="Q646" s="69"/>
      <c r="AT646" s="69"/>
      <c r="AU646" s="69"/>
      <c r="AV646" s="69"/>
    </row>
    <row r="647">
      <c r="P647" s="69"/>
      <c r="Q647" s="69"/>
      <c r="AT647" s="69"/>
      <c r="AU647" s="69"/>
      <c r="AV647" s="69"/>
    </row>
    <row r="648">
      <c r="P648" s="69"/>
      <c r="Q648" s="69"/>
      <c r="AT648" s="69"/>
      <c r="AU648" s="69"/>
      <c r="AV648" s="69"/>
    </row>
    <row r="649">
      <c r="P649" s="69"/>
      <c r="Q649" s="69"/>
      <c r="AT649" s="69"/>
      <c r="AU649" s="69"/>
      <c r="AV649" s="69"/>
    </row>
    <row r="650">
      <c r="P650" s="69"/>
      <c r="Q650" s="69"/>
      <c r="AT650" s="69"/>
      <c r="AU650" s="69"/>
      <c r="AV650" s="69"/>
    </row>
    <row r="651">
      <c r="P651" s="69"/>
      <c r="Q651" s="69"/>
      <c r="AT651" s="69"/>
      <c r="AU651" s="69"/>
      <c r="AV651" s="69"/>
    </row>
    <row r="652">
      <c r="P652" s="69"/>
      <c r="Q652" s="69"/>
      <c r="AT652" s="69"/>
      <c r="AU652" s="69"/>
      <c r="AV652" s="69"/>
    </row>
    <row r="653">
      <c r="P653" s="69"/>
      <c r="Q653" s="69"/>
      <c r="AT653" s="69"/>
      <c r="AU653" s="69"/>
      <c r="AV653" s="69"/>
    </row>
    <row r="654">
      <c r="P654" s="69"/>
      <c r="Q654" s="69"/>
      <c r="AT654" s="69"/>
      <c r="AU654" s="69"/>
      <c r="AV654" s="69"/>
    </row>
    <row r="655">
      <c r="P655" s="69"/>
      <c r="Q655" s="69"/>
      <c r="AT655" s="69"/>
      <c r="AU655" s="69"/>
      <c r="AV655" s="69"/>
    </row>
    <row r="656">
      <c r="P656" s="69"/>
      <c r="Q656" s="69"/>
      <c r="AT656" s="69"/>
      <c r="AU656" s="69"/>
      <c r="AV656" s="69"/>
    </row>
    <row r="657">
      <c r="P657" s="69"/>
      <c r="Q657" s="69"/>
      <c r="AT657" s="69"/>
      <c r="AU657" s="69"/>
      <c r="AV657" s="69"/>
    </row>
    <row r="658">
      <c r="P658" s="69"/>
      <c r="Q658" s="69"/>
      <c r="AT658" s="69"/>
      <c r="AU658" s="69"/>
      <c r="AV658" s="69"/>
    </row>
    <row r="659">
      <c r="P659" s="69"/>
      <c r="Q659" s="69"/>
      <c r="AT659" s="69"/>
      <c r="AU659" s="69"/>
      <c r="AV659" s="69"/>
    </row>
    <row r="660">
      <c r="P660" s="69"/>
      <c r="Q660" s="69"/>
      <c r="AT660" s="69"/>
      <c r="AU660" s="69"/>
      <c r="AV660" s="69"/>
    </row>
    <row r="661">
      <c r="P661" s="69"/>
      <c r="Q661" s="69"/>
      <c r="AT661" s="69"/>
      <c r="AU661" s="69"/>
      <c r="AV661" s="69"/>
    </row>
    <row r="662">
      <c r="P662" s="69"/>
      <c r="Q662" s="69"/>
      <c r="AT662" s="69"/>
      <c r="AU662" s="69"/>
      <c r="AV662" s="69"/>
    </row>
    <row r="663">
      <c r="P663" s="69"/>
      <c r="Q663" s="69"/>
      <c r="AT663" s="69"/>
      <c r="AU663" s="69"/>
      <c r="AV663" s="69"/>
    </row>
    <row r="664">
      <c r="P664" s="69"/>
      <c r="Q664" s="69"/>
      <c r="AT664" s="69"/>
      <c r="AU664" s="69"/>
      <c r="AV664" s="69"/>
    </row>
    <row r="665">
      <c r="P665" s="69"/>
      <c r="Q665" s="69"/>
      <c r="AT665" s="69"/>
      <c r="AU665" s="69"/>
      <c r="AV665" s="69"/>
    </row>
    <row r="666">
      <c r="P666" s="69"/>
      <c r="Q666" s="69"/>
      <c r="AT666" s="69"/>
      <c r="AU666" s="69"/>
      <c r="AV666" s="69"/>
    </row>
    <row r="667">
      <c r="P667" s="69"/>
      <c r="Q667" s="69"/>
      <c r="AT667" s="69"/>
      <c r="AU667" s="69"/>
      <c r="AV667" s="69"/>
    </row>
    <row r="668">
      <c r="P668" s="69"/>
      <c r="Q668" s="69"/>
      <c r="AT668" s="69"/>
      <c r="AU668" s="69"/>
      <c r="AV668" s="69"/>
    </row>
    <row r="669">
      <c r="P669" s="69"/>
      <c r="Q669" s="69"/>
      <c r="AT669" s="69"/>
      <c r="AU669" s="69"/>
      <c r="AV669" s="69"/>
    </row>
    <row r="670">
      <c r="P670" s="69"/>
      <c r="Q670" s="69"/>
      <c r="AT670" s="69"/>
      <c r="AU670" s="69"/>
      <c r="AV670" s="69"/>
    </row>
    <row r="671">
      <c r="P671" s="69"/>
      <c r="Q671" s="69"/>
      <c r="AT671" s="69"/>
      <c r="AU671" s="69"/>
      <c r="AV671" s="69"/>
    </row>
    <row r="672">
      <c r="P672" s="69"/>
      <c r="Q672" s="69"/>
      <c r="AT672" s="69"/>
      <c r="AU672" s="69"/>
      <c r="AV672" s="69"/>
    </row>
    <row r="673">
      <c r="P673" s="69"/>
      <c r="Q673" s="69"/>
      <c r="AT673" s="69"/>
      <c r="AU673" s="69"/>
      <c r="AV673" s="69"/>
    </row>
    <row r="674">
      <c r="P674" s="69"/>
      <c r="Q674" s="69"/>
      <c r="AT674" s="69"/>
      <c r="AU674" s="69"/>
      <c r="AV674" s="69"/>
    </row>
    <row r="675">
      <c r="P675" s="69"/>
      <c r="Q675" s="69"/>
      <c r="AT675" s="69"/>
      <c r="AU675" s="69"/>
      <c r="AV675" s="69"/>
    </row>
    <row r="676">
      <c r="P676" s="69"/>
      <c r="Q676" s="69"/>
      <c r="AT676" s="69"/>
      <c r="AU676" s="69"/>
      <c r="AV676" s="69"/>
    </row>
    <row r="677">
      <c r="P677" s="69"/>
      <c r="Q677" s="69"/>
      <c r="AT677" s="69"/>
      <c r="AU677" s="69"/>
      <c r="AV677" s="69"/>
    </row>
    <row r="678">
      <c r="P678" s="69"/>
      <c r="Q678" s="69"/>
      <c r="AT678" s="69"/>
      <c r="AU678" s="69"/>
      <c r="AV678" s="69"/>
    </row>
    <row r="679">
      <c r="P679" s="69"/>
      <c r="Q679" s="69"/>
      <c r="AT679" s="69"/>
      <c r="AU679" s="69"/>
      <c r="AV679" s="69"/>
    </row>
    <row r="680">
      <c r="P680" s="69"/>
      <c r="Q680" s="69"/>
      <c r="AT680" s="69"/>
      <c r="AU680" s="69"/>
      <c r="AV680" s="69"/>
    </row>
    <row r="681">
      <c r="P681" s="69"/>
      <c r="Q681" s="69"/>
      <c r="AT681" s="69"/>
      <c r="AU681" s="69"/>
      <c r="AV681" s="69"/>
    </row>
    <row r="682">
      <c r="P682" s="69"/>
      <c r="Q682" s="69"/>
      <c r="AT682" s="69"/>
      <c r="AU682" s="69"/>
      <c r="AV682" s="69"/>
    </row>
    <row r="683">
      <c r="P683" s="69"/>
      <c r="Q683" s="69"/>
      <c r="AT683" s="69"/>
      <c r="AU683" s="69"/>
      <c r="AV683" s="69"/>
    </row>
    <row r="684">
      <c r="P684" s="69"/>
      <c r="Q684" s="69"/>
      <c r="AT684" s="69"/>
      <c r="AU684" s="69"/>
      <c r="AV684" s="69"/>
    </row>
    <row r="685">
      <c r="P685" s="69"/>
      <c r="Q685" s="69"/>
      <c r="AT685" s="69"/>
      <c r="AU685" s="69"/>
      <c r="AV685" s="69"/>
    </row>
    <row r="686">
      <c r="P686" s="69"/>
      <c r="Q686" s="69"/>
      <c r="AT686" s="69"/>
      <c r="AU686" s="69"/>
      <c r="AV686" s="69"/>
    </row>
    <row r="687">
      <c r="P687" s="69"/>
      <c r="Q687" s="69"/>
      <c r="AT687" s="69"/>
      <c r="AU687" s="69"/>
      <c r="AV687" s="69"/>
    </row>
    <row r="688">
      <c r="P688" s="69"/>
      <c r="Q688" s="69"/>
      <c r="AT688" s="69"/>
      <c r="AU688" s="69"/>
      <c r="AV688" s="69"/>
    </row>
    <row r="689">
      <c r="P689" s="69"/>
      <c r="Q689" s="69"/>
      <c r="AT689" s="69"/>
      <c r="AU689" s="69"/>
      <c r="AV689" s="69"/>
    </row>
    <row r="690">
      <c r="P690" s="69"/>
      <c r="Q690" s="69"/>
      <c r="AT690" s="69"/>
      <c r="AU690" s="69"/>
      <c r="AV690" s="69"/>
    </row>
    <row r="691">
      <c r="P691" s="69"/>
      <c r="Q691" s="69"/>
      <c r="AT691" s="69"/>
      <c r="AU691" s="69"/>
      <c r="AV691" s="69"/>
    </row>
    <row r="692">
      <c r="P692" s="69"/>
      <c r="Q692" s="69"/>
      <c r="AT692" s="69"/>
      <c r="AU692" s="69"/>
      <c r="AV692" s="69"/>
    </row>
    <row r="693">
      <c r="P693" s="69"/>
      <c r="Q693" s="69"/>
      <c r="AT693" s="69"/>
      <c r="AU693" s="69"/>
      <c r="AV693" s="69"/>
    </row>
    <row r="694">
      <c r="P694" s="69"/>
      <c r="Q694" s="69"/>
      <c r="AT694" s="69"/>
      <c r="AU694" s="69"/>
      <c r="AV694" s="69"/>
    </row>
    <row r="695">
      <c r="P695" s="69"/>
      <c r="Q695" s="69"/>
      <c r="AT695" s="69"/>
      <c r="AU695" s="69"/>
      <c r="AV695" s="69"/>
    </row>
    <row r="696">
      <c r="P696" s="69"/>
      <c r="Q696" s="69"/>
      <c r="AT696" s="69"/>
      <c r="AU696" s="69"/>
      <c r="AV696" s="69"/>
    </row>
    <row r="697">
      <c r="P697" s="69"/>
      <c r="Q697" s="69"/>
      <c r="AT697" s="69"/>
      <c r="AU697" s="69"/>
      <c r="AV697" s="69"/>
    </row>
    <row r="698">
      <c r="P698" s="69"/>
      <c r="Q698" s="69"/>
      <c r="AT698" s="69"/>
      <c r="AU698" s="69"/>
      <c r="AV698" s="69"/>
    </row>
    <row r="699">
      <c r="P699" s="69"/>
      <c r="Q699" s="69"/>
      <c r="AT699" s="69"/>
      <c r="AU699" s="69"/>
      <c r="AV699" s="69"/>
    </row>
    <row r="700">
      <c r="P700" s="69"/>
      <c r="Q700" s="69"/>
      <c r="AT700" s="69"/>
      <c r="AU700" s="69"/>
      <c r="AV700" s="69"/>
    </row>
    <row r="701">
      <c r="P701" s="69"/>
      <c r="Q701" s="69"/>
      <c r="AT701" s="69"/>
      <c r="AU701" s="69"/>
      <c r="AV701" s="69"/>
    </row>
    <row r="702">
      <c r="P702" s="69"/>
      <c r="Q702" s="69"/>
      <c r="AT702" s="69"/>
      <c r="AU702" s="69"/>
      <c r="AV702" s="69"/>
    </row>
    <row r="703">
      <c r="P703" s="69"/>
      <c r="Q703" s="69"/>
      <c r="AT703" s="69"/>
      <c r="AU703" s="69"/>
      <c r="AV703" s="69"/>
    </row>
    <row r="704">
      <c r="P704" s="69"/>
      <c r="Q704" s="69"/>
      <c r="AT704" s="69"/>
      <c r="AU704" s="69"/>
      <c r="AV704" s="69"/>
    </row>
    <row r="705">
      <c r="P705" s="69"/>
      <c r="Q705" s="69"/>
      <c r="AT705" s="69"/>
      <c r="AU705" s="69"/>
      <c r="AV705" s="69"/>
    </row>
    <row r="706">
      <c r="P706" s="69"/>
      <c r="Q706" s="69"/>
      <c r="AT706" s="69"/>
      <c r="AU706" s="69"/>
      <c r="AV706" s="69"/>
    </row>
    <row r="707">
      <c r="P707" s="69"/>
      <c r="Q707" s="69"/>
      <c r="AT707" s="69"/>
      <c r="AU707" s="69"/>
      <c r="AV707" s="69"/>
    </row>
    <row r="708">
      <c r="P708" s="69"/>
      <c r="Q708" s="69"/>
      <c r="AT708" s="69"/>
      <c r="AU708" s="69"/>
      <c r="AV708" s="69"/>
    </row>
    <row r="709">
      <c r="P709" s="69"/>
      <c r="Q709" s="69"/>
      <c r="AT709" s="69"/>
      <c r="AU709" s="69"/>
      <c r="AV709" s="69"/>
    </row>
    <row r="710">
      <c r="P710" s="69"/>
      <c r="Q710" s="69"/>
      <c r="AT710" s="69"/>
      <c r="AU710" s="69"/>
      <c r="AV710" s="69"/>
    </row>
    <row r="711">
      <c r="P711" s="69"/>
      <c r="Q711" s="69"/>
      <c r="AT711" s="69"/>
      <c r="AU711" s="69"/>
      <c r="AV711" s="69"/>
    </row>
    <row r="712">
      <c r="P712" s="69"/>
      <c r="Q712" s="69"/>
      <c r="AT712" s="69"/>
      <c r="AU712" s="69"/>
      <c r="AV712" s="69"/>
    </row>
    <row r="713">
      <c r="P713" s="69"/>
      <c r="Q713" s="69"/>
      <c r="AT713" s="69"/>
      <c r="AU713" s="69"/>
      <c r="AV713" s="69"/>
    </row>
    <row r="714">
      <c r="P714" s="69"/>
      <c r="Q714" s="69"/>
      <c r="AT714" s="69"/>
      <c r="AU714" s="69"/>
      <c r="AV714" s="69"/>
    </row>
    <row r="715">
      <c r="P715" s="69"/>
      <c r="Q715" s="69"/>
      <c r="AT715" s="69"/>
      <c r="AU715" s="69"/>
      <c r="AV715" s="69"/>
    </row>
    <row r="716">
      <c r="P716" s="69"/>
      <c r="Q716" s="69"/>
      <c r="AT716" s="69"/>
      <c r="AU716" s="69"/>
      <c r="AV716" s="69"/>
    </row>
    <row r="717">
      <c r="P717" s="69"/>
      <c r="Q717" s="69"/>
      <c r="AT717" s="69"/>
      <c r="AU717" s="69"/>
      <c r="AV717" s="69"/>
    </row>
    <row r="718">
      <c r="P718" s="69"/>
      <c r="Q718" s="69"/>
      <c r="AT718" s="69"/>
      <c r="AU718" s="69"/>
      <c r="AV718" s="69"/>
    </row>
    <row r="719">
      <c r="P719" s="69"/>
      <c r="Q719" s="69"/>
      <c r="AT719" s="69"/>
      <c r="AU719" s="69"/>
      <c r="AV719" s="69"/>
    </row>
    <row r="720">
      <c r="P720" s="69"/>
      <c r="Q720" s="69"/>
      <c r="AT720" s="69"/>
      <c r="AU720" s="69"/>
      <c r="AV720" s="69"/>
    </row>
    <row r="721">
      <c r="P721" s="69"/>
      <c r="Q721" s="69"/>
      <c r="AT721" s="69"/>
      <c r="AU721" s="69"/>
      <c r="AV721" s="69"/>
    </row>
    <row r="722">
      <c r="P722" s="69"/>
      <c r="Q722" s="69"/>
      <c r="AT722" s="69"/>
      <c r="AU722" s="69"/>
      <c r="AV722" s="69"/>
    </row>
    <row r="723">
      <c r="P723" s="69"/>
      <c r="Q723" s="69"/>
      <c r="AT723" s="69"/>
      <c r="AU723" s="69"/>
      <c r="AV723" s="69"/>
    </row>
    <row r="724">
      <c r="P724" s="69"/>
      <c r="Q724" s="69"/>
      <c r="AT724" s="69"/>
      <c r="AU724" s="69"/>
      <c r="AV724" s="69"/>
    </row>
    <row r="725">
      <c r="P725" s="69"/>
      <c r="Q725" s="69"/>
      <c r="AT725" s="69"/>
      <c r="AU725" s="69"/>
      <c r="AV725" s="69"/>
    </row>
    <row r="726">
      <c r="P726" s="69"/>
      <c r="Q726" s="69"/>
      <c r="AT726" s="69"/>
      <c r="AU726" s="69"/>
      <c r="AV726" s="69"/>
    </row>
    <row r="727">
      <c r="P727" s="69"/>
      <c r="Q727" s="69"/>
      <c r="AT727" s="69"/>
      <c r="AU727" s="69"/>
      <c r="AV727" s="69"/>
    </row>
    <row r="728">
      <c r="P728" s="69"/>
      <c r="Q728" s="69"/>
      <c r="AT728" s="69"/>
      <c r="AU728" s="69"/>
      <c r="AV728" s="69"/>
    </row>
    <row r="729">
      <c r="P729" s="69"/>
      <c r="Q729" s="69"/>
      <c r="AT729" s="69"/>
      <c r="AU729" s="69"/>
      <c r="AV729" s="69"/>
    </row>
    <row r="730">
      <c r="P730" s="69"/>
      <c r="Q730" s="69"/>
      <c r="AT730" s="69"/>
      <c r="AU730" s="69"/>
      <c r="AV730" s="69"/>
    </row>
    <row r="731">
      <c r="P731" s="69"/>
      <c r="Q731" s="69"/>
      <c r="AT731" s="69"/>
      <c r="AU731" s="69"/>
      <c r="AV731" s="69"/>
    </row>
    <row r="732">
      <c r="P732" s="69"/>
      <c r="Q732" s="69"/>
      <c r="AT732" s="69"/>
      <c r="AU732" s="69"/>
      <c r="AV732" s="69"/>
    </row>
    <row r="733">
      <c r="P733" s="69"/>
      <c r="Q733" s="69"/>
      <c r="AT733" s="69"/>
      <c r="AU733" s="69"/>
      <c r="AV733" s="69"/>
    </row>
    <row r="734">
      <c r="P734" s="69"/>
      <c r="Q734" s="69"/>
      <c r="AT734" s="69"/>
      <c r="AU734" s="69"/>
      <c r="AV734" s="69"/>
    </row>
    <row r="735">
      <c r="P735" s="69"/>
      <c r="Q735" s="69"/>
      <c r="AT735" s="69"/>
      <c r="AU735" s="69"/>
      <c r="AV735" s="69"/>
    </row>
    <row r="736">
      <c r="P736" s="69"/>
      <c r="Q736" s="69"/>
      <c r="AT736" s="69"/>
      <c r="AU736" s="69"/>
      <c r="AV736" s="69"/>
    </row>
    <row r="737">
      <c r="P737" s="69"/>
      <c r="Q737" s="69"/>
      <c r="AT737" s="69"/>
      <c r="AU737" s="69"/>
      <c r="AV737" s="69"/>
    </row>
    <row r="738">
      <c r="P738" s="69"/>
      <c r="Q738" s="69"/>
      <c r="AT738" s="69"/>
      <c r="AU738" s="69"/>
      <c r="AV738" s="69"/>
    </row>
    <row r="739">
      <c r="P739" s="69"/>
      <c r="Q739" s="69"/>
      <c r="AT739" s="69"/>
      <c r="AU739" s="69"/>
      <c r="AV739" s="69"/>
    </row>
    <row r="740">
      <c r="P740" s="69"/>
      <c r="Q740" s="69"/>
      <c r="AT740" s="69"/>
      <c r="AU740" s="69"/>
      <c r="AV740" s="69"/>
    </row>
    <row r="741">
      <c r="P741" s="69"/>
      <c r="Q741" s="69"/>
      <c r="AT741" s="69"/>
      <c r="AU741" s="69"/>
      <c r="AV741" s="69"/>
    </row>
    <row r="742">
      <c r="P742" s="69"/>
      <c r="Q742" s="69"/>
      <c r="AT742" s="69"/>
      <c r="AU742" s="69"/>
      <c r="AV742" s="69"/>
    </row>
    <row r="743">
      <c r="P743" s="69"/>
      <c r="Q743" s="69"/>
      <c r="AT743" s="69"/>
      <c r="AU743" s="69"/>
      <c r="AV743" s="69"/>
    </row>
    <row r="744">
      <c r="P744" s="69"/>
      <c r="Q744" s="69"/>
      <c r="AT744" s="69"/>
      <c r="AU744" s="69"/>
      <c r="AV744" s="69"/>
    </row>
    <row r="745">
      <c r="P745" s="69"/>
      <c r="Q745" s="69"/>
      <c r="AT745" s="69"/>
      <c r="AU745" s="69"/>
      <c r="AV745" s="69"/>
    </row>
    <row r="746">
      <c r="P746" s="69"/>
      <c r="Q746" s="69"/>
      <c r="AT746" s="69"/>
      <c r="AU746" s="69"/>
      <c r="AV746" s="69"/>
    </row>
    <row r="747">
      <c r="P747" s="69"/>
      <c r="Q747" s="69"/>
      <c r="AT747" s="69"/>
      <c r="AU747" s="69"/>
      <c r="AV747" s="69"/>
    </row>
    <row r="748">
      <c r="P748" s="69"/>
      <c r="Q748" s="69"/>
      <c r="AT748" s="69"/>
      <c r="AU748" s="69"/>
      <c r="AV748" s="69"/>
    </row>
    <row r="749">
      <c r="P749" s="69"/>
      <c r="Q749" s="69"/>
      <c r="AT749" s="69"/>
      <c r="AU749" s="69"/>
      <c r="AV749" s="69"/>
    </row>
    <row r="750">
      <c r="P750" s="69"/>
      <c r="Q750" s="69"/>
      <c r="AT750" s="69"/>
      <c r="AU750" s="69"/>
      <c r="AV750" s="69"/>
    </row>
    <row r="751">
      <c r="P751" s="69"/>
      <c r="Q751" s="69"/>
      <c r="AT751" s="69"/>
      <c r="AU751" s="69"/>
      <c r="AV751" s="69"/>
    </row>
    <row r="752">
      <c r="P752" s="69"/>
      <c r="Q752" s="69"/>
      <c r="AT752" s="69"/>
      <c r="AU752" s="69"/>
      <c r="AV752" s="69"/>
    </row>
    <row r="753">
      <c r="P753" s="69"/>
      <c r="Q753" s="69"/>
      <c r="AT753" s="69"/>
      <c r="AU753" s="69"/>
      <c r="AV753" s="69"/>
    </row>
    <row r="754">
      <c r="P754" s="69"/>
      <c r="Q754" s="69"/>
      <c r="AT754" s="69"/>
      <c r="AU754" s="69"/>
      <c r="AV754" s="69"/>
    </row>
    <row r="755">
      <c r="P755" s="69"/>
      <c r="Q755" s="69"/>
      <c r="AT755" s="69"/>
      <c r="AU755" s="69"/>
      <c r="AV755" s="69"/>
    </row>
    <row r="756">
      <c r="P756" s="69"/>
      <c r="Q756" s="69"/>
      <c r="AT756" s="69"/>
      <c r="AU756" s="69"/>
      <c r="AV756" s="69"/>
    </row>
    <row r="757">
      <c r="P757" s="69"/>
      <c r="Q757" s="69"/>
      <c r="AT757" s="69"/>
      <c r="AU757" s="69"/>
      <c r="AV757" s="69"/>
    </row>
    <row r="758">
      <c r="P758" s="69"/>
      <c r="Q758" s="69"/>
      <c r="AT758" s="69"/>
      <c r="AU758" s="69"/>
      <c r="AV758" s="69"/>
    </row>
    <row r="759">
      <c r="P759" s="69"/>
      <c r="Q759" s="69"/>
      <c r="AT759" s="69"/>
      <c r="AU759" s="69"/>
      <c r="AV759" s="69"/>
    </row>
    <row r="760">
      <c r="P760" s="69"/>
      <c r="Q760" s="69"/>
      <c r="AT760" s="69"/>
      <c r="AU760" s="69"/>
      <c r="AV760" s="69"/>
    </row>
    <row r="761">
      <c r="P761" s="69"/>
      <c r="Q761" s="69"/>
      <c r="AT761" s="69"/>
      <c r="AU761" s="69"/>
      <c r="AV761" s="69"/>
    </row>
    <row r="762">
      <c r="P762" s="69"/>
      <c r="Q762" s="69"/>
      <c r="AT762" s="69"/>
      <c r="AU762" s="69"/>
      <c r="AV762" s="69"/>
    </row>
    <row r="763">
      <c r="P763" s="69"/>
      <c r="Q763" s="69"/>
      <c r="AT763" s="69"/>
      <c r="AU763" s="69"/>
      <c r="AV763" s="69"/>
    </row>
    <row r="764">
      <c r="P764" s="69"/>
      <c r="Q764" s="69"/>
      <c r="AT764" s="69"/>
      <c r="AU764" s="69"/>
      <c r="AV764" s="69"/>
    </row>
    <row r="765">
      <c r="P765" s="69"/>
      <c r="Q765" s="69"/>
      <c r="AT765" s="69"/>
      <c r="AU765" s="69"/>
      <c r="AV765" s="69"/>
    </row>
    <row r="766">
      <c r="P766" s="69"/>
      <c r="Q766" s="69"/>
      <c r="AT766" s="69"/>
      <c r="AU766" s="69"/>
      <c r="AV766" s="69"/>
    </row>
    <row r="767">
      <c r="P767" s="69"/>
      <c r="Q767" s="69"/>
      <c r="AT767" s="69"/>
      <c r="AU767" s="69"/>
      <c r="AV767" s="69"/>
    </row>
    <row r="768">
      <c r="P768" s="69"/>
      <c r="Q768" s="69"/>
      <c r="AT768" s="69"/>
      <c r="AU768" s="69"/>
      <c r="AV768" s="69"/>
    </row>
    <row r="769">
      <c r="P769" s="69"/>
      <c r="Q769" s="69"/>
      <c r="AT769" s="69"/>
      <c r="AU769" s="69"/>
      <c r="AV769" s="69"/>
    </row>
    <row r="770">
      <c r="P770" s="69"/>
      <c r="Q770" s="69"/>
      <c r="AT770" s="69"/>
      <c r="AU770" s="69"/>
      <c r="AV770" s="69"/>
    </row>
    <row r="771">
      <c r="P771" s="69"/>
      <c r="Q771" s="69"/>
      <c r="AT771" s="69"/>
      <c r="AU771" s="69"/>
      <c r="AV771" s="69"/>
    </row>
    <row r="772">
      <c r="P772" s="69"/>
      <c r="Q772" s="69"/>
      <c r="AT772" s="69"/>
      <c r="AU772" s="69"/>
      <c r="AV772" s="69"/>
    </row>
    <row r="773">
      <c r="P773" s="69"/>
      <c r="Q773" s="69"/>
      <c r="AT773" s="69"/>
      <c r="AU773" s="69"/>
      <c r="AV773" s="69"/>
    </row>
    <row r="774">
      <c r="P774" s="69"/>
      <c r="Q774" s="69"/>
      <c r="AT774" s="69"/>
      <c r="AU774" s="69"/>
      <c r="AV774" s="69"/>
    </row>
    <row r="775">
      <c r="P775" s="69"/>
      <c r="Q775" s="69"/>
      <c r="AT775" s="69"/>
      <c r="AU775" s="69"/>
      <c r="AV775" s="69"/>
    </row>
    <row r="776">
      <c r="P776" s="69"/>
      <c r="Q776" s="69"/>
      <c r="AT776" s="69"/>
      <c r="AU776" s="69"/>
      <c r="AV776" s="69"/>
    </row>
    <row r="777">
      <c r="P777" s="69"/>
      <c r="Q777" s="69"/>
      <c r="AT777" s="69"/>
      <c r="AU777" s="69"/>
      <c r="AV777" s="69"/>
    </row>
    <row r="778">
      <c r="P778" s="69"/>
      <c r="Q778" s="69"/>
      <c r="AT778" s="69"/>
      <c r="AU778" s="69"/>
      <c r="AV778" s="69"/>
    </row>
    <row r="779">
      <c r="P779" s="69"/>
      <c r="Q779" s="69"/>
      <c r="AT779" s="69"/>
      <c r="AU779" s="69"/>
      <c r="AV779" s="69"/>
    </row>
    <row r="780">
      <c r="P780" s="69"/>
      <c r="Q780" s="69"/>
      <c r="AT780" s="69"/>
      <c r="AU780" s="69"/>
      <c r="AV780" s="69"/>
    </row>
    <row r="781">
      <c r="P781" s="69"/>
      <c r="Q781" s="69"/>
      <c r="AT781" s="69"/>
      <c r="AU781" s="69"/>
      <c r="AV781" s="69"/>
    </row>
    <row r="782">
      <c r="P782" s="69"/>
      <c r="Q782" s="69"/>
      <c r="AT782" s="69"/>
      <c r="AU782" s="69"/>
      <c r="AV782" s="69"/>
    </row>
    <row r="783">
      <c r="P783" s="69"/>
      <c r="Q783" s="69"/>
      <c r="AT783" s="69"/>
      <c r="AU783" s="69"/>
      <c r="AV783" s="69"/>
    </row>
    <row r="784">
      <c r="P784" s="69"/>
      <c r="Q784" s="69"/>
      <c r="AT784" s="69"/>
      <c r="AU784" s="69"/>
      <c r="AV784" s="69"/>
    </row>
    <row r="785">
      <c r="P785" s="69"/>
      <c r="Q785" s="69"/>
      <c r="AT785" s="69"/>
      <c r="AU785" s="69"/>
      <c r="AV785" s="69"/>
    </row>
    <row r="786">
      <c r="P786" s="69"/>
      <c r="Q786" s="69"/>
      <c r="AT786" s="69"/>
      <c r="AU786" s="69"/>
      <c r="AV786" s="69"/>
    </row>
    <row r="787">
      <c r="P787" s="69"/>
      <c r="Q787" s="69"/>
      <c r="AT787" s="69"/>
      <c r="AU787" s="69"/>
      <c r="AV787" s="69"/>
    </row>
    <row r="788">
      <c r="P788" s="69"/>
      <c r="Q788" s="69"/>
      <c r="AT788" s="69"/>
      <c r="AU788" s="69"/>
      <c r="AV788" s="69"/>
    </row>
    <row r="789">
      <c r="P789" s="69"/>
      <c r="Q789" s="69"/>
      <c r="AT789" s="69"/>
      <c r="AU789" s="69"/>
      <c r="AV789" s="69"/>
    </row>
    <row r="790">
      <c r="P790" s="69"/>
      <c r="Q790" s="69"/>
      <c r="AT790" s="69"/>
      <c r="AU790" s="69"/>
      <c r="AV790" s="69"/>
    </row>
    <row r="791">
      <c r="P791" s="69"/>
      <c r="Q791" s="69"/>
      <c r="AT791" s="69"/>
      <c r="AU791" s="69"/>
      <c r="AV791" s="69"/>
    </row>
    <row r="792">
      <c r="P792" s="69"/>
      <c r="Q792" s="69"/>
      <c r="AT792" s="69"/>
      <c r="AU792" s="69"/>
      <c r="AV792" s="69"/>
    </row>
    <row r="793">
      <c r="P793" s="69"/>
      <c r="Q793" s="69"/>
      <c r="AT793" s="69"/>
      <c r="AU793" s="69"/>
      <c r="AV793" s="69"/>
    </row>
    <row r="794">
      <c r="P794" s="69"/>
      <c r="Q794" s="69"/>
      <c r="AT794" s="69"/>
      <c r="AU794" s="69"/>
      <c r="AV794" s="69"/>
    </row>
    <row r="795">
      <c r="P795" s="69"/>
      <c r="Q795" s="69"/>
      <c r="AT795" s="69"/>
      <c r="AU795" s="69"/>
      <c r="AV795" s="69"/>
    </row>
    <row r="796">
      <c r="P796" s="69"/>
      <c r="Q796" s="69"/>
      <c r="AT796" s="69"/>
      <c r="AU796" s="69"/>
      <c r="AV796" s="69"/>
    </row>
    <row r="797">
      <c r="P797" s="69"/>
      <c r="Q797" s="69"/>
      <c r="AT797" s="69"/>
      <c r="AU797" s="69"/>
      <c r="AV797" s="69"/>
    </row>
    <row r="798">
      <c r="P798" s="69"/>
      <c r="Q798" s="69"/>
      <c r="AT798" s="69"/>
      <c r="AU798" s="69"/>
      <c r="AV798" s="69"/>
    </row>
    <row r="799">
      <c r="P799" s="69"/>
      <c r="Q799" s="69"/>
      <c r="AT799" s="69"/>
      <c r="AU799" s="69"/>
      <c r="AV799" s="69"/>
    </row>
    <row r="800">
      <c r="P800" s="69"/>
      <c r="Q800" s="69"/>
      <c r="AT800" s="69"/>
      <c r="AU800" s="69"/>
      <c r="AV800" s="69"/>
    </row>
    <row r="801">
      <c r="P801" s="69"/>
      <c r="Q801" s="69"/>
      <c r="AT801" s="69"/>
      <c r="AU801" s="69"/>
      <c r="AV801" s="69"/>
    </row>
    <row r="802">
      <c r="P802" s="69"/>
      <c r="Q802" s="69"/>
      <c r="AT802" s="69"/>
      <c r="AU802" s="69"/>
      <c r="AV802" s="69"/>
    </row>
    <row r="803">
      <c r="P803" s="69"/>
      <c r="Q803" s="69"/>
      <c r="AT803" s="69"/>
      <c r="AU803" s="69"/>
      <c r="AV803" s="69"/>
    </row>
    <row r="804">
      <c r="P804" s="69"/>
      <c r="Q804" s="69"/>
      <c r="AT804" s="69"/>
      <c r="AU804" s="69"/>
      <c r="AV804" s="69"/>
    </row>
    <row r="805">
      <c r="P805" s="69"/>
      <c r="Q805" s="69"/>
      <c r="AT805" s="69"/>
      <c r="AU805" s="69"/>
      <c r="AV805" s="69"/>
    </row>
    <row r="806">
      <c r="P806" s="69"/>
      <c r="Q806" s="69"/>
      <c r="AT806" s="69"/>
      <c r="AU806" s="69"/>
      <c r="AV806" s="69"/>
    </row>
    <row r="807">
      <c r="P807" s="69"/>
      <c r="Q807" s="69"/>
      <c r="AT807" s="69"/>
      <c r="AU807" s="69"/>
      <c r="AV807" s="69"/>
    </row>
    <row r="808">
      <c r="P808" s="69"/>
      <c r="Q808" s="69"/>
      <c r="AT808" s="69"/>
      <c r="AU808" s="69"/>
      <c r="AV808" s="69"/>
    </row>
    <row r="809">
      <c r="P809" s="69"/>
      <c r="Q809" s="69"/>
      <c r="AT809" s="69"/>
      <c r="AU809" s="69"/>
      <c r="AV809" s="69"/>
    </row>
    <row r="810">
      <c r="P810" s="69"/>
      <c r="Q810" s="69"/>
      <c r="AT810" s="69"/>
      <c r="AU810" s="69"/>
      <c r="AV810" s="69"/>
    </row>
    <row r="811">
      <c r="P811" s="69"/>
      <c r="Q811" s="69"/>
      <c r="AT811" s="69"/>
      <c r="AU811" s="69"/>
      <c r="AV811" s="69"/>
    </row>
    <row r="812">
      <c r="P812" s="69"/>
      <c r="Q812" s="69"/>
      <c r="AT812" s="69"/>
      <c r="AU812" s="69"/>
      <c r="AV812" s="69"/>
    </row>
    <row r="813">
      <c r="P813" s="69"/>
      <c r="Q813" s="69"/>
      <c r="AT813" s="69"/>
      <c r="AU813" s="69"/>
      <c r="AV813" s="69"/>
    </row>
    <row r="814">
      <c r="P814" s="69"/>
      <c r="Q814" s="69"/>
      <c r="AT814" s="69"/>
      <c r="AU814" s="69"/>
      <c r="AV814" s="69"/>
    </row>
    <row r="815">
      <c r="P815" s="69"/>
      <c r="Q815" s="69"/>
      <c r="AT815" s="69"/>
      <c r="AU815" s="69"/>
      <c r="AV815" s="69"/>
    </row>
    <row r="816">
      <c r="P816" s="69"/>
      <c r="Q816" s="69"/>
      <c r="AT816" s="69"/>
      <c r="AU816" s="69"/>
      <c r="AV816" s="69"/>
    </row>
    <row r="817">
      <c r="P817" s="69"/>
      <c r="Q817" s="69"/>
      <c r="AT817" s="69"/>
      <c r="AU817" s="69"/>
      <c r="AV817" s="69"/>
    </row>
    <row r="818">
      <c r="P818" s="69"/>
      <c r="Q818" s="69"/>
      <c r="AT818" s="69"/>
      <c r="AU818" s="69"/>
      <c r="AV818" s="69"/>
    </row>
    <row r="819">
      <c r="P819" s="69"/>
      <c r="Q819" s="69"/>
      <c r="AT819" s="69"/>
      <c r="AU819" s="69"/>
      <c r="AV819" s="69"/>
    </row>
    <row r="820">
      <c r="P820" s="69"/>
      <c r="Q820" s="69"/>
      <c r="AT820" s="69"/>
      <c r="AU820" s="69"/>
      <c r="AV820" s="69"/>
    </row>
    <row r="821">
      <c r="P821" s="69"/>
      <c r="Q821" s="69"/>
      <c r="AT821" s="69"/>
      <c r="AU821" s="69"/>
      <c r="AV821" s="69"/>
    </row>
    <row r="822">
      <c r="P822" s="69"/>
      <c r="Q822" s="69"/>
      <c r="AT822" s="69"/>
      <c r="AU822" s="69"/>
      <c r="AV822" s="69"/>
    </row>
    <row r="823">
      <c r="P823" s="69"/>
      <c r="Q823" s="69"/>
      <c r="AT823" s="69"/>
      <c r="AU823" s="69"/>
      <c r="AV823" s="69"/>
    </row>
    <row r="824">
      <c r="P824" s="69"/>
      <c r="Q824" s="69"/>
      <c r="AT824" s="69"/>
      <c r="AU824" s="69"/>
      <c r="AV824" s="69"/>
    </row>
    <row r="825">
      <c r="P825" s="69"/>
      <c r="Q825" s="69"/>
      <c r="AT825" s="69"/>
      <c r="AU825" s="69"/>
      <c r="AV825" s="69"/>
    </row>
    <row r="826">
      <c r="P826" s="69"/>
      <c r="Q826" s="69"/>
      <c r="AT826" s="69"/>
      <c r="AU826" s="69"/>
      <c r="AV826" s="69"/>
    </row>
    <row r="827">
      <c r="P827" s="69"/>
      <c r="Q827" s="69"/>
      <c r="AT827" s="69"/>
      <c r="AU827" s="69"/>
      <c r="AV827" s="69"/>
    </row>
    <row r="828">
      <c r="P828" s="69"/>
      <c r="Q828" s="69"/>
      <c r="AT828" s="69"/>
      <c r="AU828" s="69"/>
      <c r="AV828" s="69"/>
    </row>
    <row r="829">
      <c r="P829" s="69"/>
      <c r="Q829" s="69"/>
      <c r="AT829" s="69"/>
      <c r="AU829" s="69"/>
      <c r="AV829" s="69"/>
    </row>
    <row r="830">
      <c r="P830" s="69"/>
      <c r="Q830" s="69"/>
      <c r="AT830" s="69"/>
      <c r="AU830" s="69"/>
      <c r="AV830" s="69"/>
    </row>
    <row r="831">
      <c r="P831" s="69"/>
      <c r="Q831" s="69"/>
      <c r="AT831" s="69"/>
      <c r="AU831" s="69"/>
      <c r="AV831" s="69"/>
    </row>
    <row r="832">
      <c r="P832" s="69"/>
      <c r="Q832" s="69"/>
      <c r="AT832" s="69"/>
      <c r="AU832" s="69"/>
      <c r="AV832" s="69"/>
    </row>
    <row r="833">
      <c r="P833" s="69"/>
      <c r="Q833" s="69"/>
      <c r="AT833" s="69"/>
      <c r="AU833" s="69"/>
      <c r="AV833" s="69"/>
    </row>
    <row r="834">
      <c r="P834" s="69"/>
      <c r="Q834" s="69"/>
      <c r="AT834" s="69"/>
      <c r="AU834" s="69"/>
      <c r="AV834" s="69"/>
    </row>
    <row r="835">
      <c r="P835" s="69"/>
      <c r="Q835" s="69"/>
      <c r="AT835" s="69"/>
      <c r="AU835" s="69"/>
      <c r="AV835" s="69"/>
    </row>
    <row r="836">
      <c r="P836" s="69"/>
      <c r="Q836" s="69"/>
      <c r="AT836" s="69"/>
      <c r="AU836" s="69"/>
      <c r="AV836" s="69"/>
    </row>
    <row r="837">
      <c r="P837" s="69"/>
      <c r="Q837" s="69"/>
      <c r="AT837" s="69"/>
      <c r="AU837" s="69"/>
      <c r="AV837" s="69"/>
    </row>
    <row r="838">
      <c r="P838" s="69"/>
      <c r="Q838" s="69"/>
      <c r="AT838" s="69"/>
      <c r="AU838" s="69"/>
      <c r="AV838" s="69"/>
    </row>
    <row r="839">
      <c r="P839" s="69"/>
      <c r="Q839" s="69"/>
      <c r="AT839" s="69"/>
      <c r="AU839" s="69"/>
      <c r="AV839" s="69"/>
    </row>
    <row r="840">
      <c r="P840" s="69"/>
      <c r="Q840" s="69"/>
      <c r="AT840" s="69"/>
      <c r="AU840" s="69"/>
      <c r="AV840" s="69"/>
    </row>
    <row r="841">
      <c r="P841" s="69"/>
      <c r="Q841" s="69"/>
      <c r="AT841" s="69"/>
      <c r="AU841" s="69"/>
      <c r="AV841" s="69"/>
    </row>
    <row r="842">
      <c r="P842" s="69"/>
      <c r="Q842" s="69"/>
      <c r="AT842" s="69"/>
      <c r="AU842" s="69"/>
      <c r="AV842" s="69"/>
    </row>
    <row r="843">
      <c r="P843" s="69"/>
      <c r="Q843" s="69"/>
      <c r="AT843" s="69"/>
      <c r="AU843" s="69"/>
      <c r="AV843" s="69"/>
    </row>
    <row r="844">
      <c r="P844" s="69"/>
      <c r="Q844" s="69"/>
      <c r="AT844" s="69"/>
      <c r="AU844" s="69"/>
      <c r="AV844" s="69"/>
    </row>
    <row r="845">
      <c r="P845" s="69"/>
      <c r="Q845" s="69"/>
      <c r="AT845" s="69"/>
      <c r="AU845" s="69"/>
      <c r="AV845" s="69"/>
    </row>
    <row r="846">
      <c r="P846" s="69"/>
      <c r="Q846" s="69"/>
      <c r="AT846" s="69"/>
      <c r="AU846" s="69"/>
      <c r="AV846" s="69"/>
    </row>
    <row r="847">
      <c r="P847" s="69"/>
      <c r="Q847" s="69"/>
      <c r="AT847" s="69"/>
      <c r="AU847" s="69"/>
      <c r="AV847" s="69"/>
    </row>
    <row r="848">
      <c r="P848" s="69"/>
      <c r="Q848" s="69"/>
      <c r="AT848" s="69"/>
      <c r="AU848" s="69"/>
      <c r="AV848" s="69"/>
    </row>
    <row r="849">
      <c r="P849" s="69"/>
      <c r="Q849" s="69"/>
      <c r="AT849" s="69"/>
      <c r="AU849" s="69"/>
      <c r="AV849" s="69"/>
    </row>
    <row r="850">
      <c r="P850" s="69"/>
      <c r="Q850" s="69"/>
      <c r="AT850" s="69"/>
      <c r="AU850" s="69"/>
      <c r="AV850" s="69"/>
    </row>
    <row r="851">
      <c r="P851" s="69"/>
      <c r="Q851" s="69"/>
      <c r="AT851" s="69"/>
      <c r="AU851" s="69"/>
      <c r="AV851" s="69"/>
    </row>
    <row r="852">
      <c r="P852" s="69"/>
      <c r="Q852" s="69"/>
      <c r="AT852" s="69"/>
      <c r="AU852" s="69"/>
      <c r="AV852" s="69"/>
    </row>
    <row r="853">
      <c r="P853" s="69"/>
      <c r="Q853" s="69"/>
      <c r="AT853" s="69"/>
      <c r="AU853" s="69"/>
      <c r="AV853" s="69"/>
    </row>
    <row r="854">
      <c r="P854" s="69"/>
      <c r="Q854" s="69"/>
      <c r="AT854" s="69"/>
      <c r="AU854" s="69"/>
      <c r="AV854" s="69"/>
    </row>
    <row r="855">
      <c r="P855" s="69"/>
      <c r="Q855" s="69"/>
      <c r="AT855" s="69"/>
      <c r="AU855" s="69"/>
      <c r="AV855" s="69"/>
    </row>
    <row r="856">
      <c r="P856" s="69"/>
      <c r="Q856" s="69"/>
      <c r="AT856" s="69"/>
      <c r="AU856" s="69"/>
      <c r="AV856" s="69"/>
    </row>
    <row r="857">
      <c r="P857" s="69"/>
      <c r="Q857" s="69"/>
      <c r="AT857" s="69"/>
      <c r="AU857" s="69"/>
      <c r="AV857" s="69"/>
    </row>
    <row r="858">
      <c r="P858" s="69"/>
      <c r="Q858" s="69"/>
      <c r="AT858" s="69"/>
      <c r="AU858" s="69"/>
      <c r="AV858" s="69"/>
    </row>
    <row r="859">
      <c r="P859" s="69"/>
      <c r="Q859" s="69"/>
      <c r="AT859" s="69"/>
      <c r="AU859" s="69"/>
      <c r="AV859" s="69"/>
    </row>
    <row r="860">
      <c r="P860" s="69"/>
      <c r="Q860" s="69"/>
      <c r="AT860" s="69"/>
      <c r="AU860" s="69"/>
      <c r="AV860" s="69"/>
    </row>
    <row r="861">
      <c r="P861" s="69"/>
      <c r="Q861" s="69"/>
      <c r="AT861" s="69"/>
      <c r="AU861" s="69"/>
      <c r="AV861" s="69"/>
    </row>
    <row r="862">
      <c r="P862" s="69"/>
      <c r="Q862" s="69"/>
      <c r="AT862" s="69"/>
      <c r="AU862" s="69"/>
      <c r="AV862" s="69"/>
    </row>
    <row r="863">
      <c r="P863" s="69"/>
      <c r="Q863" s="69"/>
      <c r="AT863" s="69"/>
      <c r="AU863" s="69"/>
      <c r="AV863" s="69"/>
    </row>
    <row r="864">
      <c r="P864" s="69"/>
      <c r="Q864" s="69"/>
      <c r="AT864" s="69"/>
      <c r="AU864" s="69"/>
      <c r="AV864" s="69"/>
    </row>
    <row r="865">
      <c r="P865" s="69"/>
      <c r="Q865" s="69"/>
      <c r="AT865" s="69"/>
      <c r="AU865" s="69"/>
      <c r="AV865" s="69"/>
    </row>
    <row r="866">
      <c r="P866" s="69"/>
      <c r="Q866" s="69"/>
      <c r="AT866" s="69"/>
      <c r="AU866" s="69"/>
      <c r="AV866" s="69"/>
    </row>
    <row r="867">
      <c r="P867" s="69"/>
      <c r="Q867" s="69"/>
      <c r="AT867" s="69"/>
      <c r="AU867" s="69"/>
      <c r="AV867" s="69"/>
    </row>
    <row r="868">
      <c r="P868" s="69"/>
      <c r="Q868" s="69"/>
      <c r="AT868" s="69"/>
      <c r="AU868" s="69"/>
      <c r="AV868" s="69"/>
    </row>
    <row r="869">
      <c r="P869" s="69"/>
      <c r="Q869" s="69"/>
      <c r="AT869" s="69"/>
      <c r="AU869" s="69"/>
      <c r="AV869" s="69"/>
    </row>
    <row r="870">
      <c r="P870" s="69"/>
      <c r="Q870" s="69"/>
      <c r="AT870" s="69"/>
      <c r="AU870" s="69"/>
      <c r="AV870" s="69"/>
    </row>
    <row r="871">
      <c r="P871" s="69"/>
      <c r="Q871" s="69"/>
      <c r="AT871" s="69"/>
      <c r="AU871" s="69"/>
      <c r="AV871" s="69"/>
    </row>
    <row r="872">
      <c r="P872" s="69"/>
      <c r="Q872" s="69"/>
      <c r="AT872" s="69"/>
      <c r="AU872" s="69"/>
      <c r="AV872" s="69"/>
    </row>
    <row r="873">
      <c r="P873" s="69"/>
      <c r="Q873" s="69"/>
      <c r="AT873" s="69"/>
      <c r="AU873" s="69"/>
      <c r="AV873" s="69"/>
    </row>
    <row r="874">
      <c r="P874" s="69"/>
      <c r="Q874" s="69"/>
      <c r="AT874" s="69"/>
      <c r="AU874" s="69"/>
      <c r="AV874" s="69"/>
    </row>
    <row r="875">
      <c r="P875" s="69"/>
      <c r="Q875" s="69"/>
      <c r="AT875" s="69"/>
      <c r="AU875" s="69"/>
      <c r="AV875" s="69"/>
    </row>
    <row r="876">
      <c r="P876" s="69"/>
      <c r="Q876" s="69"/>
      <c r="AT876" s="69"/>
      <c r="AU876" s="69"/>
      <c r="AV876" s="69"/>
    </row>
    <row r="877">
      <c r="P877" s="69"/>
      <c r="Q877" s="69"/>
      <c r="AT877" s="69"/>
      <c r="AU877" s="69"/>
      <c r="AV877" s="69"/>
    </row>
    <row r="878">
      <c r="P878" s="69"/>
      <c r="Q878" s="69"/>
      <c r="AT878" s="69"/>
      <c r="AU878" s="69"/>
      <c r="AV878" s="69"/>
    </row>
    <row r="879">
      <c r="P879" s="69"/>
      <c r="Q879" s="69"/>
      <c r="AT879" s="69"/>
      <c r="AU879" s="69"/>
      <c r="AV879" s="69"/>
    </row>
    <row r="880">
      <c r="P880" s="69"/>
      <c r="Q880" s="69"/>
      <c r="AT880" s="69"/>
      <c r="AU880" s="69"/>
      <c r="AV880" s="69"/>
    </row>
    <row r="881">
      <c r="P881" s="69"/>
      <c r="Q881" s="69"/>
      <c r="AT881" s="69"/>
      <c r="AU881" s="69"/>
      <c r="AV881" s="69"/>
    </row>
    <row r="882">
      <c r="P882" s="69"/>
      <c r="Q882" s="69"/>
      <c r="AT882" s="69"/>
      <c r="AU882" s="69"/>
      <c r="AV882" s="69"/>
    </row>
    <row r="883">
      <c r="P883" s="69"/>
      <c r="Q883" s="69"/>
      <c r="AT883" s="69"/>
      <c r="AU883" s="69"/>
      <c r="AV883" s="69"/>
    </row>
    <row r="884">
      <c r="P884" s="69"/>
      <c r="Q884" s="69"/>
      <c r="AT884" s="69"/>
      <c r="AU884" s="69"/>
      <c r="AV884" s="69"/>
    </row>
    <row r="885">
      <c r="P885" s="69"/>
      <c r="Q885" s="69"/>
      <c r="AT885" s="69"/>
      <c r="AU885" s="69"/>
      <c r="AV885" s="69"/>
    </row>
    <row r="886">
      <c r="P886" s="69"/>
      <c r="Q886" s="69"/>
      <c r="AT886" s="69"/>
      <c r="AU886" s="69"/>
      <c r="AV886" s="69"/>
    </row>
    <row r="887">
      <c r="P887" s="69"/>
      <c r="Q887" s="69"/>
      <c r="AT887" s="69"/>
      <c r="AU887" s="69"/>
      <c r="AV887" s="69"/>
    </row>
    <row r="888">
      <c r="P888" s="69"/>
      <c r="Q888" s="69"/>
      <c r="AT888" s="69"/>
      <c r="AU888" s="69"/>
      <c r="AV888" s="69"/>
    </row>
    <row r="889">
      <c r="P889" s="69"/>
      <c r="Q889" s="69"/>
      <c r="AT889" s="69"/>
      <c r="AU889" s="69"/>
      <c r="AV889" s="69"/>
    </row>
    <row r="890">
      <c r="P890" s="69"/>
      <c r="Q890" s="69"/>
      <c r="AT890" s="69"/>
      <c r="AU890" s="69"/>
      <c r="AV890" s="69"/>
    </row>
    <row r="891">
      <c r="P891" s="69"/>
      <c r="Q891" s="69"/>
      <c r="AT891" s="69"/>
      <c r="AU891" s="69"/>
      <c r="AV891" s="69"/>
    </row>
    <row r="892">
      <c r="P892" s="69"/>
      <c r="Q892" s="69"/>
      <c r="AT892" s="69"/>
      <c r="AU892" s="69"/>
      <c r="AV892" s="69"/>
    </row>
    <row r="893">
      <c r="P893" s="69"/>
      <c r="Q893" s="69"/>
      <c r="AT893" s="69"/>
      <c r="AU893" s="69"/>
      <c r="AV893" s="69"/>
    </row>
    <row r="894">
      <c r="P894" s="69"/>
      <c r="Q894" s="69"/>
      <c r="AT894" s="69"/>
      <c r="AU894" s="69"/>
      <c r="AV894" s="69"/>
    </row>
    <row r="895">
      <c r="P895" s="69"/>
      <c r="Q895" s="69"/>
      <c r="AT895" s="69"/>
      <c r="AU895" s="69"/>
      <c r="AV895" s="69"/>
    </row>
    <row r="896">
      <c r="P896" s="69"/>
      <c r="Q896" s="69"/>
      <c r="AT896" s="69"/>
      <c r="AU896" s="69"/>
      <c r="AV896" s="69"/>
    </row>
    <row r="897">
      <c r="P897" s="69"/>
      <c r="Q897" s="69"/>
      <c r="AT897" s="69"/>
      <c r="AU897" s="69"/>
      <c r="AV897" s="69"/>
    </row>
    <row r="898">
      <c r="P898" s="69"/>
      <c r="Q898" s="69"/>
      <c r="AT898" s="69"/>
      <c r="AU898" s="69"/>
      <c r="AV898" s="69"/>
    </row>
    <row r="899">
      <c r="P899" s="69"/>
      <c r="Q899" s="69"/>
      <c r="AT899" s="69"/>
      <c r="AU899" s="69"/>
      <c r="AV899" s="69"/>
    </row>
    <row r="900">
      <c r="P900" s="69"/>
      <c r="Q900" s="69"/>
      <c r="AT900" s="69"/>
      <c r="AU900" s="69"/>
      <c r="AV900" s="69"/>
    </row>
    <row r="901">
      <c r="P901" s="69"/>
      <c r="Q901" s="69"/>
      <c r="AT901" s="69"/>
      <c r="AU901" s="69"/>
      <c r="AV901" s="69"/>
    </row>
    <row r="902">
      <c r="P902" s="69"/>
      <c r="Q902" s="69"/>
      <c r="AT902" s="69"/>
      <c r="AU902" s="69"/>
      <c r="AV902" s="69"/>
    </row>
    <row r="903">
      <c r="P903" s="69"/>
      <c r="Q903" s="69"/>
      <c r="AT903" s="69"/>
      <c r="AU903" s="69"/>
      <c r="AV903" s="69"/>
    </row>
    <row r="904">
      <c r="P904" s="69"/>
      <c r="Q904" s="69"/>
      <c r="AT904" s="69"/>
      <c r="AU904" s="69"/>
      <c r="AV904" s="69"/>
    </row>
    <row r="905">
      <c r="P905" s="69"/>
      <c r="Q905" s="69"/>
      <c r="AT905" s="69"/>
      <c r="AU905" s="69"/>
      <c r="AV905" s="69"/>
    </row>
    <row r="906">
      <c r="P906" s="69"/>
      <c r="Q906" s="69"/>
      <c r="AT906" s="69"/>
      <c r="AU906" s="69"/>
      <c r="AV906" s="69"/>
    </row>
    <row r="907">
      <c r="P907" s="69"/>
      <c r="Q907" s="69"/>
      <c r="AT907" s="69"/>
      <c r="AU907" s="69"/>
      <c r="AV907" s="69"/>
    </row>
    <row r="908">
      <c r="P908" s="69"/>
      <c r="Q908" s="69"/>
      <c r="AT908" s="69"/>
      <c r="AU908" s="69"/>
      <c r="AV908" s="69"/>
    </row>
    <row r="909">
      <c r="P909" s="69"/>
      <c r="Q909" s="69"/>
      <c r="AT909" s="69"/>
      <c r="AU909" s="69"/>
      <c r="AV909" s="69"/>
    </row>
    <row r="910">
      <c r="P910" s="69"/>
      <c r="Q910" s="69"/>
      <c r="AT910" s="69"/>
      <c r="AU910" s="69"/>
      <c r="AV910" s="69"/>
    </row>
    <row r="911">
      <c r="P911" s="69"/>
      <c r="Q911" s="69"/>
      <c r="AT911" s="69"/>
      <c r="AU911" s="69"/>
      <c r="AV911" s="69"/>
    </row>
    <row r="912">
      <c r="P912" s="69"/>
      <c r="Q912" s="69"/>
      <c r="AT912" s="69"/>
      <c r="AU912" s="69"/>
      <c r="AV912" s="69"/>
    </row>
    <row r="913">
      <c r="P913" s="69"/>
      <c r="Q913" s="69"/>
      <c r="AT913" s="69"/>
      <c r="AU913" s="69"/>
      <c r="AV913" s="69"/>
    </row>
    <row r="914">
      <c r="P914" s="69"/>
      <c r="Q914" s="69"/>
      <c r="AT914" s="69"/>
      <c r="AU914" s="69"/>
      <c r="AV914" s="69"/>
    </row>
    <row r="915">
      <c r="P915" s="69"/>
      <c r="Q915" s="69"/>
      <c r="AT915" s="69"/>
      <c r="AU915" s="69"/>
      <c r="AV915" s="69"/>
    </row>
    <row r="916">
      <c r="P916" s="69"/>
      <c r="Q916" s="69"/>
      <c r="AT916" s="69"/>
      <c r="AU916" s="69"/>
      <c r="AV916" s="69"/>
    </row>
    <row r="917">
      <c r="P917" s="69"/>
      <c r="Q917" s="69"/>
      <c r="AT917" s="69"/>
      <c r="AU917" s="69"/>
      <c r="AV917" s="69"/>
    </row>
    <row r="918">
      <c r="P918" s="69"/>
      <c r="Q918" s="69"/>
      <c r="AT918" s="69"/>
      <c r="AU918" s="69"/>
      <c r="AV918" s="69"/>
    </row>
    <row r="919">
      <c r="P919" s="69"/>
      <c r="Q919" s="69"/>
      <c r="AT919" s="69"/>
      <c r="AU919" s="69"/>
      <c r="AV919" s="69"/>
    </row>
    <row r="920">
      <c r="P920" s="69"/>
      <c r="Q920" s="69"/>
      <c r="AT920" s="69"/>
      <c r="AU920" s="69"/>
      <c r="AV920" s="69"/>
    </row>
    <row r="921">
      <c r="P921" s="69"/>
      <c r="Q921" s="69"/>
      <c r="AT921" s="69"/>
      <c r="AU921" s="69"/>
      <c r="AV921" s="69"/>
    </row>
    <row r="922">
      <c r="P922" s="69"/>
      <c r="Q922" s="69"/>
      <c r="AT922" s="69"/>
      <c r="AU922" s="69"/>
      <c r="AV922" s="69"/>
    </row>
    <row r="923">
      <c r="P923" s="69"/>
      <c r="Q923" s="69"/>
      <c r="AT923" s="69"/>
      <c r="AU923" s="69"/>
      <c r="AV923" s="69"/>
    </row>
    <row r="924">
      <c r="P924" s="69"/>
      <c r="Q924" s="69"/>
      <c r="AT924" s="69"/>
      <c r="AU924" s="69"/>
      <c r="AV924" s="69"/>
    </row>
    <row r="925">
      <c r="P925" s="69"/>
      <c r="Q925" s="69"/>
      <c r="AT925" s="69"/>
      <c r="AU925" s="69"/>
      <c r="AV925" s="69"/>
    </row>
    <row r="926">
      <c r="P926" s="69"/>
      <c r="Q926" s="69"/>
      <c r="AT926" s="69"/>
      <c r="AU926" s="69"/>
      <c r="AV926" s="69"/>
    </row>
    <row r="927">
      <c r="P927" s="69"/>
      <c r="Q927" s="69"/>
      <c r="AT927" s="69"/>
      <c r="AU927" s="69"/>
      <c r="AV927" s="69"/>
    </row>
    <row r="928">
      <c r="P928" s="69"/>
      <c r="Q928" s="69"/>
      <c r="AT928" s="69"/>
      <c r="AU928" s="69"/>
      <c r="AV928" s="69"/>
    </row>
    <row r="929">
      <c r="P929" s="69"/>
      <c r="Q929" s="69"/>
      <c r="AT929" s="69"/>
      <c r="AU929" s="69"/>
      <c r="AV929" s="69"/>
    </row>
    <row r="930">
      <c r="P930" s="69"/>
      <c r="Q930" s="69"/>
      <c r="AT930" s="69"/>
      <c r="AU930" s="69"/>
      <c r="AV930" s="69"/>
    </row>
    <row r="931">
      <c r="P931" s="69"/>
      <c r="Q931" s="69"/>
      <c r="AT931" s="69"/>
      <c r="AU931" s="69"/>
      <c r="AV931" s="69"/>
    </row>
    <row r="932">
      <c r="P932" s="69"/>
      <c r="Q932" s="69"/>
      <c r="AT932" s="69"/>
      <c r="AU932" s="69"/>
      <c r="AV932" s="69"/>
    </row>
    <row r="933">
      <c r="P933" s="69"/>
      <c r="Q933" s="69"/>
      <c r="AT933" s="69"/>
      <c r="AU933" s="69"/>
      <c r="AV933" s="69"/>
    </row>
    <row r="934">
      <c r="P934" s="69"/>
      <c r="Q934" s="69"/>
      <c r="AT934" s="69"/>
      <c r="AU934" s="69"/>
      <c r="AV934" s="69"/>
    </row>
    <row r="935">
      <c r="P935" s="69"/>
      <c r="Q935" s="69"/>
      <c r="AT935" s="69"/>
      <c r="AU935" s="69"/>
      <c r="AV935" s="69"/>
    </row>
    <row r="936">
      <c r="P936" s="69"/>
      <c r="Q936" s="69"/>
      <c r="AT936" s="69"/>
      <c r="AU936" s="69"/>
      <c r="AV936" s="69"/>
    </row>
    <row r="937">
      <c r="P937" s="69"/>
      <c r="Q937" s="69"/>
      <c r="AT937" s="69"/>
      <c r="AU937" s="69"/>
      <c r="AV937" s="69"/>
    </row>
    <row r="938">
      <c r="P938" s="69"/>
      <c r="Q938" s="69"/>
      <c r="AT938" s="69"/>
      <c r="AU938" s="69"/>
      <c r="AV938" s="69"/>
    </row>
    <row r="939">
      <c r="P939" s="69"/>
      <c r="Q939" s="69"/>
      <c r="AT939" s="69"/>
      <c r="AU939" s="69"/>
      <c r="AV939" s="69"/>
    </row>
    <row r="940">
      <c r="P940" s="69"/>
      <c r="Q940" s="69"/>
      <c r="AT940" s="69"/>
      <c r="AU940" s="69"/>
      <c r="AV940" s="69"/>
    </row>
    <row r="941">
      <c r="P941" s="69"/>
      <c r="Q941" s="69"/>
      <c r="AT941" s="69"/>
      <c r="AU941" s="69"/>
      <c r="AV941" s="69"/>
    </row>
    <row r="942">
      <c r="P942" s="69"/>
      <c r="Q942" s="69"/>
      <c r="AT942" s="69"/>
      <c r="AU942" s="69"/>
      <c r="AV942" s="69"/>
    </row>
    <row r="943">
      <c r="P943" s="69"/>
      <c r="Q943" s="69"/>
      <c r="AT943" s="69"/>
      <c r="AU943" s="69"/>
      <c r="AV943" s="69"/>
    </row>
    <row r="944">
      <c r="P944" s="69"/>
      <c r="Q944" s="69"/>
      <c r="AT944" s="69"/>
      <c r="AU944" s="69"/>
      <c r="AV944" s="69"/>
    </row>
    <row r="945">
      <c r="P945" s="69"/>
      <c r="Q945" s="69"/>
      <c r="AT945" s="69"/>
      <c r="AU945" s="69"/>
      <c r="AV945" s="69"/>
    </row>
    <row r="946">
      <c r="P946" s="69"/>
      <c r="Q946" s="69"/>
      <c r="AT946" s="69"/>
      <c r="AU946" s="69"/>
      <c r="AV946" s="69"/>
    </row>
    <row r="947">
      <c r="P947" s="69"/>
      <c r="Q947" s="69"/>
      <c r="AT947" s="69"/>
      <c r="AU947" s="69"/>
      <c r="AV947" s="69"/>
    </row>
    <row r="948">
      <c r="P948" s="69"/>
      <c r="Q948" s="69"/>
      <c r="AT948" s="69"/>
      <c r="AU948" s="69"/>
      <c r="AV948" s="69"/>
    </row>
    <row r="949">
      <c r="P949" s="69"/>
      <c r="Q949" s="69"/>
      <c r="AT949" s="69"/>
      <c r="AU949" s="69"/>
      <c r="AV949" s="69"/>
    </row>
    <row r="950">
      <c r="P950" s="69"/>
      <c r="Q950" s="69"/>
      <c r="AT950" s="69"/>
      <c r="AU950" s="69"/>
      <c r="AV950" s="69"/>
    </row>
    <row r="951">
      <c r="P951" s="69"/>
      <c r="Q951" s="69"/>
      <c r="AT951" s="69"/>
      <c r="AU951" s="69"/>
      <c r="AV951" s="69"/>
    </row>
    <row r="952">
      <c r="P952" s="69"/>
      <c r="Q952" s="69"/>
      <c r="AT952" s="69"/>
      <c r="AU952" s="69"/>
      <c r="AV952" s="69"/>
    </row>
    <row r="953">
      <c r="P953" s="69"/>
      <c r="Q953" s="69"/>
      <c r="AT953" s="69"/>
      <c r="AU953" s="69"/>
      <c r="AV953" s="69"/>
    </row>
    <row r="954">
      <c r="P954" s="69"/>
      <c r="Q954" s="69"/>
      <c r="AT954" s="69"/>
      <c r="AU954" s="69"/>
      <c r="AV954" s="69"/>
    </row>
    <row r="955">
      <c r="P955" s="69"/>
      <c r="Q955" s="69"/>
      <c r="AT955" s="69"/>
      <c r="AU955" s="69"/>
      <c r="AV955" s="69"/>
    </row>
    <row r="956">
      <c r="P956" s="69"/>
      <c r="Q956" s="69"/>
      <c r="AT956" s="69"/>
      <c r="AU956" s="69"/>
      <c r="AV956" s="69"/>
    </row>
    <row r="957">
      <c r="P957" s="69"/>
      <c r="Q957" s="69"/>
      <c r="AT957" s="69"/>
      <c r="AU957" s="69"/>
      <c r="AV957" s="69"/>
    </row>
    <row r="958">
      <c r="P958" s="69"/>
      <c r="Q958" s="69"/>
      <c r="AT958" s="69"/>
      <c r="AU958" s="69"/>
      <c r="AV958" s="69"/>
    </row>
    <row r="959">
      <c r="P959" s="69"/>
      <c r="Q959" s="69"/>
      <c r="AT959" s="69"/>
      <c r="AU959" s="69"/>
      <c r="AV959" s="69"/>
    </row>
    <row r="960">
      <c r="P960" s="69"/>
      <c r="Q960" s="69"/>
      <c r="AT960" s="69"/>
      <c r="AU960" s="69"/>
      <c r="AV960" s="69"/>
    </row>
    <row r="961">
      <c r="P961" s="69"/>
      <c r="Q961" s="69"/>
      <c r="AT961" s="69"/>
      <c r="AU961" s="69"/>
      <c r="AV961" s="69"/>
    </row>
    <row r="962">
      <c r="P962" s="69"/>
      <c r="Q962" s="69"/>
      <c r="AT962" s="69"/>
      <c r="AU962" s="69"/>
      <c r="AV962" s="69"/>
    </row>
    <row r="963">
      <c r="P963" s="69"/>
      <c r="Q963" s="69"/>
      <c r="AT963" s="69"/>
      <c r="AU963" s="69"/>
      <c r="AV963" s="69"/>
    </row>
    <row r="964">
      <c r="P964" s="69"/>
      <c r="Q964" s="69"/>
      <c r="AT964" s="69"/>
      <c r="AU964" s="69"/>
      <c r="AV964" s="69"/>
    </row>
    <row r="965">
      <c r="P965" s="69"/>
      <c r="Q965" s="69"/>
      <c r="AT965" s="69"/>
      <c r="AU965" s="69"/>
      <c r="AV965" s="69"/>
    </row>
    <row r="966">
      <c r="P966" s="69"/>
      <c r="Q966" s="69"/>
      <c r="AT966" s="69"/>
      <c r="AU966" s="69"/>
      <c r="AV966" s="69"/>
    </row>
    <row r="967">
      <c r="P967" s="69"/>
      <c r="Q967" s="69"/>
      <c r="AT967" s="69"/>
      <c r="AU967" s="69"/>
      <c r="AV967" s="69"/>
    </row>
    <row r="968">
      <c r="P968" s="69"/>
      <c r="Q968" s="69"/>
      <c r="AT968" s="69"/>
      <c r="AU968" s="69"/>
      <c r="AV968" s="69"/>
    </row>
    <row r="969">
      <c r="P969" s="69"/>
      <c r="Q969" s="69"/>
      <c r="AT969" s="69"/>
      <c r="AU969" s="69"/>
      <c r="AV969" s="69"/>
    </row>
    <row r="970">
      <c r="P970" s="69"/>
      <c r="Q970" s="69"/>
      <c r="AT970" s="69"/>
      <c r="AU970" s="69"/>
      <c r="AV970" s="69"/>
    </row>
    <row r="971">
      <c r="P971" s="69"/>
      <c r="Q971" s="69"/>
      <c r="AT971" s="69"/>
      <c r="AU971" s="69"/>
      <c r="AV971" s="69"/>
    </row>
    <row r="972">
      <c r="P972" s="69"/>
      <c r="Q972" s="69"/>
      <c r="AT972" s="69"/>
      <c r="AU972" s="69"/>
      <c r="AV972" s="69"/>
    </row>
    <row r="973">
      <c r="P973" s="69"/>
      <c r="Q973" s="69"/>
      <c r="AT973" s="69"/>
      <c r="AU973" s="69"/>
      <c r="AV973" s="69"/>
    </row>
    <row r="974">
      <c r="P974" s="69"/>
      <c r="Q974" s="69"/>
      <c r="AT974" s="69"/>
      <c r="AU974" s="69"/>
      <c r="AV974" s="69"/>
    </row>
    <row r="975">
      <c r="P975" s="69"/>
      <c r="Q975" s="69"/>
      <c r="AT975" s="69"/>
      <c r="AU975" s="69"/>
      <c r="AV975" s="69"/>
    </row>
    <row r="976">
      <c r="P976" s="69"/>
      <c r="Q976" s="69"/>
      <c r="AT976" s="69"/>
      <c r="AU976" s="69"/>
      <c r="AV976" s="69"/>
    </row>
    <row r="977">
      <c r="P977" s="69"/>
      <c r="Q977" s="69"/>
      <c r="AT977" s="69"/>
      <c r="AU977" s="69"/>
      <c r="AV977" s="69"/>
    </row>
    <row r="978">
      <c r="P978" s="69"/>
      <c r="Q978" s="69"/>
      <c r="AT978" s="69"/>
      <c r="AU978" s="69"/>
      <c r="AV978" s="69"/>
    </row>
    <row r="979">
      <c r="P979" s="69"/>
      <c r="Q979" s="69"/>
      <c r="AT979" s="69"/>
      <c r="AU979" s="69"/>
      <c r="AV979" s="69"/>
    </row>
    <row r="980">
      <c r="P980" s="69"/>
      <c r="Q980" s="69"/>
      <c r="AT980" s="69"/>
      <c r="AU980" s="69"/>
      <c r="AV980" s="69"/>
    </row>
    <row r="981">
      <c r="P981" s="69"/>
      <c r="Q981" s="69"/>
      <c r="AT981" s="69"/>
      <c r="AU981" s="69"/>
      <c r="AV981" s="69"/>
    </row>
    <row r="982">
      <c r="P982" s="69"/>
      <c r="Q982" s="69"/>
      <c r="AT982" s="69"/>
      <c r="AU982" s="69"/>
      <c r="AV982" s="69"/>
    </row>
    <row r="983">
      <c r="P983" s="69"/>
      <c r="Q983" s="69"/>
      <c r="AT983" s="69"/>
      <c r="AU983" s="69"/>
      <c r="AV983" s="69"/>
    </row>
    <row r="984">
      <c r="P984" s="69"/>
      <c r="Q984" s="69"/>
      <c r="AT984" s="69"/>
      <c r="AU984" s="69"/>
      <c r="AV984" s="69"/>
    </row>
    <row r="985">
      <c r="P985" s="69"/>
      <c r="Q985" s="69"/>
      <c r="AT985" s="69"/>
      <c r="AU985" s="69"/>
      <c r="AV985" s="69"/>
    </row>
    <row r="986">
      <c r="P986" s="69"/>
      <c r="Q986" s="69"/>
      <c r="AT986" s="69"/>
      <c r="AU986" s="69"/>
      <c r="AV986" s="69"/>
    </row>
    <row r="987">
      <c r="P987" s="69"/>
      <c r="Q987" s="69"/>
      <c r="AT987" s="69"/>
      <c r="AU987" s="69"/>
      <c r="AV987" s="69"/>
    </row>
    <row r="988">
      <c r="P988" s="69"/>
      <c r="Q988" s="69"/>
      <c r="AT988" s="69"/>
      <c r="AU988" s="69"/>
      <c r="AV988" s="69"/>
    </row>
    <row r="989">
      <c r="P989" s="69"/>
      <c r="Q989" s="69"/>
      <c r="AT989" s="69"/>
      <c r="AU989" s="69"/>
      <c r="AV989" s="69"/>
    </row>
    <row r="990">
      <c r="P990" s="69"/>
      <c r="Q990" s="69"/>
      <c r="AT990" s="69"/>
      <c r="AU990" s="69"/>
      <c r="AV990" s="69"/>
    </row>
    <row r="991">
      <c r="P991" s="69"/>
      <c r="Q991" s="69"/>
      <c r="AT991" s="69"/>
      <c r="AU991" s="69"/>
      <c r="AV991" s="69"/>
    </row>
    <row r="992">
      <c r="P992" s="69"/>
      <c r="Q992" s="69"/>
      <c r="AT992" s="69"/>
      <c r="AU992" s="69"/>
      <c r="AV992" s="69"/>
    </row>
    <row r="993">
      <c r="P993" s="69"/>
      <c r="Q993" s="69"/>
      <c r="AT993" s="69"/>
      <c r="AU993" s="69"/>
      <c r="AV993" s="69"/>
    </row>
    <row r="994">
      <c r="P994" s="69"/>
      <c r="Q994" s="69"/>
      <c r="AT994" s="69"/>
      <c r="AU994" s="69"/>
      <c r="AV994" s="69"/>
    </row>
  </sheetData>
  <mergeCells count="16">
    <mergeCell ref="I1:W1"/>
    <mergeCell ref="Y1:AA1"/>
    <mergeCell ref="AC1:AG1"/>
    <mergeCell ref="AI1:AK1"/>
    <mergeCell ref="AO1:AQ1"/>
    <mergeCell ref="A2:B2"/>
    <mergeCell ref="A3:B3"/>
    <mergeCell ref="A23:A27"/>
    <mergeCell ref="A28:B28"/>
    <mergeCell ref="A4:B4"/>
    <mergeCell ref="A6:B6"/>
    <mergeCell ref="A7:A15"/>
    <mergeCell ref="A17:B17"/>
    <mergeCell ref="A18:B18"/>
    <mergeCell ref="A22:B22"/>
    <mergeCell ref="I22:M2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25"/>
  </cols>
  <sheetData>
    <row r="1">
      <c r="A1" s="249" t="s">
        <v>159</v>
      </c>
      <c r="B1" s="250" t="s">
        <v>160</v>
      </c>
      <c r="C1" s="250" t="s">
        <v>161</v>
      </c>
      <c r="D1" s="250" t="s">
        <v>162</v>
      </c>
      <c r="E1" s="250" t="s">
        <v>163</v>
      </c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</row>
    <row r="2">
      <c r="A2" s="54" t="s">
        <v>164</v>
      </c>
      <c r="B2" s="72"/>
      <c r="C2" s="72"/>
      <c r="D2" s="72"/>
      <c r="E2" s="71">
        <v>-94306.0</v>
      </c>
    </row>
    <row r="3">
      <c r="A3" s="54" t="s">
        <v>165</v>
      </c>
      <c r="B3" s="72"/>
      <c r="C3" s="72"/>
      <c r="D3" s="72"/>
      <c r="E3" s="71">
        <v>21214.0</v>
      </c>
    </row>
    <row r="4">
      <c r="A4" s="54" t="s">
        <v>166</v>
      </c>
      <c r="B4" s="72"/>
      <c r="C4" s="72"/>
      <c r="D4" s="72"/>
      <c r="E4" s="71">
        <v>52100.0</v>
      </c>
    </row>
    <row r="5">
      <c r="A5" s="54" t="s">
        <v>167</v>
      </c>
      <c r="B5" s="72"/>
      <c r="C5" s="72"/>
      <c r="D5" s="72"/>
      <c r="E5" s="71">
        <v>60217.0</v>
      </c>
    </row>
    <row r="6">
      <c r="A6" s="54" t="s">
        <v>168</v>
      </c>
      <c r="B6" s="72"/>
      <c r="C6" s="72"/>
      <c r="D6" s="72"/>
      <c r="E6" s="71">
        <v>6670.0</v>
      </c>
    </row>
    <row r="7">
      <c r="A7" s="54" t="s">
        <v>169</v>
      </c>
      <c r="B7" s="72"/>
      <c r="C7" s="72"/>
      <c r="D7" s="72"/>
      <c r="E7" s="71">
        <v>3575.0</v>
      </c>
    </row>
    <row r="8">
      <c r="A8" s="54" t="s">
        <v>170</v>
      </c>
      <c r="B8" s="72"/>
      <c r="C8" s="72"/>
      <c r="D8" s="72"/>
      <c r="E8" s="71">
        <v>5796.0</v>
      </c>
    </row>
    <row r="9">
      <c r="A9" s="54" t="s">
        <v>171</v>
      </c>
      <c r="B9" s="72"/>
      <c r="C9" s="72"/>
      <c r="D9" s="72"/>
      <c r="E9" s="71">
        <v>24855.0</v>
      </c>
    </row>
    <row r="10">
      <c r="A10" s="54" t="s">
        <v>172</v>
      </c>
      <c r="B10" s="72"/>
      <c r="C10" s="72"/>
      <c r="D10" s="72"/>
      <c r="E10" s="71">
        <v>6507.0</v>
      </c>
    </row>
    <row r="11">
      <c r="A11" s="54" t="s">
        <v>173</v>
      </c>
      <c r="B11" s="72"/>
      <c r="C11" s="72"/>
      <c r="D11" s="72"/>
      <c r="E11" s="71">
        <v>2310.0</v>
      </c>
    </row>
    <row r="12">
      <c r="A12" s="54" t="s">
        <v>56</v>
      </c>
      <c r="B12" s="72"/>
      <c r="C12" s="72"/>
      <c r="D12" s="72"/>
      <c r="E12" s="71">
        <v>-103976.0</v>
      </c>
    </row>
    <row r="13">
      <c r="A13" s="54" t="s">
        <v>120</v>
      </c>
      <c r="B13" s="72"/>
      <c r="C13" s="72"/>
      <c r="D13" s="72"/>
      <c r="E13" s="71">
        <v>2298.0</v>
      </c>
    </row>
    <row r="14">
      <c r="A14" s="54" t="s">
        <v>121</v>
      </c>
      <c r="B14" s="72"/>
      <c r="C14" s="72"/>
      <c r="D14" s="72"/>
      <c r="E14" s="71">
        <v>4470.0</v>
      </c>
    </row>
    <row r="15">
      <c r="A15" s="54" t="s">
        <v>122</v>
      </c>
      <c r="B15" s="72"/>
      <c r="C15" s="72"/>
      <c r="D15" s="72"/>
      <c r="E15" s="71">
        <v>-4550.0</v>
      </c>
    </row>
    <row r="16">
      <c r="A16" s="54" t="s">
        <v>124</v>
      </c>
      <c r="B16" s="72"/>
      <c r="C16" s="72"/>
      <c r="D16" s="72"/>
      <c r="E16" s="71">
        <v>-24493.0</v>
      </c>
    </row>
    <row r="17">
      <c r="A17" s="54" t="s">
        <v>123</v>
      </c>
      <c r="B17" s="72"/>
      <c r="C17" s="72"/>
      <c r="D17" s="72"/>
      <c r="E17" s="71">
        <v>-3194.0</v>
      </c>
    </row>
    <row r="18">
      <c r="A18" s="54" t="s">
        <v>174</v>
      </c>
      <c r="B18" s="72"/>
      <c r="C18" s="72"/>
      <c r="D18" s="72"/>
      <c r="E18" s="71">
        <v>8886.0</v>
      </c>
    </row>
    <row r="19">
      <c r="A19" s="54" t="s">
        <v>175</v>
      </c>
      <c r="B19" s="72"/>
      <c r="C19" s="72"/>
      <c r="D19" s="72"/>
      <c r="E19" s="71">
        <v>4445.0</v>
      </c>
    </row>
    <row r="20">
      <c r="A20" s="54" t="s">
        <v>176</v>
      </c>
      <c r="B20" s="72"/>
      <c r="C20" s="72"/>
      <c r="D20" s="72"/>
      <c r="E20" s="71">
        <v>2054.0</v>
      </c>
    </row>
    <row r="21">
      <c r="A21" s="54" t="s">
        <v>177</v>
      </c>
      <c r="B21" s="72"/>
      <c r="C21" s="72"/>
      <c r="D21" s="72"/>
      <c r="E21" s="71">
        <v>4295.0</v>
      </c>
    </row>
    <row r="22">
      <c r="A22" s="54" t="s">
        <v>178</v>
      </c>
      <c r="B22" s="72"/>
      <c r="C22" s="72"/>
      <c r="D22" s="72"/>
      <c r="E22" s="71">
        <v>5546.0</v>
      </c>
    </row>
    <row r="23">
      <c r="A23" s="54" t="s">
        <v>179</v>
      </c>
      <c r="B23" s="72"/>
      <c r="C23" s="72"/>
      <c r="D23" s="72"/>
      <c r="E23" s="71">
        <v>252101.0</v>
      </c>
    </row>
    <row r="24">
      <c r="A24" s="54" t="s">
        <v>180</v>
      </c>
      <c r="B24" s="72"/>
      <c r="C24" s="72"/>
      <c r="D24" s="72"/>
      <c r="E24" s="71">
        <v>30968.0</v>
      </c>
    </row>
    <row r="25">
      <c r="A25" s="54" t="s">
        <v>181</v>
      </c>
      <c r="B25" s="72"/>
      <c r="C25" s="72"/>
      <c r="D25" s="72"/>
      <c r="E25" s="71">
        <v>4244.0</v>
      </c>
    </row>
    <row r="26">
      <c r="A26" s="54" t="s">
        <v>182</v>
      </c>
      <c r="B26" s="72"/>
      <c r="C26" s="72"/>
      <c r="D26" s="72"/>
      <c r="E26" s="71">
        <v>-20751.0</v>
      </c>
    </row>
    <row r="27">
      <c r="A27" s="54" t="s">
        <v>183</v>
      </c>
      <c r="B27" s="72"/>
      <c r="C27" s="72"/>
      <c r="D27" s="72"/>
      <c r="E27" s="71">
        <v>8755.0</v>
      </c>
    </row>
    <row r="28">
      <c r="A28" s="54" t="s">
        <v>184</v>
      </c>
      <c r="B28" s="72"/>
      <c r="C28" s="72"/>
      <c r="D28" s="72"/>
      <c r="E28" s="71">
        <v>2057.0</v>
      </c>
    </row>
    <row r="29">
      <c r="A29" s="54" t="s">
        <v>185</v>
      </c>
      <c r="B29" s="72"/>
      <c r="C29" s="72"/>
      <c r="D29" s="72"/>
      <c r="E29" s="71">
        <v>1299.0</v>
      </c>
    </row>
    <row r="30">
      <c r="A30" s="54" t="s">
        <v>75</v>
      </c>
      <c r="B30" s="72"/>
      <c r="C30" s="72"/>
      <c r="D30" s="72"/>
      <c r="E30" s="71">
        <v>3471.0</v>
      </c>
    </row>
    <row r="31">
      <c r="A31" s="54" t="s">
        <v>186</v>
      </c>
      <c r="B31" s="72"/>
      <c r="C31" s="72"/>
      <c r="D31" s="72"/>
      <c r="E31" s="71">
        <v>5087.0</v>
      </c>
    </row>
    <row r="32">
      <c r="A32" s="54" t="s">
        <v>187</v>
      </c>
      <c r="B32" s="72"/>
      <c r="C32" s="72"/>
      <c r="D32" s="72"/>
      <c r="E32" s="71">
        <v>52328.0</v>
      </c>
    </row>
    <row r="33">
      <c r="A33" s="54" t="s">
        <v>188</v>
      </c>
      <c r="B33" s="72"/>
      <c r="C33" s="72"/>
      <c r="D33" s="72"/>
      <c r="E33" s="71">
        <v>913.0</v>
      </c>
    </row>
    <row r="34">
      <c r="A34" s="54" t="s">
        <v>189</v>
      </c>
      <c r="B34" s="72"/>
      <c r="C34" s="72"/>
      <c r="D34" s="72"/>
      <c r="E34" s="71">
        <v>6981.0</v>
      </c>
    </row>
    <row r="35">
      <c r="A35" s="54" t="s">
        <v>190</v>
      </c>
      <c r="B35" s="72"/>
      <c r="C35" s="72"/>
      <c r="D35" s="72"/>
      <c r="E35" s="71">
        <v>134182.0</v>
      </c>
    </row>
    <row r="36">
      <c r="A36" s="54" t="s">
        <v>191</v>
      </c>
      <c r="B36" s="72"/>
      <c r="C36" s="72"/>
      <c r="D36" s="72"/>
      <c r="E36" s="71">
        <v>7455.0</v>
      </c>
    </row>
    <row r="37">
      <c r="A37" s="54" t="s">
        <v>192</v>
      </c>
      <c r="B37" s="72"/>
      <c r="C37" s="72"/>
      <c r="D37" s="72"/>
      <c r="E37" s="71">
        <v>24035.0</v>
      </c>
    </row>
    <row r="38">
      <c r="A38" s="54" t="s">
        <v>84</v>
      </c>
      <c r="B38" s="72"/>
      <c r="C38" s="72"/>
      <c r="D38" s="72"/>
      <c r="E38" s="71">
        <v>24787.0</v>
      </c>
    </row>
    <row r="39">
      <c r="A39" s="54" t="s">
        <v>193</v>
      </c>
      <c r="B39" s="72"/>
      <c r="C39" s="72"/>
      <c r="D39" s="72"/>
      <c r="E39" s="71">
        <v>-195.0</v>
      </c>
    </row>
    <row r="40">
      <c r="B40" s="179"/>
      <c r="C40" s="179"/>
      <c r="D40" s="179"/>
      <c r="E40" s="179"/>
    </row>
    <row r="41">
      <c r="B41" s="179"/>
      <c r="C41" s="179"/>
      <c r="D41" s="179"/>
      <c r="E41" s="179"/>
    </row>
    <row r="42">
      <c r="B42" s="179"/>
      <c r="C42" s="179"/>
      <c r="D42" s="179"/>
      <c r="E42" s="179"/>
    </row>
    <row r="43">
      <c r="B43" s="179"/>
      <c r="C43" s="179"/>
      <c r="D43" s="179"/>
      <c r="E43" s="179"/>
    </row>
    <row r="44">
      <c r="B44" s="179"/>
      <c r="C44" s="179"/>
      <c r="D44" s="179"/>
      <c r="E44" s="179"/>
    </row>
    <row r="45">
      <c r="B45" s="179"/>
      <c r="C45" s="179"/>
      <c r="D45" s="179"/>
      <c r="E45" s="179"/>
    </row>
    <row r="46">
      <c r="B46" s="179"/>
      <c r="C46" s="179"/>
      <c r="D46" s="179"/>
      <c r="E46" s="179"/>
    </row>
    <row r="47">
      <c r="B47" s="179"/>
      <c r="C47" s="179"/>
      <c r="D47" s="179"/>
      <c r="E47" s="179"/>
    </row>
    <row r="48">
      <c r="B48" s="179"/>
      <c r="C48" s="179"/>
      <c r="D48" s="179"/>
      <c r="E48" s="179"/>
    </row>
    <row r="49">
      <c r="B49" s="179"/>
      <c r="C49" s="179"/>
      <c r="D49" s="179"/>
      <c r="E49" s="179"/>
    </row>
    <row r="50">
      <c r="B50" s="179"/>
      <c r="C50" s="179"/>
      <c r="D50" s="179"/>
      <c r="E50" s="179"/>
    </row>
    <row r="51">
      <c r="B51" s="179"/>
      <c r="C51" s="179"/>
      <c r="D51" s="179"/>
      <c r="E51" s="179"/>
    </row>
    <row r="52">
      <c r="B52" s="179"/>
      <c r="C52" s="179"/>
      <c r="D52" s="179"/>
      <c r="E52" s="179"/>
    </row>
    <row r="53">
      <c r="B53" s="179"/>
      <c r="C53" s="179"/>
      <c r="D53" s="179"/>
      <c r="E53" s="179"/>
    </row>
    <row r="54">
      <c r="B54" s="179"/>
      <c r="C54" s="179"/>
      <c r="D54" s="179"/>
      <c r="E54" s="179"/>
    </row>
    <row r="55">
      <c r="B55" s="179"/>
      <c r="C55" s="179"/>
      <c r="D55" s="179"/>
      <c r="E55" s="179"/>
    </row>
    <row r="56">
      <c r="B56" s="179"/>
      <c r="C56" s="179"/>
      <c r="D56" s="179"/>
      <c r="E56" s="179"/>
    </row>
    <row r="57">
      <c r="B57" s="179"/>
      <c r="C57" s="179"/>
      <c r="D57" s="179"/>
      <c r="E57" s="179"/>
    </row>
    <row r="58">
      <c r="B58" s="179"/>
      <c r="C58" s="179"/>
      <c r="D58" s="179"/>
      <c r="E58" s="179"/>
    </row>
    <row r="59">
      <c r="B59" s="179"/>
      <c r="C59" s="179"/>
      <c r="D59" s="179"/>
      <c r="E59" s="179"/>
    </row>
    <row r="60">
      <c r="B60" s="179"/>
      <c r="C60" s="179"/>
      <c r="D60" s="179"/>
      <c r="E60" s="179"/>
    </row>
    <row r="61">
      <c r="B61" s="179"/>
      <c r="C61" s="179"/>
      <c r="D61" s="179"/>
      <c r="E61" s="179"/>
    </row>
    <row r="62">
      <c r="B62" s="179"/>
      <c r="C62" s="179"/>
      <c r="D62" s="179"/>
      <c r="E62" s="179"/>
    </row>
    <row r="63">
      <c r="B63" s="179"/>
      <c r="C63" s="179"/>
      <c r="D63" s="179"/>
      <c r="E63" s="179"/>
    </row>
    <row r="64">
      <c r="B64" s="179"/>
      <c r="C64" s="179"/>
      <c r="D64" s="179"/>
      <c r="E64" s="179"/>
    </row>
    <row r="65">
      <c r="B65" s="179"/>
      <c r="C65" s="179"/>
      <c r="D65" s="179"/>
      <c r="E65" s="179"/>
    </row>
    <row r="66">
      <c r="B66" s="179"/>
      <c r="C66" s="179"/>
      <c r="D66" s="179"/>
      <c r="E66" s="179"/>
    </row>
    <row r="67">
      <c r="B67" s="179"/>
      <c r="C67" s="179"/>
      <c r="D67" s="179"/>
      <c r="E67" s="179"/>
    </row>
    <row r="68">
      <c r="B68" s="179"/>
      <c r="C68" s="179"/>
      <c r="D68" s="179"/>
      <c r="E68" s="179"/>
    </row>
    <row r="69">
      <c r="B69" s="179"/>
      <c r="C69" s="179"/>
      <c r="D69" s="179"/>
      <c r="E69" s="179"/>
    </row>
    <row r="70">
      <c r="B70" s="179"/>
      <c r="C70" s="179"/>
      <c r="D70" s="179"/>
      <c r="E70" s="179"/>
    </row>
    <row r="71">
      <c r="B71" s="179"/>
      <c r="C71" s="179"/>
      <c r="D71" s="179"/>
      <c r="E71" s="179"/>
    </row>
    <row r="72">
      <c r="B72" s="179"/>
      <c r="C72" s="179"/>
      <c r="D72" s="179"/>
      <c r="E72" s="179"/>
    </row>
    <row r="73">
      <c r="B73" s="179"/>
      <c r="C73" s="179"/>
      <c r="D73" s="179"/>
      <c r="E73" s="179"/>
    </row>
    <row r="74">
      <c r="B74" s="179"/>
      <c r="C74" s="179"/>
      <c r="D74" s="179"/>
      <c r="E74" s="179"/>
    </row>
    <row r="75">
      <c r="B75" s="179"/>
      <c r="C75" s="179"/>
      <c r="D75" s="179"/>
      <c r="E75" s="179"/>
    </row>
    <row r="76">
      <c r="B76" s="179"/>
      <c r="C76" s="179"/>
      <c r="D76" s="179"/>
      <c r="E76" s="179"/>
    </row>
    <row r="77">
      <c r="B77" s="179"/>
      <c r="C77" s="179"/>
      <c r="D77" s="179"/>
      <c r="E77" s="179"/>
    </row>
    <row r="78">
      <c r="B78" s="179"/>
      <c r="C78" s="179"/>
      <c r="D78" s="179"/>
      <c r="E78" s="179"/>
    </row>
    <row r="79">
      <c r="B79" s="179"/>
      <c r="C79" s="179"/>
      <c r="D79" s="179"/>
      <c r="E79" s="179"/>
    </row>
    <row r="80">
      <c r="B80" s="179"/>
      <c r="C80" s="179"/>
      <c r="D80" s="179"/>
      <c r="E80" s="179"/>
    </row>
    <row r="81">
      <c r="B81" s="179"/>
      <c r="C81" s="179"/>
      <c r="D81" s="179"/>
      <c r="E81" s="179"/>
    </row>
    <row r="82">
      <c r="B82" s="179"/>
      <c r="C82" s="179"/>
      <c r="D82" s="179"/>
      <c r="E82" s="179"/>
    </row>
    <row r="83">
      <c r="B83" s="179"/>
      <c r="C83" s="179"/>
      <c r="D83" s="179"/>
      <c r="E83" s="179"/>
    </row>
    <row r="84">
      <c r="B84" s="179"/>
      <c r="C84" s="179"/>
      <c r="D84" s="179"/>
      <c r="E84" s="179"/>
    </row>
    <row r="85">
      <c r="B85" s="179"/>
      <c r="C85" s="179"/>
      <c r="D85" s="179"/>
      <c r="E85" s="179"/>
    </row>
    <row r="86">
      <c r="B86" s="179"/>
      <c r="C86" s="179"/>
      <c r="D86" s="179"/>
      <c r="E86" s="179"/>
    </row>
    <row r="87">
      <c r="B87" s="179"/>
      <c r="C87" s="179"/>
      <c r="D87" s="179"/>
      <c r="E87" s="179"/>
    </row>
    <row r="88">
      <c r="B88" s="179"/>
      <c r="C88" s="179"/>
      <c r="D88" s="179"/>
      <c r="E88" s="179"/>
    </row>
    <row r="89">
      <c r="B89" s="179"/>
      <c r="C89" s="179"/>
      <c r="D89" s="179"/>
      <c r="E89" s="179"/>
    </row>
    <row r="90">
      <c r="B90" s="179"/>
      <c r="C90" s="179"/>
      <c r="D90" s="179"/>
      <c r="E90" s="179"/>
    </row>
    <row r="91">
      <c r="B91" s="179"/>
      <c r="C91" s="179"/>
      <c r="D91" s="179"/>
      <c r="E91" s="179"/>
    </row>
    <row r="92">
      <c r="B92" s="179"/>
      <c r="C92" s="179"/>
      <c r="D92" s="179"/>
      <c r="E92" s="179"/>
    </row>
    <row r="93">
      <c r="B93" s="179"/>
      <c r="C93" s="179"/>
      <c r="D93" s="179"/>
      <c r="E93" s="179"/>
    </row>
    <row r="94">
      <c r="B94" s="179"/>
      <c r="C94" s="179"/>
      <c r="D94" s="179"/>
      <c r="E94" s="179"/>
    </row>
    <row r="95">
      <c r="B95" s="179"/>
      <c r="C95" s="179"/>
      <c r="D95" s="179"/>
      <c r="E95" s="179"/>
    </row>
    <row r="96">
      <c r="B96" s="179"/>
      <c r="C96" s="179"/>
      <c r="D96" s="179"/>
      <c r="E96" s="179"/>
    </row>
    <row r="97">
      <c r="B97" s="179"/>
      <c r="C97" s="179"/>
      <c r="D97" s="179"/>
      <c r="E97" s="179"/>
    </row>
    <row r="98">
      <c r="B98" s="179"/>
      <c r="C98" s="179"/>
      <c r="D98" s="179"/>
      <c r="E98" s="179"/>
    </row>
    <row r="99">
      <c r="B99" s="179"/>
      <c r="C99" s="179"/>
      <c r="D99" s="179"/>
      <c r="E99" s="179"/>
    </row>
    <row r="100">
      <c r="B100" s="179"/>
      <c r="C100" s="179"/>
      <c r="D100" s="179"/>
      <c r="E100" s="179"/>
    </row>
    <row r="101">
      <c r="B101" s="179"/>
      <c r="C101" s="179"/>
      <c r="D101" s="179"/>
      <c r="E101" s="179"/>
    </row>
    <row r="102">
      <c r="B102" s="179"/>
      <c r="C102" s="179"/>
      <c r="D102" s="179"/>
      <c r="E102" s="179"/>
    </row>
    <row r="103">
      <c r="B103" s="179"/>
      <c r="C103" s="179"/>
      <c r="D103" s="179"/>
      <c r="E103" s="179"/>
    </row>
    <row r="104">
      <c r="B104" s="179"/>
      <c r="C104" s="179"/>
      <c r="D104" s="179"/>
      <c r="E104" s="179"/>
    </row>
    <row r="105">
      <c r="B105" s="179"/>
      <c r="C105" s="179"/>
      <c r="D105" s="179"/>
      <c r="E105" s="179"/>
    </row>
    <row r="106">
      <c r="B106" s="179"/>
      <c r="C106" s="179"/>
      <c r="D106" s="179"/>
      <c r="E106" s="179"/>
    </row>
    <row r="107">
      <c r="B107" s="179"/>
      <c r="C107" s="179"/>
      <c r="D107" s="179"/>
      <c r="E107" s="179"/>
    </row>
    <row r="108">
      <c r="B108" s="179"/>
      <c r="C108" s="179"/>
      <c r="D108" s="179"/>
      <c r="E108" s="179"/>
    </row>
    <row r="109">
      <c r="B109" s="179"/>
      <c r="C109" s="179"/>
      <c r="D109" s="179"/>
      <c r="E109" s="179"/>
    </row>
    <row r="110">
      <c r="B110" s="179"/>
      <c r="C110" s="179"/>
      <c r="D110" s="179"/>
      <c r="E110" s="179"/>
    </row>
    <row r="111">
      <c r="B111" s="179"/>
      <c r="C111" s="179"/>
      <c r="D111" s="179"/>
      <c r="E111" s="179"/>
    </row>
    <row r="112">
      <c r="B112" s="179"/>
      <c r="C112" s="179"/>
      <c r="D112" s="179"/>
      <c r="E112" s="179"/>
    </row>
    <row r="113">
      <c r="B113" s="179"/>
      <c r="C113" s="179"/>
      <c r="D113" s="179"/>
      <c r="E113" s="179"/>
    </row>
    <row r="114">
      <c r="B114" s="179"/>
      <c r="C114" s="179"/>
      <c r="D114" s="179"/>
      <c r="E114" s="179"/>
    </row>
    <row r="115">
      <c r="B115" s="179"/>
      <c r="C115" s="179"/>
      <c r="D115" s="179"/>
      <c r="E115" s="179"/>
    </row>
    <row r="116">
      <c r="B116" s="179"/>
      <c r="C116" s="179"/>
      <c r="D116" s="179"/>
      <c r="E116" s="179"/>
    </row>
    <row r="117">
      <c r="B117" s="179"/>
      <c r="C117" s="179"/>
      <c r="D117" s="179"/>
      <c r="E117" s="179"/>
    </row>
    <row r="118">
      <c r="B118" s="179"/>
      <c r="C118" s="179"/>
      <c r="D118" s="179"/>
      <c r="E118" s="179"/>
    </row>
    <row r="119">
      <c r="B119" s="179"/>
      <c r="C119" s="179"/>
      <c r="D119" s="179"/>
      <c r="E119" s="179"/>
    </row>
    <row r="120">
      <c r="B120" s="179"/>
      <c r="C120" s="179"/>
      <c r="D120" s="179"/>
      <c r="E120" s="179"/>
    </row>
    <row r="121">
      <c r="B121" s="179"/>
      <c r="C121" s="179"/>
      <c r="D121" s="179"/>
      <c r="E121" s="179"/>
    </row>
    <row r="122">
      <c r="B122" s="179"/>
      <c r="C122" s="179"/>
      <c r="D122" s="179"/>
      <c r="E122" s="179"/>
    </row>
    <row r="123">
      <c r="B123" s="179"/>
      <c r="C123" s="179"/>
      <c r="D123" s="179"/>
      <c r="E123" s="179"/>
    </row>
    <row r="124">
      <c r="B124" s="179"/>
      <c r="C124" s="179"/>
      <c r="D124" s="179"/>
      <c r="E124" s="179"/>
    </row>
    <row r="125">
      <c r="B125" s="179"/>
      <c r="C125" s="179"/>
      <c r="D125" s="179"/>
      <c r="E125" s="179"/>
    </row>
    <row r="126">
      <c r="B126" s="179"/>
      <c r="C126" s="179"/>
      <c r="D126" s="179"/>
      <c r="E126" s="179"/>
    </row>
    <row r="127">
      <c r="B127" s="179"/>
      <c r="C127" s="179"/>
      <c r="D127" s="179"/>
      <c r="E127" s="179"/>
    </row>
    <row r="128">
      <c r="B128" s="179"/>
      <c r="C128" s="179"/>
      <c r="D128" s="179"/>
      <c r="E128" s="179"/>
    </row>
    <row r="129">
      <c r="B129" s="179"/>
      <c r="C129" s="179"/>
      <c r="D129" s="179"/>
      <c r="E129" s="179"/>
    </row>
    <row r="130">
      <c r="B130" s="179"/>
      <c r="C130" s="179"/>
      <c r="D130" s="179"/>
      <c r="E130" s="179"/>
    </row>
    <row r="131">
      <c r="B131" s="179"/>
      <c r="C131" s="179"/>
      <c r="D131" s="179"/>
      <c r="E131" s="179"/>
    </row>
    <row r="132">
      <c r="B132" s="179"/>
      <c r="C132" s="179"/>
      <c r="D132" s="179"/>
      <c r="E132" s="179"/>
    </row>
    <row r="133">
      <c r="B133" s="179"/>
      <c r="C133" s="179"/>
      <c r="D133" s="179"/>
      <c r="E133" s="179"/>
    </row>
    <row r="134">
      <c r="B134" s="179"/>
      <c r="C134" s="179"/>
      <c r="D134" s="179"/>
      <c r="E134" s="179"/>
    </row>
    <row r="135">
      <c r="B135" s="179"/>
      <c r="C135" s="179"/>
      <c r="D135" s="179"/>
      <c r="E135" s="179"/>
    </row>
    <row r="136">
      <c r="B136" s="179"/>
      <c r="C136" s="179"/>
      <c r="D136" s="179"/>
      <c r="E136" s="179"/>
    </row>
    <row r="137">
      <c r="B137" s="179"/>
      <c r="C137" s="179"/>
      <c r="D137" s="179"/>
      <c r="E137" s="179"/>
    </row>
    <row r="138">
      <c r="B138" s="179"/>
      <c r="C138" s="179"/>
      <c r="D138" s="179"/>
      <c r="E138" s="179"/>
    </row>
    <row r="139">
      <c r="B139" s="179"/>
      <c r="C139" s="179"/>
      <c r="D139" s="179"/>
      <c r="E139" s="179"/>
    </row>
    <row r="140">
      <c r="B140" s="179"/>
      <c r="C140" s="179"/>
      <c r="D140" s="179"/>
      <c r="E140" s="179"/>
    </row>
    <row r="141">
      <c r="B141" s="179"/>
      <c r="C141" s="179"/>
      <c r="D141" s="179"/>
      <c r="E141" s="179"/>
    </row>
    <row r="142">
      <c r="B142" s="179"/>
      <c r="C142" s="179"/>
      <c r="D142" s="179"/>
      <c r="E142" s="179"/>
    </row>
    <row r="143">
      <c r="B143" s="179"/>
      <c r="C143" s="179"/>
      <c r="D143" s="179"/>
      <c r="E143" s="179"/>
    </row>
    <row r="144">
      <c r="B144" s="179"/>
      <c r="C144" s="179"/>
      <c r="D144" s="179"/>
      <c r="E144" s="179"/>
    </row>
    <row r="145">
      <c r="B145" s="179"/>
      <c r="C145" s="179"/>
      <c r="D145" s="179"/>
      <c r="E145" s="179"/>
    </row>
    <row r="146">
      <c r="B146" s="179"/>
      <c r="C146" s="179"/>
      <c r="D146" s="179"/>
      <c r="E146" s="179"/>
    </row>
    <row r="147">
      <c r="B147" s="179"/>
      <c r="C147" s="179"/>
      <c r="D147" s="179"/>
      <c r="E147" s="179"/>
    </row>
    <row r="148">
      <c r="B148" s="179"/>
      <c r="C148" s="179"/>
      <c r="D148" s="179"/>
      <c r="E148" s="179"/>
    </row>
    <row r="149">
      <c r="B149" s="179"/>
      <c r="C149" s="179"/>
      <c r="D149" s="179"/>
      <c r="E149" s="179"/>
    </row>
    <row r="150">
      <c r="B150" s="179"/>
      <c r="C150" s="179"/>
      <c r="D150" s="179"/>
      <c r="E150" s="179"/>
    </row>
    <row r="151">
      <c r="B151" s="179"/>
      <c r="C151" s="179"/>
      <c r="D151" s="179"/>
      <c r="E151" s="179"/>
    </row>
    <row r="152">
      <c r="B152" s="179"/>
      <c r="C152" s="179"/>
      <c r="D152" s="179"/>
      <c r="E152" s="179"/>
    </row>
    <row r="153">
      <c r="B153" s="179"/>
      <c r="C153" s="179"/>
      <c r="D153" s="179"/>
      <c r="E153" s="179"/>
    </row>
    <row r="154">
      <c r="B154" s="179"/>
      <c r="C154" s="179"/>
      <c r="D154" s="179"/>
      <c r="E154" s="179"/>
    </row>
    <row r="155">
      <c r="B155" s="179"/>
      <c r="C155" s="179"/>
      <c r="D155" s="179"/>
      <c r="E155" s="179"/>
    </row>
    <row r="156">
      <c r="B156" s="179"/>
      <c r="C156" s="179"/>
      <c r="D156" s="179"/>
      <c r="E156" s="179"/>
    </row>
    <row r="157">
      <c r="B157" s="179"/>
      <c r="C157" s="179"/>
      <c r="D157" s="179"/>
      <c r="E157" s="179"/>
    </row>
    <row r="158">
      <c r="B158" s="179"/>
      <c r="C158" s="179"/>
      <c r="D158" s="179"/>
      <c r="E158" s="179"/>
    </row>
    <row r="159">
      <c r="B159" s="179"/>
      <c r="C159" s="179"/>
      <c r="D159" s="179"/>
      <c r="E159" s="179"/>
    </row>
    <row r="160">
      <c r="B160" s="179"/>
      <c r="C160" s="179"/>
      <c r="D160" s="179"/>
      <c r="E160" s="179"/>
    </row>
    <row r="161">
      <c r="B161" s="179"/>
      <c r="C161" s="179"/>
      <c r="D161" s="179"/>
      <c r="E161" s="179"/>
    </row>
    <row r="162">
      <c r="B162" s="179"/>
      <c r="C162" s="179"/>
      <c r="D162" s="179"/>
      <c r="E162" s="179"/>
    </row>
    <row r="163">
      <c r="B163" s="179"/>
      <c r="C163" s="179"/>
      <c r="D163" s="179"/>
      <c r="E163" s="179"/>
    </row>
    <row r="164">
      <c r="B164" s="179"/>
      <c r="C164" s="179"/>
      <c r="D164" s="179"/>
      <c r="E164" s="179"/>
    </row>
    <row r="165">
      <c r="B165" s="179"/>
      <c r="C165" s="179"/>
      <c r="D165" s="179"/>
      <c r="E165" s="179"/>
    </row>
    <row r="166">
      <c r="B166" s="179"/>
      <c r="C166" s="179"/>
      <c r="D166" s="179"/>
      <c r="E166" s="179"/>
    </row>
    <row r="167">
      <c r="B167" s="179"/>
      <c r="C167" s="179"/>
      <c r="D167" s="179"/>
      <c r="E167" s="179"/>
    </row>
    <row r="168">
      <c r="B168" s="179"/>
      <c r="C168" s="179"/>
      <c r="D168" s="179"/>
      <c r="E168" s="179"/>
    </row>
    <row r="169">
      <c r="B169" s="179"/>
      <c r="C169" s="179"/>
      <c r="D169" s="179"/>
      <c r="E169" s="179"/>
    </row>
    <row r="170">
      <c r="B170" s="179"/>
      <c r="C170" s="179"/>
      <c r="D170" s="179"/>
      <c r="E170" s="179"/>
    </row>
    <row r="171">
      <c r="B171" s="179"/>
      <c r="C171" s="179"/>
      <c r="D171" s="179"/>
      <c r="E171" s="179"/>
    </row>
    <row r="172">
      <c r="B172" s="179"/>
      <c r="C172" s="179"/>
      <c r="D172" s="179"/>
      <c r="E172" s="179"/>
    </row>
    <row r="173">
      <c r="B173" s="179"/>
      <c r="C173" s="179"/>
      <c r="D173" s="179"/>
      <c r="E173" s="179"/>
    </row>
    <row r="174">
      <c r="B174" s="179"/>
      <c r="C174" s="179"/>
      <c r="D174" s="179"/>
      <c r="E174" s="179"/>
    </row>
    <row r="175">
      <c r="B175" s="179"/>
      <c r="C175" s="179"/>
      <c r="D175" s="179"/>
      <c r="E175" s="179"/>
    </row>
    <row r="176">
      <c r="B176" s="179"/>
      <c r="C176" s="179"/>
      <c r="D176" s="179"/>
      <c r="E176" s="179"/>
    </row>
    <row r="177">
      <c r="B177" s="179"/>
      <c r="C177" s="179"/>
      <c r="D177" s="179"/>
      <c r="E177" s="179"/>
    </row>
    <row r="178">
      <c r="B178" s="179"/>
      <c r="C178" s="179"/>
      <c r="D178" s="179"/>
      <c r="E178" s="179"/>
    </row>
    <row r="179">
      <c r="B179" s="179"/>
      <c r="C179" s="179"/>
      <c r="D179" s="179"/>
      <c r="E179" s="179"/>
    </row>
    <row r="180">
      <c r="B180" s="179"/>
      <c r="C180" s="179"/>
      <c r="D180" s="179"/>
      <c r="E180" s="179"/>
    </row>
    <row r="181">
      <c r="B181" s="179"/>
      <c r="C181" s="179"/>
      <c r="D181" s="179"/>
      <c r="E181" s="179"/>
    </row>
    <row r="182">
      <c r="B182" s="179"/>
      <c r="C182" s="179"/>
      <c r="D182" s="179"/>
      <c r="E182" s="179"/>
    </row>
    <row r="183">
      <c r="B183" s="179"/>
      <c r="C183" s="179"/>
      <c r="D183" s="179"/>
      <c r="E183" s="179"/>
    </row>
    <row r="184">
      <c r="B184" s="179"/>
      <c r="C184" s="179"/>
      <c r="D184" s="179"/>
      <c r="E184" s="179"/>
    </row>
    <row r="185">
      <c r="B185" s="179"/>
      <c r="C185" s="179"/>
      <c r="D185" s="179"/>
      <c r="E185" s="179"/>
    </row>
    <row r="186">
      <c r="B186" s="179"/>
      <c r="C186" s="179"/>
      <c r="D186" s="179"/>
      <c r="E186" s="179"/>
    </row>
    <row r="187">
      <c r="B187" s="179"/>
      <c r="C187" s="179"/>
      <c r="D187" s="179"/>
      <c r="E187" s="179"/>
    </row>
    <row r="188">
      <c r="B188" s="179"/>
      <c r="C188" s="179"/>
      <c r="D188" s="179"/>
      <c r="E188" s="179"/>
    </row>
    <row r="189">
      <c r="B189" s="179"/>
      <c r="C189" s="179"/>
      <c r="D189" s="179"/>
      <c r="E189" s="179"/>
    </row>
    <row r="190">
      <c r="B190" s="179"/>
      <c r="C190" s="179"/>
      <c r="D190" s="179"/>
      <c r="E190" s="179"/>
    </row>
    <row r="191">
      <c r="B191" s="179"/>
      <c r="C191" s="179"/>
      <c r="D191" s="179"/>
      <c r="E191" s="179"/>
    </row>
    <row r="192">
      <c r="B192" s="179"/>
      <c r="C192" s="179"/>
      <c r="D192" s="179"/>
      <c r="E192" s="179"/>
    </row>
    <row r="193">
      <c r="B193" s="179"/>
      <c r="C193" s="179"/>
      <c r="D193" s="179"/>
      <c r="E193" s="179"/>
    </row>
    <row r="194">
      <c r="B194" s="179"/>
      <c r="C194" s="179"/>
      <c r="D194" s="179"/>
      <c r="E194" s="179"/>
    </row>
    <row r="195">
      <c r="B195" s="179"/>
      <c r="C195" s="179"/>
      <c r="D195" s="179"/>
      <c r="E195" s="179"/>
    </row>
    <row r="196">
      <c r="B196" s="179"/>
      <c r="C196" s="179"/>
      <c r="D196" s="179"/>
      <c r="E196" s="179"/>
    </row>
    <row r="197">
      <c r="B197" s="179"/>
      <c r="C197" s="179"/>
      <c r="D197" s="179"/>
      <c r="E197" s="179"/>
    </row>
    <row r="198">
      <c r="B198" s="179"/>
      <c r="C198" s="179"/>
      <c r="D198" s="179"/>
      <c r="E198" s="179"/>
    </row>
    <row r="199">
      <c r="B199" s="179"/>
      <c r="C199" s="179"/>
      <c r="D199" s="179"/>
      <c r="E199" s="179"/>
    </row>
    <row r="200">
      <c r="B200" s="179"/>
      <c r="C200" s="179"/>
      <c r="D200" s="179"/>
      <c r="E200" s="179"/>
    </row>
    <row r="201">
      <c r="B201" s="179"/>
      <c r="C201" s="179"/>
      <c r="D201" s="179"/>
      <c r="E201" s="179"/>
    </row>
    <row r="202">
      <c r="B202" s="179"/>
      <c r="C202" s="179"/>
      <c r="D202" s="179"/>
      <c r="E202" s="179"/>
    </row>
    <row r="203">
      <c r="B203" s="179"/>
      <c r="C203" s="179"/>
      <c r="D203" s="179"/>
      <c r="E203" s="179"/>
    </row>
    <row r="204">
      <c r="B204" s="179"/>
      <c r="C204" s="179"/>
      <c r="D204" s="179"/>
      <c r="E204" s="179"/>
    </row>
    <row r="205">
      <c r="B205" s="179"/>
      <c r="C205" s="179"/>
      <c r="D205" s="179"/>
      <c r="E205" s="179"/>
    </row>
    <row r="206">
      <c r="B206" s="179"/>
      <c r="C206" s="179"/>
      <c r="D206" s="179"/>
      <c r="E206" s="179"/>
    </row>
    <row r="207">
      <c r="B207" s="179"/>
      <c r="C207" s="179"/>
      <c r="D207" s="179"/>
      <c r="E207" s="179"/>
    </row>
    <row r="208">
      <c r="B208" s="179"/>
      <c r="C208" s="179"/>
      <c r="D208" s="179"/>
      <c r="E208" s="179"/>
    </row>
    <row r="209">
      <c r="B209" s="179"/>
      <c r="C209" s="179"/>
      <c r="D209" s="179"/>
      <c r="E209" s="179"/>
    </row>
    <row r="210">
      <c r="B210" s="179"/>
      <c r="C210" s="179"/>
      <c r="D210" s="179"/>
      <c r="E210" s="179"/>
    </row>
    <row r="211">
      <c r="B211" s="179"/>
      <c r="C211" s="179"/>
      <c r="D211" s="179"/>
      <c r="E211" s="179"/>
    </row>
    <row r="212">
      <c r="B212" s="179"/>
      <c r="C212" s="179"/>
      <c r="D212" s="179"/>
      <c r="E212" s="179"/>
    </row>
    <row r="213">
      <c r="B213" s="179"/>
      <c r="C213" s="179"/>
      <c r="D213" s="179"/>
      <c r="E213" s="179"/>
    </row>
    <row r="214">
      <c r="B214" s="179"/>
      <c r="C214" s="179"/>
      <c r="D214" s="179"/>
      <c r="E214" s="179"/>
    </row>
    <row r="215">
      <c r="B215" s="179"/>
      <c r="C215" s="179"/>
      <c r="D215" s="179"/>
      <c r="E215" s="179"/>
    </row>
    <row r="216">
      <c r="B216" s="179"/>
      <c r="C216" s="179"/>
      <c r="D216" s="179"/>
      <c r="E216" s="179"/>
    </row>
    <row r="217">
      <c r="B217" s="179"/>
      <c r="C217" s="179"/>
      <c r="D217" s="179"/>
      <c r="E217" s="179"/>
    </row>
    <row r="218">
      <c r="B218" s="179"/>
      <c r="C218" s="179"/>
      <c r="D218" s="179"/>
      <c r="E218" s="179"/>
    </row>
    <row r="219">
      <c r="B219" s="179"/>
      <c r="C219" s="179"/>
      <c r="D219" s="179"/>
      <c r="E219" s="179"/>
    </row>
    <row r="220">
      <c r="B220" s="179"/>
      <c r="C220" s="179"/>
      <c r="D220" s="179"/>
      <c r="E220" s="179"/>
    </row>
    <row r="221">
      <c r="B221" s="179"/>
      <c r="C221" s="179"/>
      <c r="D221" s="179"/>
      <c r="E221" s="179"/>
    </row>
    <row r="222">
      <c r="B222" s="179"/>
      <c r="C222" s="179"/>
      <c r="D222" s="179"/>
      <c r="E222" s="179"/>
    </row>
    <row r="223">
      <c r="B223" s="179"/>
      <c r="C223" s="179"/>
      <c r="D223" s="179"/>
      <c r="E223" s="179"/>
    </row>
    <row r="224">
      <c r="B224" s="179"/>
      <c r="C224" s="179"/>
      <c r="D224" s="179"/>
      <c r="E224" s="179"/>
    </row>
    <row r="225">
      <c r="B225" s="179"/>
      <c r="C225" s="179"/>
      <c r="D225" s="179"/>
      <c r="E225" s="179"/>
    </row>
    <row r="226">
      <c r="B226" s="179"/>
      <c r="C226" s="179"/>
      <c r="D226" s="179"/>
      <c r="E226" s="179"/>
    </row>
    <row r="227">
      <c r="B227" s="179"/>
      <c r="C227" s="179"/>
      <c r="D227" s="179"/>
      <c r="E227" s="179"/>
    </row>
    <row r="228">
      <c r="B228" s="179"/>
      <c r="C228" s="179"/>
      <c r="D228" s="179"/>
      <c r="E228" s="179"/>
    </row>
    <row r="229">
      <c r="B229" s="179"/>
      <c r="C229" s="179"/>
      <c r="D229" s="179"/>
      <c r="E229" s="179"/>
    </row>
    <row r="230">
      <c r="B230" s="179"/>
      <c r="C230" s="179"/>
      <c r="D230" s="179"/>
      <c r="E230" s="179"/>
    </row>
    <row r="231">
      <c r="B231" s="179"/>
      <c r="C231" s="179"/>
      <c r="D231" s="179"/>
      <c r="E231" s="179"/>
    </row>
    <row r="232">
      <c r="B232" s="179"/>
      <c r="C232" s="179"/>
      <c r="D232" s="179"/>
      <c r="E232" s="179"/>
    </row>
    <row r="233">
      <c r="B233" s="179"/>
      <c r="C233" s="179"/>
      <c r="D233" s="179"/>
      <c r="E233" s="179"/>
    </row>
    <row r="234">
      <c r="B234" s="179"/>
      <c r="C234" s="179"/>
      <c r="D234" s="179"/>
      <c r="E234" s="179"/>
    </row>
    <row r="235">
      <c r="B235" s="179"/>
      <c r="C235" s="179"/>
      <c r="D235" s="179"/>
      <c r="E235" s="179"/>
    </row>
    <row r="236">
      <c r="B236" s="179"/>
      <c r="C236" s="179"/>
      <c r="D236" s="179"/>
      <c r="E236" s="179"/>
    </row>
    <row r="237">
      <c r="B237" s="179"/>
      <c r="C237" s="179"/>
      <c r="D237" s="179"/>
      <c r="E237" s="179"/>
    </row>
    <row r="238">
      <c r="B238" s="179"/>
      <c r="C238" s="179"/>
      <c r="D238" s="179"/>
      <c r="E238" s="179"/>
    </row>
    <row r="239">
      <c r="B239" s="179"/>
      <c r="C239" s="179"/>
      <c r="D239" s="179"/>
      <c r="E239" s="179"/>
    </row>
    <row r="240">
      <c r="B240" s="179"/>
      <c r="C240" s="179"/>
      <c r="D240" s="179"/>
      <c r="E240" s="179"/>
    </row>
    <row r="241">
      <c r="B241" s="179"/>
      <c r="C241" s="179"/>
      <c r="D241" s="179"/>
      <c r="E241" s="179"/>
    </row>
    <row r="242">
      <c r="B242" s="179"/>
      <c r="C242" s="179"/>
      <c r="D242" s="179"/>
      <c r="E242" s="179"/>
    </row>
    <row r="243">
      <c r="B243" s="179"/>
      <c r="C243" s="179"/>
      <c r="D243" s="179"/>
      <c r="E243" s="179"/>
    </row>
    <row r="244">
      <c r="B244" s="179"/>
      <c r="C244" s="179"/>
      <c r="D244" s="179"/>
      <c r="E244" s="179"/>
    </row>
    <row r="245">
      <c r="B245" s="179"/>
      <c r="C245" s="179"/>
      <c r="D245" s="179"/>
      <c r="E245" s="179"/>
    </row>
    <row r="246">
      <c r="B246" s="179"/>
      <c r="C246" s="179"/>
      <c r="D246" s="179"/>
      <c r="E246" s="179"/>
    </row>
    <row r="247">
      <c r="B247" s="179"/>
      <c r="C247" s="179"/>
      <c r="D247" s="179"/>
      <c r="E247" s="179"/>
    </row>
    <row r="248">
      <c r="B248" s="179"/>
      <c r="C248" s="179"/>
      <c r="D248" s="179"/>
      <c r="E248" s="179"/>
    </row>
    <row r="249">
      <c r="B249" s="179"/>
      <c r="C249" s="179"/>
      <c r="D249" s="179"/>
      <c r="E249" s="179"/>
    </row>
    <row r="250">
      <c r="B250" s="179"/>
      <c r="C250" s="179"/>
      <c r="D250" s="179"/>
      <c r="E250" s="179"/>
    </row>
    <row r="251">
      <c r="B251" s="179"/>
      <c r="C251" s="179"/>
      <c r="D251" s="179"/>
      <c r="E251" s="179"/>
    </row>
    <row r="252">
      <c r="B252" s="179"/>
      <c r="C252" s="179"/>
      <c r="D252" s="179"/>
      <c r="E252" s="179"/>
    </row>
    <row r="253">
      <c r="B253" s="179"/>
      <c r="C253" s="179"/>
      <c r="D253" s="179"/>
      <c r="E253" s="179"/>
    </row>
    <row r="254">
      <c r="B254" s="179"/>
      <c r="C254" s="179"/>
      <c r="D254" s="179"/>
      <c r="E254" s="179"/>
    </row>
    <row r="255">
      <c r="B255" s="179"/>
      <c r="C255" s="179"/>
      <c r="D255" s="179"/>
      <c r="E255" s="179"/>
    </row>
    <row r="256">
      <c r="B256" s="179"/>
      <c r="C256" s="179"/>
      <c r="D256" s="179"/>
      <c r="E256" s="179"/>
    </row>
    <row r="257">
      <c r="B257" s="179"/>
      <c r="C257" s="179"/>
      <c r="D257" s="179"/>
      <c r="E257" s="179"/>
    </row>
    <row r="258">
      <c r="B258" s="179"/>
      <c r="C258" s="179"/>
      <c r="D258" s="179"/>
      <c r="E258" s="179"/>
    </row>
    <row r="259">
      <c r="B259" s="179"/>
      <c r="C259" s="179"/>
      <c r="D259" s="179"/>
      <c r="E259" s="179"/>
    </row>
    <row r="260">
      <c r="B260" s="179"/>
      <c r="C260" s="179"/>
      <c r="D260" s="179"/>
      <c r="E260" s="179"/>
    </row>
    <row r="261">
      <c r="B261" s="179"/>
      <c r="C261" s="179"/>
      <c r="D261" s="179"/>
      <c r="E261" s="179"/>
    </row>
    <row r="262">
      <c r="B262" s="179"/>
      <c r="C262" s="179"/>
      <c r="D262" s="179"/>
      <c r="E262" s="179"/>
    </row>
    <row r="263">
      <c r="B263" s="179"/>
      <c r="C263" s="179"/>
      <c r="D263" s="179"/>
      <c r="E263" s="179"/>
    </row>
    <row r="264">
      <c r="B264" s="179"/>
      <c r="C264" s="179"/>
      <c r="D264" s="179"/>
      <c r="E264" s="179"/>
    </row>
    <row r="265">
      <c r="B265" s="179"/>
      <c r="C265" s="179"/>
      <c r="D265" s="179"/>
      <c r="E265" s="179"/>
    </row>
    <row r="266">
      <c r="B266" s="179"/>
      <c r="C266" s="179"/>
      <c r="D266" s="179"/>
      <c r="E266" s="179"/>
    </row>
    <row r="267">
      <c r="B267" s="179"/>
      <c r="C267" s="179"/>
      <c r="D267" s="179"/>
      <c r="E267" s="179"/>
    </row>
    <row r="268">
      <c r="B268" s="179"/>
      <c r="C268" s="179"/>
      <c r="D268" s="179"/>
      <c r="E268" s="179"/>
    </row>
    <row r="269">
      <c r="B269" s="179"/>
      <c r="C269" s="179"/>
      <c r="D269" s="179"/>
      <c r="E269" s="179"/>
    </row>
    <row r="270">
      <c r="B270" s="179"/>
      <c r="C270" s="179"/>
      <c r="D270" s="179"/>
      <c r="E270" s="179"/>
    </row>
    <row r="271">
      <c r="B271" s="179"/>
      <c r="C271" s="179"/>
      <c r="D271" s="179"/>
      <c r="E271" s="179"/>
    </row>
    <row r="272">
      <c r="B272" s="179"/>
      <c r="C272" s="179"/>
      <c r="D272" s="179"/>
      <c r="E272" s="179"/>
    </row>
    <row r="273">
      <c r="B273" s="179"/>
      <c r="C273" s="179"/>
      <c r="D273" s="179"/>
      <c r="E273" s="179"/>
    </row>
    <row r="274">
      <c r="B274" s="179"/>
      <c r="C274" s="179"/>
      <c r="D274" s="179"/>
      <c r="E274" s="179"/>
    </row>
    <row r="275">
      <c r="B275" s="179"/>
      <c r="C275" s="179"/>
      <c r="D275" s="179"/>
      <c r="E275" s="179"/>
    </row>
    <row r="276">
      <c r="B276" s="179"/>
      <c r="C276" s="179"/>
      <c r="D276" s="179"/>
      <c r="E276" s="179"/>
    </row>
    <row r="277">
      <c r="B277" s="179"/>
      <c r="C277" s="179"/>
      <c r="D277" s="179"/>
      <c r="E277" s="179"/>
    </row>
    <row r="278">
      <c r="B278" s="179"/>
      <c r="C278" s="179"/>
      <c r="D278" s="179"/>
      <c r="E278" s="179"/>
    </row>
    <row r="279">
      <c r="B279" s="179"/>
      <c r="C279" s="179"/>
      <c r="D279" s="179"/>
      <c r="E279" s="179"/>
    </row>
    <row r="280">
      <c r="B280" s="179"/>
      <c r="C280" s="179"/>
      <c r="D280" s="179"/>
      <c r="E280" s="179"/>
    </row>
    <row r="281">
      <c r="B281" s="179"/>
      <c r="C281" s="179"/>
      <c r="D281" s="179"/>
      <c r="E281" s="179"/>
    </row>
    <row r="282">
      <c r="B282" s="179"/>
      <c r="C282" s="179"/>
      <c r="D282" s="179"/>
      <c r="E282" s="179"/>
    </row>
    <row r="283">
      <c r="B283" s="179"/>
      <c r="C283" s="179"/>
      <c r="D283" s="179"/>
      <c r="E283" s="179"/>
    </row>
    <row r="284">
      <c r="B284" s="179"/>
      <c r="C284" s="179"/>
      <c r="D284" s="179"/>
      <c r="E284" s="179"/>
    </row>
    <row r="285">
      <c r="B285" s="179"/>
      <c r="C285" s="179"/>
      <c r="D285" s="179"/>
      <c r="E285" s="179"/>
    </row>
    <row r="286">
      <c r="B286" s="179"/>
      <c r="C286" s="179"/>
      <c r="D286" s="179"/>
      <c r="E286" s="179"/>
    </row>
    <row r="287">
      <c r="B287" s="179"/>
      <c r="C287" s="179"/>
      <c r="D287" s="179"/>
      <c r="E287" s="179"/>
    </row>
    <row r="288">
      <c r="B288" s="179"/>
      <c r="C288" s="179"/>
      <c r="D288" s="179"/>
      <c r="E288" s="179"/>
    </row>
    <row r="289">
      <c r="B289" s="179"/>
      <c r="C289" s="179"/>
      <c r="D289" s="179"/>
      <c r="E289" s="179"/>
    </row>
    <row r="290">
      <c r="B290" s="179"/>
      <c r="C290" s="179"/>
      <c r="D290" s="179"/>
      <c r="E290" s="179"/>
    </row>
    <row r="291">
      <c r="B291" s="179"/>
      <c r="C291" s="179"/>
      <c r="D291" s="179"/>
      <c r="E291" s="179"/>
    </row>
    <row r="292">
      <c r="B292" s="179"/>
      <c r="C292" s="179"/>
      <c r="D292" s="179"/>
      <c r="E292" s="179"/>
    </row>
    <row r="293">
      <c r="B293" s="179"/>
      <c r="C293" s="179"/>
      <c r="D293" s="179"/>
      <c r="E293" s="179"/>
    </row>
    <row r="294">
      <c r="B294" s="179"/>
      <c r="C294" s="179"/>
      <c r="D294" s="179"/>
      <c r="E294" s="179"/>
    </row>
    <row r="295">
      <c r="B295" s="179"/>
      <c r="C295" s="179"/>
      <c r="D295" s="179"/>
      <c r="E295" s="179"/>
    </row>
    <row r="296">
      <c r="B296" s="179"/>
      <c r="C296" s="179"/>
      <c r="D296" s="179"/>
      <c r="E296" s="179"/>
    </row>
    <row r="297">
      <c r="B297" s="179"/>
      <c r="C297" s="179"/>
      <c r="D297" s="179"/>
      <c r="E297" s="179"/>
    </row>
    <row r="298">
      <c r="B298" s="179"/>
      <c r="C298" s="179"/>
      <c r="D298" s="179"/>
      <c r="E298" s="179"/>
    </row>
    <row r="299">
      <c r="B299" s="179"/>
      <c r="C299" s="179"/>
      <c r="D299" s="179"/>
      <c r="E299" s="179"/>
    </row>
    <row r="300">
      <c r="B300" s="179"/>
      <c r="C300" s="179"/>
      <c r="D300" s="179"/>
      <c r="E300" s="179"/>
    </row>
    <row r="301">
      <c r="B301" s="179"/>
      <c r="C301" s="179"/>
      <c r="D301" s="179"/>
      <c r="E301" s="179"/>
    </row>
    <row r="302">
      <c r="B302" s="179"/>
      <c r="C302" s="179"/>
      <c r="D302" s="179"/>
      <c r="E302" s="179"/>
    </row>
    <row r="303">
      <c r="B303" s="179"/>
      <c r="C303" s="179"/>
      <c r="D303" s="179"/>
      <c r="E303" s="179"/>
    </row>
    <row r="304">
      <c r="B304" s="179"/>
      <c r="C304" s="179"/>
      <c r="D304" s="179"/>
      <c r="E304" s="179"/>
    </row>
    <row r="305">
      <c r="B305" s="179"/>
      <c r="C305" s="179"/>
      <c r="D305" s="179"/>
      <c r="E305" s="179"/>
    </row>
    <row r="306">
      <c r="B306" s="179"/>
      <c r="C306" s="179"/>
      <c r="D306" s="179"/>
      <c r="E306" s="179"/>
    </row>
    <row r="307">
      <c r="B307" s="179"/>
      <c r="C307" s="179"/>
      <c r="D307" s="179"/>
      <c r="E307" s="179"/>
    </row>
    <row r="308">
      <c r="B308" s="179"/>
      <c r="C308" s="179"/>
      <c r="D308" s="179"/>
      <c r="E308" s="179"/>
    </row>
    <row r="309">
      <c r="B309" s="179"/>
      <c r="C309" s="179"/>
      <c r="D309" s="179"/>
      <c r="E309" s="179"/>
    </row>
    <row r="310">
      <c r="B310" s="179"/>
      <c r="C310" s="179"/>
      <c r="D310" s="179"/>
      <c r="E310" s="179"/>
    </row>
    <row r="311">
      <c r="B311" s="179"/>
      <c r="C311" s="179"/>
      <c r="D311" s="179"/>
      <c r="E311" s="179"/>
    </row>
    <row r="312">
      <c r="B312" s="179"/>
      <c r="C312" s="179"/>
      <c r="D312" s="179"/>
      <c r="E312" s="179"/>
    </row>
    <row r="313">
      <c r="B313" s="179"/>
      <c r="C313" s="179"/>
      <c r="D313" s="179"/>
      <c r="E313" s="179"/>
    </row>
    <row r="314">
      <c r="B314" s="179"/>
      <c r="C314" s="179"/>
      <c r="D314" s="179"/>
      <c r="E314" s="179"/>
    </row>
    <row r="315">
      <c r="B315" s="179"/>
      <c r="C315" s="179"/>
      <c r="D315" s="179"/>
      <c r="E315" s="179"/>
    </row>
    <row r="316">
      <c r="B316" s="179"/>
      <c r="C316" s="179"/>
      <c r="D316" s="179"/>
      <c r="E316" s="179"/>
    </row>
    <row r="317">
      <c r="B317" s="179"/>
      <c r="C317" s="179"/>
      <c r="D317" s="179"/>
      <c r="E317" s="179"/>
    </row>
    <row r="318">
      <c r="B318" s="179"/>
      <c r="C318" s="179"/>
      <c r="D318" s="179"/>
      <c r="E318" s="179"/>
    </row>
    <row r="319">
      <c r="B319" s="179"/>
      <c r="C319" s="179"/>
      <c r="D319" s="179"/>
      <c r="E319" s="179"/>
    </row>
    <row r="320">
      <c r="B320" s="179"/>
      <c r="C320" s="179"/>
      <c r="D320" s="179"/>
      <c r="E320" s="179"/>
    </row>
    <row r="321">
      <c r="B321" s="179"/>
      <c r="C321" s="179"/>
      <c r="D321" s="179"/>
      <c r="E321" s="179"/>
    </row>
    <row r="322">
      <c r="B322" s="179"/>
      <c r="C322" s="179"/>
      <c r="D322" s="179"/>
      <c r="E322" s="179"/>
    </row>
    <row r="323">
      <c r="B323" s="179"/>
      <c r="C323" s="179"/>
      <c r="D323" s="179"/>
      <c r="E323" s="179"/>
    </row>
    <row r="324">
      <c r="B324" s="179"/>
      <c r="C324" s="179"/>
      <c r="D324" s="179"/>
      <c r="E324" s="179"/>
    </row>
    <row r="325">
      <c r="B325" s="179"/>
      <c r="C325" s="179"/>
      <c r="D325" s="179"/>
      <c r="E325" s="179"/>
    </row>
    <row r="326">
      <c r="B326" s="179"/>
      <c r="C326" s="179"/>
      <c r="D326" s="179"/>
      <c r="E326" s="179"/>
    </row>
    <row r="327">
      <c r="B327" s="179"/>
      <c r="C327" s="179"/>
      <c r="D327" s="179"/>
      <c r="E327" s="179"/>
    </row>
    <row r="328">
      <c r="B328" s="179"/>
      <c r="C328" s="179"/>
      <c r="D328" s="179"/>
      <c r="E328" s="179"/>
    </row>
    <row r="329">
      <c r="B329" s="179"/>
      <c r="C329" s="179"/>
      <c r="D329" s="179"/>
      <c r="E329" s="179"/>
    </row>
    <row r="330">
      <c r="B330" s="179"/>
      <c r="C330" s="179"/>
      <c r="D330" s="179"/>
      <c r="E330" s="179"/>
    </row>
    <row r="331">
      <c r="B331" s="179"/>
      <c r="C331" s="179"/>
      <c r="D331" s="179"/>
      <c r="E331" s="179"/>
    </row>
    <row r="332">
      <c r="B332" s="179"/>
      <c r="C332" s="179"/>
      <c r="D332" s="179"/>
      <c r="E332" s="179"/>
    </row>
    <row r="333">
      <c r="B333" s="179"/>
      <c r="C333" s="179"/>
      <c r="D333" s="179"/>
      <c r="E333" s="179"/>
    </row>
    <row r="334">
      <c r="B334" s="179"/>
      <c r="C334" s="179"/>
      <c r="D334" s="179"/>
      <c r="E334" s="179"/>
    </row>
    <row r="335">
      <c r="B335" s="179"/>
      <c r="C335" s="179"/>
      <c r="D335" s="179"/>
      <c r="E335" s="179"/>
    </row>
    <row r="336">
      <c r="B336" s="179"/>
      <c r="C336" s="179"/>
      <c r="D336" s="179"/>
      <c r="E336" s="179"/>
    </row>
    <row r="337">
      <c r="B337" s="179"/>
      <c r="C337" s="179"/>
      <c r="D337" s="179"/>
      <c r="E337" s="179"/>
    </row>
    <row r="338">
      <c r="B338" s="179"/>
      <c r="C338" s="179"/>
      <c r="D338" s="179"/>
      <c r="E338" s="179"/>
    </row>
    <row r="339">
      <c r="B339" s="179"/>
      <c r="C339" s="179"/>
      <c r="D339" s="179"/>
      <c r="E339" s="179"/>
    </row>
    <row r="340">
      <c r="B340" s="179"/>
      <c r="C340" s="179"/>
      <c r="D340" s="179"/>
      <c r="E340" s="179"/>
    </row>
    <row r="341">
      <c r="B341" s="179"/>
      <c r="C341" s="179"/>
      <c r="D341" s="179"/>
      <c r="E341" s="179"/>
    </row>
    <row r="342">
      <c r="B342" s="179"/>
      <c r="C342" s="179"/>
      <c r="D342" s="179"/>
      <c r="E342" s="179"/>
    </row>
    <row r="343">
      <c r="B343" s="179"/>
      <c r="C343" s="179"/>
      <c r="D343" s="179"/>
      <c r="E343" s="179"/>
    </row>
    <row r="344">
      <c r="B344" s="179"/>
      <c r="C344" s="179"/>
      <c r="D344" s="179"/>
      <c r="E344" s="179"/>
    </row>
    <row r="345">
      <c r="B345" s="179"/>
      <c r="C345" s="179"/>
      <c r="D345" s="179"/>
      <c r="E345" s="179"/>
    </row>
    <row r="346">
      <c r="B346" s="179"/>
      <c r="C346" s="179"/>
      <c r="D346" s="179"/>
      <c r="E346" s="179"/>
    </row>
    <row r="347">
      <c r="B347" s="179"/>
      <c r="C347" s="179"/>
      <c r="D347" s="179"/>
      <c r="E347" s="179"/>
    </row>
    <row r="348">
      <c r="B348" s="179"/>
      <c r="C348" s="179"/>
      <c r="D348" s="179"/>
      <c r="E348" s="179"/>
    </row>
    <row r="349">
      <c r="B349" s="179"/>
      <c r="C349" s="179"/>
      <c r="D349" s="179"/>
      <c r="E349" s="179"/>
    </row>
    <row r="350">
      <c r="B350" s="179"/>
      <c r="C350" s="179"/>
      <c r="D350" s="179"/>
      <c r="E350" s="179"/>
    </row>
    <row r="351">
      <c r="B351" s="179"/>
      <c r="C351" s="179"/>
      <c r="D351" s="179"/>
      <c r="E351" s="179"/>
    </row>
    <row r="352">
      <c r="B352" s="179"/>
      <c r="C352" s="179"/>
      <c r="D352" s="179"/>
      <c r="E352" s="179"/>
    </row>
    <row r="353">
      <c r="B353" s="179"/>
      <c r="C353" s="179"/>
      <c r="D353" s="179"/>
      <c r="E353" s="179"/>
    </row>
    <row r="354">
      <c r="B354" s="179"/>
      <c r="C354" s="179"/>
      <c r="D354" s="179"/>
      <c r="E354" s="179"/>
    </row>
    <row r="355">
      <c r="B355" s="179"/>
      <c r="C355" s="179"/>
      <c r="D355" s="179"/>
      <c r="E355" s="179"/>
    </row>
    <row r="356">
      <c r="B356" s="179"/>
      <c r="C356" s="179"/>
      <c r="D356" s="179"/>
      <c r="E356" s="179"/>
    </row>
    <row r="357">
      <c r="B357" s="179"/>
      <c r="C357" s="179"/>
      <c r="D357" s="179"/>
      <c r="E357" s="179"/>
    </row>
    <row r="358">
      <c r="B358" s="179"/>
      <c r="C358" s="179"/>
      <c r="D358" s="179"/>
      <c r="E358" s="179"/>
    </row>
    <row r="359">
      <c r="B359" s="179"/>
      <c r="C359" s="179"/>
      <c r="D359" s="179"/>
      <c r="E359" s="179"/>
    </row>
    <row r="360">
      <c r="B360" s="179"/>
      <c r="C360" s="179"/>
      <c r="D360" s="179"/>
      <c r="E360" s="179"/>
    </row>
    <row r="361">
      <c r="B361" s="179"/>
      <c r="C361" s="179"/>
      <c r="D361" s="179"/>
      <c r="E361" s="179"/>
    </row>
    <row r="362">
      <c r="B362" s="179"/>
      <c r="C362" s="179"/>
      <c r="D362" s="179"/>
      <c r="E362" s="179"/>
    </row>
    <row r="363">
      <c r="B363" s="179"/>
      <c r="C363" s="179"/>
      <c r="D363" s="179"/>
      <c r="E363" s="179"/>
    </row>
    <row r="364">
      <c r="B364" s="179"/>
      <c r="C364" s="179"/>
      <c r="D364" s="179"/>
      <c r="E364" s="179"/>
    </row>
    <row r="365">
      <c r="B365" s="179"/>
      <c r="C365" s="179"/>
      <c r="D365" s="179"/>
      <c r="E365" s="179"/>
    </row>
    <row r="366">
      <c r="B366" s="179"/>
      <c r="C366" s="179"/>
      <c r="D366" s="179"/>
      <c r="E366" s="179"/>
    </row>
    <row r="367">
      <c r="B367" s="179"/>
      <c r="C367" s="179"/>
      <c r="D367" s="179"/>
      <c r="E367" s="179"/>
    </row>
    <row r="368">
      <c r="B368" s="179"/>
      <c r="C368" s="179"/>
      <c r="D368" s="179"/>
      <c r="E368" s="179"/>
    </row>
    <row r="369">
      <c r="B369" s="179"/>
      <c r="C369" s="179"/>
      <c r="D369" s="179"/>
      <c r="E369" s="179"/>
    </row>
    <row r="370">
      <c r="B370" s="179"/>
      <c r="C370" s="179"/>
      <c r="D370" s="179"/>
      <c r="E370" s="179"/>
    </row>
    <row r="371">
      <c r="B371" s="179"/>
      <c r="C371" s="179"/>
      <c r="D371" s="179"/>
      <c r="E371" s="179"/>
    </row>
    <row r="372">
      <c r="B372" s="179"/>
      <c r="C372" s="179"/>
      <c r="D372" s="179"/>
      <c r="E372" s="179"/>
    </row>
    <row r="373">
      <c r="B373" s="179"/>
      <c r="C373" s="179"/>
      <c r="D373" s="179"/>
      <c r="E373" s="179"/>
    </row>
    <row r="374">
      <c r="B374" s="179"/>
      <c r="C374" s="179"/>
      <c r="D374" s="179"/>
      <c r="E374" s="179"/>
    </row>
    <row r="375">
      <c r="B375" s="179"/>
      <c r="C375" s="179"/>
      <c r="D375" s="179"/>
      <c r="E375" s="179"/>
    </row>
    <row r="376">
      <c r="B376" s="179"/>
      <c r="C376" s="179"/>
      <c r="D376" s="179"/>
      <c r="E376" s="179"/>
    </row>
    <row r="377">
      <c r="B377" s="179"/>
      <c r="C377" s="179"/>
      <c r="D377" s="179"/>
      <c r="E377" s="179"/>
    </row>
    <row r="378">
      <c r="B378" s="179"/>
      <c r="C378" s="179"/>
      <c r="D378" s="179"/>
      <c r="E378" s="179"/>
    </row>
    <row r="379">
      <c r="B379" s="179"/>
      <c r="C379" s="179"/>
      <c r="D379" s="179"/>
      <c r="E379" s="179"/>
    </row>
    <row r="380">
      <c r="B380" s="179"/>
      <c r="C380" s="179"/>
      <c r="D380" s="179"/>
      <c r="E380" s="179"/>
    </row>
    <row r="381">
      <c r="B381" s="179"/>
      <c r="C381" s="179"/>
      <c r="D381" s="179"/>
      <c r="E381" s="179"/>
    </row>
    <row r="382">
      <c r="B382" s="179"/>
      <c r="C382" s="179"/>
      <c r="D382" s="179"/>
      <c r="E382" s="179"/>
    </row>
    <row r="383">
      <c r="B383" s="179"/>
      <c r="C383" s="179"/>
      <c r="D383" s="179"/>
      <c r="E383" s="179"/>
    </row>
    <row r="384">
      <c r="B384" s="179"/>
      <c r="C384" s="179"/>
      <c r="D384" s="179"/>
      <c r="E384" s="179"/>
    </row>
    <row r="385">
      <c r="B385" s="179"/>
      <c r="C385" s="179"/>
      <c r="D385" s="179"/>
      <c r="E385" s="179"/>
    </row>
    <row r="386">
      <c r="B386" s="179"/>
      <c r="C386" s="179"/>
      <c r="D386" s="179"/>
      <c r="E386" s="179"/>
    </row>
    <row r="387">
      <c r="B387" s="179"/>
      <c r="C387" s="179"/>
      <c r="D387" s="179"/>
      <c r="E387" s="179"/>
    </row>
    <row r="388">
      <c r="B388" s="179"/>
      <c r="C388" s="179"/>
      <c r="D388" s="179"/>
      <c r="E388" s="179"/>
    </row>
    <row r="389">
      <c r="B389" s="179"/>
      <c r="C389" s="179"/>
      <c r="D389" s="179"/>
      <c r="E389" s="179"/>
    </row>
    <row r="390">
      <c r="B390" s="179"/>
      <c r="C390" s="179"/>
      <c r="D390" s="179"/>
      <c r="E390" s="179"/>
    </row>
    <row r="391">
      <c r="B391" s="179"/>
      <c r="C391" s="179"/>
      <c r="D391" s="179"/>
      <c r="E391" s="179"/>
    </row>
    <row r="392">
      <c r="B392" s="179"/>
      <c r="C392" s="179"/>
      <c r="D392" s="179"/>
      <c r="E392" s="179"/>
    </row>
    <row r="393">
      <c r="B393" s="179"/>
      <c r="C393" s="179"/>
      <c r="D393" s="179"/>
      <c r="E393" s="179"/>
    </row>
    <row r="394">
      <c r="B394" s="179"/>
      <c r="C394" s="179"/>
      <c r="D394" s="179"/>
      <c r="E394" s="179"/>
    </row>
    <row r="395">
      <c r="B395" s="179"/>
      <c r="C395" s="179"/>
      <c r="D395" s="179"/>
      <c r="E395" s="179"/>
    </row>
    <row r="396">
      <c r="B396" s="179"/>
      <c r="C396" s="179"/>
      <c r="D396" s="179"/>
      <c r="E396" s="179"/>
    </row>
    <row r="397">
      <c r="B397" s="179"/>
      <c r="C397" s="179"/>
      <c r="D397" s="179"/>
      <c r="E397" s="179"/>
    </row>
    <row r="398">
      <c r="B398" s="179"/>
      <c r="C398" s="179"/>
      <c r="D398" s="179"/>
      <c r="E398" s="179"/>
    </row>
    <row r="399">
      <c r="B399" s="179"/>
      <c r="C399" s="179"/>
      <c r="D399" s="179"/>
      <c r="E399" s="179"/>
    </row>
    <row r="400">
      <c r="B400" s="179"/>
      <c r="C400" s="179"/>
      <c r="D400" s="179"/>
      <c r="E400" s="179"/>
    </row>
    <row r="401">
      <c r="B401" s="179"/>
      <c r="C401" s="179"/>
      <c r="D401" s="179"/>
      <c r="E401" s="179"/>
    </row>
    <row r="402">
      <c r="B402" s="179"/>
      <c r="C402" s="179"/>
      <c r="D402" s="179"/>
      <c r="E402" s="179"/>
    </row>
    <row r="403">
      <c r="B403" s="179"/>
      <c r="C403" s="179"/>
      <c r="D403" s="179"/>
      <c r="E403" s="179"/>
    </row>
    <row r="404">
      <c r="B404" s="179"/>
      <c r="C404" s="179"/>
      <c r="D404" s="179"/>
      <c r="E404" s="179"/>
    </row>
    <row r="405">
      <c r="B405" s="179"/>
      <c r="C405" s="179"/>
      <c r="D405" s="179"/>
      <c r="E405" s="179"/>
    </row>
    <row r="406">
      <c r="B406" s="179"/>
      <c r="C406" s="179"/>
      <c r="D406" s="179"/>
      <c r="E406" s="179"/>
    </row>
    <row r="407">
      <c r="B407" s="179"/>
      <c r="C407" s="179"/>
      <c r="D407" s="179"/>
      <c r="E407" s="179"/>
    </row>
    <row r="408">
      <c r="B408" s="179"/>
      <c r="C408" s="179"/>
      <c r="D408" s="179"/>
      <c r="E408" s="179"/>
    </row>
    <row r="409">
      <c r="B409" s="179"/>
      <c r="C409" s="179"/>
      <c r="D409" s="179"/>
      <c r="E409" s="179"/>
    </row>
    <row r="410">
      <c r="B410" s="179"/>
      <c r="C410" s="179"/>
      <c r="D410" s="179"/>
      <c r="E410" s="179"/>
    </row>
    <row r="411">
      <c r="B411" s="179"/>
      <c r="C411" s="179"/>
      <c r="D411" s="179"/>
      <c r="E411" s="179"/>
    </row>
    <row r="412">
      <c r="B412" s="179"/>
      <c r="C412" s="179"/>
      <c r="D412" s="179"/>
      <c r="E412" s="179"/>
    </row>
    <row r="413">
      <c r="B413" s="179"/>
      <c r="C413" s="179"/>
      <c r="D413" s="179"/>
      <c r="E413" s="179"/>
    </row>
    <row r="414">
      <c r="B414" s="179"/>
      <c r="C414" s="179"/>
      <c r="D414" s="179"/>
      <c r="E414" s="179"/>
    </row>
    <row r="415">
      <c r="B415" s="179"/>
      <c r="C415" s="179"/>
      <c r="D415" s="179"/>
      <c r="E415" s="179"/>
    </row>
    <row r="416">
      <c r="B416" s="179"/>
      <c r="C416" s="179"/>
      <c r="D416" s="179"/>
      <c r="E416" s="179"/>
    </row>
    <row r="417">
      <c r="B417" s="179"/>
      <c r="C417" s="179"/>
      <c r="D417" s="179"/>
      <c r="E417" s="179"/>
    </row>
    <row r="418">
      <c r="B418" s="179"/>
      <c r="C418" s="179"/>
      <c r="D418" s="179"/>
      <c r="E418" s="179"/>
    </row>
    <row r="419">
      <c r="B419" s="179"/>
      <c r="C419" s="179"/>
      <c r="D419" s="179"/>
      <c r="E419" s="179"/>
    </row>
    <row r="420">
      <c r="B420" s="179"/>
      <c r="C420" s="179"/>
      <c r="D420" s="179"/>
      <c r="E420" s="179"/>
    </row>
    <row r="421">
      <c r="B421" s="179"/>
      <c r="C421" s="179"/>
      <c r="D421" s="179"/>
      <c r="E421" s="179"/>
    </row>
    <row r="422">
      <c r="B422" s="179"/>
      <c r="C422" s="179"/>
      <c r="D422" s="179"/>
      <c r="E422" s="179"/>
    </row>
    <row r="423">
      <c r="B423" s="179"/>
      <c r="C423" s="179"/>
      <c r="D423" s="179"/>
      <c r="E423" s="179"/>
    </row>
    <row r="424">
      <c r="B424" s="179"/>
      <c r="C424" s="179"/>
      <c r="D424" s="179"/>
      <c r="E424" s="179"/>
    </row>
    <row r="425">
      <c r="B425" s="179"/>
      <c r="C425" s="179"/>
      <c r="D425" s="179"/>
      <c r="E425" s="179"/>
    </row>
    <row r="426">
      <c r="B426" s="179"/>
      <c r="C426" s="179"/>
      <c r="D426" s="179"/>
      <c r="E426" s="179"/>
    </row>
    <row r="427">
      <c r="B427" s="179"/>
      <c r="C427" s="179"/>
      <c r="D427" s="179"/>
      <c r="E427" s="179"/>
    </row>
    <row r="428">
      <c r="B428" s="179"/>
      <c r="C428" s="179"/>
      <c r="D428" s="179"/>
      <c r="E428" s="179"/>
    </row>
    <row r="429">
      <c r="B429" s="179"/>
      <c r="C429" s="179"/>
      <c r="D429" s="179"/>
      <c r="E429" s="179"/>
    </row>
    <row r="430">
      <c r="B430" s="179"/>
      <c r="C430" s="179"/>
      <c r="D430" s="179"/>
      <c r="E430" s="179"/>
    </row>
    <row r="431">
      <c r="B431" s="179"/>
      <c r="C431" s="179"/>
      <c r="D431" s="179"/>
      <c r="E431" s="179"/>
    </row>
    <row r="432">
      <c r="B432" s="179"/>
      <c r="C432" s="179"/>
      <c r="D432" s="179"/>
      <c r="E432" s="179"/>
    </row>
    <row r="433">
      <c r="B433" s="179"/>
      <c r="C433" s="179"/>
      <c r="D433" s="179"/>
      <c r="E433" s="179"/>
    </row>
    <row r="434">
      <c r="B434" s="179"/>
      <c r="C434" s="179"/>
      <c r="D434" s="179"/>
      <c r="E434" s="179"/>
    </row>
    <row r="435">
      <c r="B435" s="179"/>
      <c r="C435" s="179"/>
      <c r="D435" s="179"/>
      <c r="E435" s="179"/>
    </row>
    <row r="436">
      <c r="B436" s="179"/>
      <c r="C436" s="179"/>
      <c r="D436" s="179"/>
      <c r="E436" s="179"/>
    </row>
    <row r="437">
      <c r="B437" s="179"/>
      <c r="C437" s="179"/>
      <c r="D437" s="179"/>
      <c r="E437" s="179"/>
    </row>
    <row r="438">
      <c r="B438" s="179"/>
      <c r="C438" s="179"/>
      <c r="D438" s="179"/>
      <c r="E438" s="179"/>
    </row>
    <row r="439">
      <c r="B439" s="179"/>
      <c r="C439" s="179"/>
      <c r="D439" s="179"/>
      <c r="E439" s="179"/>
    </row>
    <row r="440">
      <c r="B440" s="179"/>
      <c r="C440" s="179"/>
      <c r="D440" s="179"/>
      <c r="E440" s="179"/>
    </row>
    <row r="441">
      <c r="B441" s="179"/>
      <c r="C441" s="179"/>
      <c r="D441" s="179"/>
      <c r="E441" s="179"/>
    </row>
    <row r="442">
      <c r="B442" s="179"/>
      <c r="C442" s="179"/>
      <c r="D442" s="179"/>
      <c r="E442" s="179"/>
    </row>
    <row r="443">
      <c r="B443" s="179"/>
      <c r="C443" s="179"/>
      <c r="D443" s="179"/>
      <c r="E443" s="179"/>
    </row>
    <row r="444">
      <c r="B444" s="179"/>
      <c r="C444" s="179"/>
      <c r="D444" s="179"/>
      <c r="E444" s="179"/>
    </row>
    <row r="445">
      <c r="B445" s="179"/>
      <c r="C445" s="179"/>
      <c r="D445" s="179"/>
      <c r="E445" s="179"/>
    </row>
    <row r="446">
      <c r="B446" s="179"/>
      <c r="C446" s="179"/>
      <c r="D446" s="179"/>
      <c r="E446" s="179"/>
    </row>
    <row r="447">
      <c r="B447" s="179"/>
      <c r="C447" s="179"/>
      <c r="D447" s="179"/>
      <c r="E447" s="179"/>
    </row>
    <row r="448">
      <c r="B448" s="179"/>
      <c r="C448" s="179"/>
      <c r="D448" s="179"/>
      <c r="E448" s="179"/>
    </row>
    <row r="449">
      <c r="B449" s="179"/>
      <c r="C449" s="179"/>
      <c r="D449" s="179"/>
      <c r="E449" s="179"/>
    </row>
    <row r="450">
      <c r="B450" s="179"/>
      <c r="C450" s="179"/>
      <c r="D450" s="179"/>
      <c r="E450" s="179"/>
    </row>
    <row r="451">
      <c r="B451" s="179"/>
      <c r="C451" s="179"/>
      <c r="D451" s="179"/>
      <c r="E451" s="179"/>
    </row>
    <row r="452">
      <c r="B452" s="179"/>
      <c r="C452" s="179"/>
      <c r="D452" s="179"/>
      <c r="E452" s="179"/>
    </row>
    <row r="453">
      <c r="B453" s="179"/>
      <c r="C453" s="179"/>
      <c r="D453" s="179"/>
      <c r="E453" s="179"/>
    </row>
    <row r="454">
      <c r="B454" s="179"/>
      <c r="C454" s="179"/>
      <c r="D454" s="179"/>
      <c r="E454" s="179"/>
    </row>
    <row r="455">
      <c r="B455" s="179"/>
      <c r="C455" s="179"/>
      <c r="D455" s="179"/>
      <c r="E455" s="179"/>
    </row>
    <row r="456">
      <c r="B456" s="179"/>
      <c r="C456" s="179"/>
      <c r="D456" s="179"/>
      <c r="E456" s="179"/>
    </row>
    <row r="457">
      <c r="B457" s="179"/>
      <c r="C457" s="179"/>
      <c r="D457" s="179"/>
      <c r="E457" s="179"/>
    </row>
    <row r="458">
      <c r="B458" s="179"/>
      <c r="C458" s="179"/>
      <c r="D458" s="179"/>
      <c r="E458" s="179"/>
    </row>
    <row r="459">
      <c r="B459" s="179"/>
      <c r="C459" s="179"/>
      <c r="D459" s="179"/>
      <c r="E459" s="179"/>
    </row>
    <row r="460">
      <c r="B460" s="179"/>
      <c r="C460" s="179"/>
      <c r="D460" s="179"/>
      <c r="E460" s="179"/>
    </row>
    <row r="461">
      <c r="B461" s="179"/>
      <c r="C461" s="179"/>
      <c r="D461" s="179"/>
      <c r="E461" s="179"/>
    </row>
    <row r="462">
      <c r="B462" s="179"/>
      <c r="C462" s="179"/>
      <c r="D462" s="179"/>
      <c r="E462" s="179"/>
    </row>
    <row r="463">
      <c r="B463" s="179"/>
      <c r="C463" s="179"/>
      <c r="D463" s="179"/>
      <c r="E463" s="179"/>
    </row>
    <row r="464">
      <c r="B464" s="179"/>
      <c r="C464" s="179"/>
      <c r="D464" s="179"/>
      <c r="E464" s="179"/>
    </row>
    <row r="465">
      <c r="B465" s="179"/>
      <c r="C465" s="179"/>
      <c r="D465" s="179"/>
      <c r="E465" s="179"/>
    </row>
    <row r="466">
      <c r="B466" s="179"/>
      <c r="C466" s="179"/>
      <c r="D466" s="179"/>
      <c r="E466" s="179"/>
    </row>
    <row r="467">
      <c r="B467" s="179"/>
      <c r="C467" s="179"/>
      <c r="D467" s="179"/>
      <c r="E467" s="179"/>
    </row>
    <row r="468">
      <c r="B468" s="179"/>
      <c r="C468" s="179"/>
      <c r="D468" s="179"/>
      <c r="E468" s="179"/>
    </row>
    <row r="469">
      <c r="B469" s="179"/>
      <c r="C469" s="179"/>
      <c r="D469" s="179"/>
      <c r="E469" s="179"/>
    </row>
    <row r="470">
      <c r="B470" s="179"/>
      <c r="C470" s="179"/>
      <c r="D470" s="179"/>
      <c r="E470" s="179"/>
    </row>
    <row r="471">
      <c r="B471" s="179"/>
      <c r="C471" s="179"/>
      <c r="D471" s="179"/>
      <c r="E471" s="179"/>
    </row>
    <row r="472">
      <c r="B472" s="179"/>
      <c r="C472" s="179"/>
      <c r="D472" s="179"/>
      <c r="E472" s="179"/>
    </row>
    <row r="473">
      <c r="B473" s="179"/>
      <c r="C473" s="179"/>
      <c r="D473" s="179"/>
      <c r="E473" s="179"/>
    </row>
    <row r="474">
      <c r="B474" s="179"/>
      <c r="C474" s="179"/>
      <c r="D474" s="179"/>
      <c r="E474" s="179"/>
    </row>
    <row r="475">
      <c r="B475" s="179"/>
      <c r="C475" s="179"/>
      <c r="D475" s="179"/>
      <c r="E475" s="179"/>
    </row>
    <row r="476">
      <c r="B476" s="179"/>
      <c r="C476" s="179"/>
      <c r="D476" s="179"/>
      <c r="E476" s="179"/>
    </row>
    <row r="477">
      <c r="B477" s="179"/>
      <c r="C477" s="179"/>
      <c r="D477" s="179"/>
      <c r="E477" s="179"/>
    </row>
    <row r="478">
      <c r="B478" s="179"/>
      <c r="C478" s="179"/>
      <c r="D478" s="179"/>
      <c r="E478" s="179"/>
    </row>
    <row r="479">
      <c r="B479" s="179"/>
      <c r="C479" s="179"/>
      <c r="D479" s="179"/>
      <c r="E479" s="179"/>
    </row>
    <row r="480">
      <c r="B480" s="179"/>
      <c r="C480" s="179"/>
      <c r="D480" s="179"/>
      <c r="E480" s="179"/>
    </row>
    <row r="481">
      <c r="B481" s="179"/>
      <c r="C481" s="179"/>
      <c r="D481" s="179"/>
      <c r="E481" s="179"/>
    </row>
    <row r="482">
      <c r="B482" s="179"/>
      <c r="C482" s="179"/>
      <c r="D482" s="179"/>
      <c r="E482" s="179"/>
    </row>
    <row r="483">
      <c r="B483" s="179"/>
      <c r="C483" s="179"/>
      <c r="D483" s="179"/>
      <c r="E483" s="179"/>
    </row>
    <row r="484">
      <c r="B484" s="179"/>
      <c r="C484" s="179"/>
      <c r="D484" s="179"/>
      <c r="E484" s="179"/>
    </row>
    <row r="485">
      <c r="B485" s="179"/>
      <c r="C485" s="179"/>
      <c r="D485" s="179"/>
      <c r="E485" s="179"/>
    </row>
    <row r="486">
      <c r="B486" s="179"/>
      <c r="C486" s="179"/>
      <c r="D486" s="179"/>
      <c r="E486" s="179"/>
    </row>
    <row r="487">
      <c r="B487" s="179"/>
      <c r="C487" s="179"/>
      <c r="D487" s="179"/>
      <c r="E487" s="179"/>
    </row>
    <row r="488">
      <c r="B488" s="179"/>
      <c r="C488" s="179"/>
      <c r="D488" s="179"/>
      <c r="E488" s="179"/>
    </row>
    <row r="489">
      <c r="B489" s="179"/>
      <c r="C489" s="179"/>
      <c r="D489" s="179"/>
      <c r="E489" s="179"/>
    </row>
    <row r="490">
      <c r="B490" s="179"/>
      <c r="C490" s="179"/>
      <c r="D490" s="179"/>
      <c r="E490" s="179"/>
    </row>
    <row r="491">
      <c r="B491" s="179"/>
      <c r="C491" s="179"/>
      <c r="D491" s="179"/>
      <c r="E491" s="179"/>
    </row>
    <row r="492">
      <c r="B492" s="179"/>
      <c r="C492" s="179"/>
      <c r="D492" s="179"/>
      <c r="E492" s="179"/>
    </row>
    <row r="493">
      <c r="B493" s="179"/>
      <c r="C493" s="179"/>
      <c r="D493" s="179"/>
      <c r="E493" s="179"/>
    </row>
    <row r="494">
      <c r="B494" s="179"/>
      <c r="C494" s="179"/>
      <c r="D494" s="179"/>
      <c r="E494" s="179"/>
    </row>
    <row r="495">
      <c r="B495" s="179"/>
      <c r="C495" s="179"/>
      <c r="D495" s="179"/>
      <c r="E495" s="179"/>
    </row>
    <row r="496">
      <c r="B496" s="179"/>
      <c r="C496" s="179"/>
      <c r="D496" s="179"/>
      <c r="E496" s="179"/>
    </row>
    <row r="497">
      <c r="B497" s="179"/>
      <c r="C497" s="179"/>
      <c r="D497" s="179"/>
      <c r="E497" s="179"/>
    </row>
    <row r="498">
      <c r="B498" s="179"/>
      <c r="C498" s="179"/>
      <c r="D498" s="179"/>
      <c r="E498" s="179"/>
    </row>
    <row r="499">
      <c r="B499" s="179"/>
      <c r="C499" s="179"/>
      <c r="D499" s="179"/>
      <c r="E499" s="179"/>
    </row>
    <row r="500">
      <c r="B500" s="179"/>
      <c r="C500" s="179"/>
      <c r="D500" s="179"/>
      <c r="E500" s="179"/>
    </row>
    <row r="501">
      <c r="B501" s="179"/>
      <c r="C501" s="179"/>
      <c r="D501" s="179"/>
      <c r="E501" s="179"/>
    </row>
    <row r="502">
      <c r="B502" s="179"/>
      <c r="C502" s="179"/>
      <c r="D502" s="179"/>
      <c r="E502" s="179"/>
    </row>
    <row r="503">
      <c r="B503" s="179"/>
      <c r="C503" s="179"/>
      <c r="D503" s="179"/>
      <c r="E503" s="179"/>
    </row>
    <row r="504">
      <c r="B504" s="179"/>
      <c r="C504" s="179"/>
      <c r="D504" s="179"/>
      <c r="E504" s="179"/>
    </row>
    <row r="505">
      <c r="B505" s="179"/>
      <c r="C505" s="179"/>
      <c r="D505" s="179"/>
      <c r="E505" s="179"/>
    </row>
    <row r="506">
      <c r="B506" s="179"/>
      <c r="C506" s="179"/>
      <c r="D506" s="179"/>
      <c r="E506" s="179"/>
    </row>
    <row r="507">
      <c r="B507" s="179"/>
      <c r="C507" s="179"/>
      <c r="D507" s="179"/>
      <c r="E507" s="179"/>
    </row>
    <row r="508">
      <c r="B508" s="179"/>
      <c r="C508" s="179"/>
      <c r="D508" s="179"/>
      <c r="E508" s="179"/>
    </row>
    <row r="509">
      <c r="B509" s="179"/>
      <c r="C509" s="179"/>
      <c r="D509" s="179"/>
      <c r="E509" s="179"/>
    </row>
    <row r="510">
      <c r="B510" s="179"/>
      <c r="C510" s="179"/>
      <c r="D510" s="179"/>
      <c r="E510" s="179"/>
    </row>
    <row r="511">
      <c r="B511" s="179"/>
      <c r="C511" s="179"/>
      <c r="D511" s="179"/>
      <c r="E511" s="179"/>
    </row>
    <row r="512">
      <c r="B512" s="179"/>
      <c r="C512" s="179"/>
      <c r="D512" s="179"/>
      <c r="E512" s="179"/>
    </row>
    <row r="513">
      <c r="B513" s="179"/>
      <c r="C513" s="179"/>
      <c r="D513" s="179"/>
      <c r="E513" s="179"/>
    </row>
    <row r="514">
      <c r="B514" s="179"/>
      <c r="C514" s="179"/>
      <c r="D514" s="179"/>
      <c r="E514" s="179"/>
    </row>
    <row r="515">
      <c r="B515" s="179"/>
      <c r="C515" s="179"/>
      <c r="D515" s="179"/>
      <c r="E515" s="179"/>
    </row>
    <row r="516">
      <c r="B516" s="179"/>
      <c r="C516" s="179"/>
      <c r="D516" s="179"/>
      <c r="E516" s="179"/>
    </row>
    <row r="517">
      <c r="B517" s="179"/>
      <c r="C517" s="179"/>
      <c r="D517" s="179"/>
      <c r="E517" s="179"/>
    </row>
    <row r="518">
      <c r="B518" s="179"/>
      <c r="C518" s="179"/>
      <c r="D518" s="179"/>
      <c r="E518" s="179"/>
    </row>
    <row r="519">
      <c r="B519" s="179"/>
      <c r="C519" s="179"/>
      <c r="D519" s="179"/>
      <c r="E519" s="179"/>
    </row>
    <row r="520">
      <c r="B520" s="179"/>
      <c r="C520" s="179"/>
      <c r="D520" s="179"/>
      <c r="E520" s="179"/>
    </row>
    <row r="521">
      <c r="B521" s="179"/>
      <c r="C521" s="179"/>
      <c r="D521" s="179"/>
      <c r="E521" s="179"/>
    </row>
    <row r="522">
      <c r="B522" s="179"/>
      <c r="C522" s="179"/>
      <c r="D522" s="179"/>
      <c r="E522" s="179"/>
    </row>
    <row r="523">
      <c r="B523" s="179"/>
      <c r="C523" s="179"/>
      <c r="D523" s="179"/>
      <c r="E523" s="179"/>
    </row>
    <row r="524">
      <c r="B524" s="179"/>
      <c r="C524" s="179"/>
      <c r="D524" s="179"/>
      <c r="E524" s="179"/>
    </row>
    <row r="525">
      <c r="B525" s="179"/>
      <c r="C525" s="179"/>
      <c r="D525" s="179"/>
      <c r="E525" s="179"/>
    </row>
    <row r="526">
      <c r="B526" s="179"/>
      <c r="C526" s="179"/>
      <c r="D526" s="179"/>
      <c r="E526" s="179"/>
    </row>
    <row r="527">
      <c r="B527" s="179"/>
      <c r="C527" s="179"/>
      <c r="D527" s="179"/>
      <c r="E527" s="179"/>
    </row>
    <row r="528">
      <c r="B528" s="179"/>
      <c r="C528" s="179"/>
      <c r="D528" s="179"/>
      <c r="E528" s="179"/>
    </row>
    <row r="529">
      <c r="B529" s="179"/>
      <c r="C529" s="179"/>
      <c r="D529" s="179"/>
      <c r="E529" s="179"/>
    </row>
    <row r="530">
      <c r="B530" s="179"/>
      <c r="C530" s="179"/>
      <c r="D530" s="179"/>
      <c r="E530" s="179"/>
    </row>
    <row r="531">
      <c r="B531" s="179"/>
      <c r="C531" s="179"/>
      <c r="D531" s="179"/>
      <c r="E531" s="179"/>
    </row>
    <row r="532">
      <c r="B532" s="179"/>
      <c r="C532" s="179"/>
      <c r="D532" s="179"/>
      <c r="E532" s="179"/>
    </row>
    <row r="533">
      <c r="B533" s="179"/>
      <c r="C533" s="179"/>
      <c r="D533" s="179"/>
      <c r="E533" s="179"/>
    </row>
    <row r="534">
      <c r="B534" s="179"/>
      <c r="C534" s="179"/>
      <c r="D534" s="179"/>
      <c r="E534" s="179"/>
    </row>
    <row r="535">
      <c r="B535" s="179"/>
      <c r="C535" s="179"/>
      <c r="D535" s="179"/>
      <c r="E535" s="179"/>
    </row>
    <row r="536">
      <c r="B536" s="179"/>
      <c r="C536" s="179"/>
      <c r="D536" s="179"/>
      <c r="E536" s="179"/>
    </row>
    <row r="537">
      <c r="B537" s="179"/>
      <c r="C537" s="179"/>
      <c r="D537" s="179"/>
      <c r="E537" s="179"/>
    </row>
    <row r="538">
      <c r="B538" s="179"/>
      <c r="C538" s="179"/>
      <c r="D538" s="179"/>
      <c r="E538" s="179"/>
    </row>
    <row r="539">
      <c r="B539" s="179"/>
      <c r="C539" s="179"/>
      <c r="D539" s="179"/>
      <c r="E539" s="179"/>
    </row>
    <row r="540">
      <c r="B540" s="179"/>
      <c r="C540" s="179"/>
      <c r="D540" s="179"/>
      <c r="E540" s="179"/>
    </row>
    <row r="541">
      <c r="B541" s="179"/>
      <c r="C541" s="179"/>
      <c r="D541" s="179"/>
      <c r="E541" s="179"/>
    </row>
    <row r="542">
      <c r="B542" s="179"/>
      <c r="C542" s="179"/>
      <c r="D542" s="179"/>
      <c r="E542" s="179"/>
    </row>
    <row r="543">
      <c r="B543" s="179"/>
      <c r="C543" s="179"/>
      <c r="D543" s="179"/>
      <c r="E543" s="179"/>
    </row>
    <row r="544">
      <c r="B544" s="179"/>
      <c r="C544" s="179"/>
      <c r="D544" s="179"/>
      <c r="E544" s="179"/>
    </row>
    <row r="545">
      <c r="B545" s="179"/>
      <c r="C545" s="179"/>
      <c r="D545" s="179"/>
      <c r="E545" s="179"/>
    </row>
    <row r="546">
      <c r="B546" s="179"/>
      <c r="C546" s="179"/>
      <c r="D546" s="179"/>
      <c r="E546" s="179"/>
    </row>
    <row r="547">
      <c r="B547" s="179"/>
      <c r="C547" s="179"/>
      <c r="D547" s="179"/>
      <c r="E547" s="179"/>
    </row>
    <row r="548">
      <c r="B548" s="179"/>
      <c r="C548" s="179"/>
      <c r="D548" s="179"/>
      <c r="E548" s="179"/>
    </row>
    <row r="549">
      <c r="B549" s="179"/>
      <c r="C549" s="179"/>
      <c r="D549" s="179"/>
      <c r="E549" s="179"/>
    </row>
    <row r="550">
      <c r="B550" s="179"/>
      <c r="C550" s="179"/>
      <c r="D550" s="179"/>
      <c r="E550" s="179"/>
    </row>
    <row r="551">
      <c r="B551" s="179"/>
      <c r="C551" s="179"/>
      <c r="D551" s="179"/>
      <c r="E551" s="179"/>
    </row>
    <row r="552">
      <c r="B552" s="179"/>
      <c r="C552" s="179"/>
      <c r="D552" s="179"/>
      <c r="E552" s="179"/>
    </row>
    <row r="553">
      <c r="B553" s="179"/>
      <c r="C553" s="179"/>
      <c r="D553" s="179"/>
      <c r="E553" s="179"/>
    </row>
    <row r="554">
      <c r="B554" s="179"/>
      <c r="C554" s="179"/>
      <c r="D554" s="179"/>
      <c r="E554" s="179"/>
    </row>
    <row r="555">
      <c r="B555" s="179"/>
      <c r="C555" s="179"/>
      <c r="D555" s="179"/>
      <c r="E555" s="179"/>
    </row>
    <row r="556">
      <c r="B556" s="179"/>
      <c r="C556" s="179"/>
      <c r="D556" s="179"/>
      <c r="E556" s="179"/>
    </row>
    <row r="557">
      <c r="B557" s="179"/>
      <c r="C557" s="179"/>
      <c r="D557" s="179"/>
      <c r="E557" s="179"/>
    </row>
    <row r="558">
      <c r="B558" s="179"/>
      <c r="C558" s="179"/>
      <c r="D558" s="179"/>
      <c r="E558" s="179"/>
    </row>
    <row r="559">
      <c r="B559" s="179"/>
      <c r="C559" s="179"/>
      <c r="D559" s="179"/>
      <c r="E559" s="179"/>
    </row>
    <row r="560">
      <c r="B560" s="179"/>
      <c r="C560" s="179"/>
      <c r="D560" s="179"/>
      <c r="E560" s="179"/>
    </row>
    <row r="561">
      <c r="B561" s="179"/>
      <c r="C561" s="179"/>
      <c r="D561" s="179"/>
      <c r="E561" s="179"/>
    </row>
    <row r="562">
      <c r="B562" s="179"/>
      <c r="C562" s="179"/>
      <c r="D562" s="179"/>
      <c r="E562" s="179"/>
    </row>
    <row r="563">
      <c r="B563" s="179"/>
      <c r="C563" s="179"/>
      <c r="D563" s="179"/>
      <c r="E563" s="179"/>
    </row>
    <row r="564">
      <c r="B564" s="179"/>
      <c r="C564" s="179"/>
      <c r="D564" s="179"/>
      <c r="E564" s="179"/>
    </row>
    <row r="565">
      <c r="B565" s="179"/>
      <c r="C565" s="179"/>
      <c r="D565" s="179"/>
      <c r="E565" s="179"/>
    </row>
    <row r="566">
      <c r="B566" s="179"/>
      <c r="C566" s="179"/>
      <c r="D566" s="179"/>
      <c r="E566" s="179"/>
    </row>
    <row r="567">
      <c r="B567" s="179"/>
      <c r="C567" s="179"/>
      <c r="D567" s="179"/>
      <c r="E567" s="179"/>
    </row>
    <row r="568">
      <c r="B568" s="179"/>
      <c r="C568" s="179"/>
      <c r="D568" s="179"/>
      <c r="E568" s="179"/>
    </row>
    <row r="569">
      <c r="B569" s="179"/>
      <c r="C569" s="179"/>
      <c r="D569" s="179"/>
      <c r="E569" s="179"/>
    </row>
    <row r="570">
      <c r="B570" s="179"/>
      <c r="C570" s="179"/>
      <c r="D570" s="179"/>
      <c r="E570" s="179"/>
    </row>
    <row r="571">
      <c r="B571" s="179"/>
      <c r="C571" s="179"/>
      <c r="D571" s="179"/>
      <c r="E571" s="179"/>
    </row>
    <row r="572">
      <c r="B572" s="179"/>
      <c r="C572" s="179"/>
      <c r="D572" s="179"/>
      <c r="E572" s="179"/>
    </row>
    <row r="573">
      <c r="B573" s="179"/>
      <c r="C573" s="179"/>
      <c r="D573" s="179"/>
      <c r="E573" s="179"/>
    </row>
    <row r="574">
      <c r="B574" s="179"/>
      <c r="C574" s="179"/>
      <c r="D574" s="179"/>
      <c r="E574" s="179"/>
    </row>
    <row r="575">
      <c r="B575" s="179"/>
      <c r="C575" s="179"/>
      <c r="D575" s="179"/>
      <c r="E575" s="179"/>
    </row>
    <row r="576">
      <c r="B576" s="179"/>
      <c r="C576" s="179"/>
      <c r="D576" s="179"/>
      <c r="E576" s="179"/>
    </row>
    <row r="577">
      <c r="B577" s="179"/>
      <c r="C577" s="179"/>
      <c r="D577" s="179"/>
      <c r="E577" s="179"/>
    </row>
    <row r="578">
      <c r="B578" s="179"/>
      <c r="C578" s="179"/>
      <c r="D578" s="179"/>
      <c r="E578" s="179"/>
    </row>
    <row r="579">
      <c r="B579" s="179"/>
      <c r="C579" s="179"/>
      <c r="D579" s="179"/>
      <c r="E579" s="179"/>
    </row>
    <row r="580">
      <c r="B580" s="179"/>
      <c r="C580" s="179"/>
      <c r="D580" s="179"/>
      <c r="E580" s="179"/>
    </row>
    <row r="581">
      <c r="B581" s="179"/>
      <c r="C581" s="179"/>
      <c r="D581" s="179"/>
      <c r="E581" s="179"/>
    </row>
    <row r="582">
      <c r="B582" s="179"/>
      <c r="C582" s="179"/>
      <c r="D582" s="179"/>
      <c r="E582" s="179"/>
    </row>
    <row r="583">
      <c r="B583" s="179"/>
      <c r="C583" s="179"/>
      <c r="D583" s="179"/>
      <c r="E583" s="179"/>
    </row>
    <row r="584">
      <c r="B584" s="179"/>
      <c r="C584" s="179"/>
      <c r="D584" s="179"/>
      <c r="E584" s="179"/>
    </row>
    <row r="585">
      <c r="B585" s="179"/>
      <c r="C585" s="179"/>
      <c r="D585" s="179"/>
      <c r="E585" s="179"/>
    </row>
    <row r="586">
      <c r="B586" s="179"/>
      <c r="C586" s="179"/>
      <c r="D586" s="179"/>
      <c r="E586" s="179"/>
    </row>
    <row r="587">
      <c r="B587" s="179"/>
      <c r="C587" s="179"/>
      <c r="D587" s="179"/>
      <c r="E587" s="179"/>
    </row>
    <row r="588">
      <c r="B588" s="179"/>
      <c r="C588" s="179"/>
      <c r="D588" s="179"/>
      <c r="E588" s="179"/>
    </row>
    <row r="589">
      <c r="B589" s="179"/>
      <c r="C589" s="179"/>
      <c r="D589" s="179"/>
      <c r="E589" s="179"/>
    </row>
    <row r="590">
      <c r="B590" s="179"/>
      <c r="C590" s="179"/>
      <c r="D590" s="179"/>
      <c r="E590" s="179"/>
    </row>
    <row r="591">
      <c r="B591" s="179"/>
      <c r="C591" s="179"/>
      <c r="D591" s="179"/>
      <c r="E591" s="179"/>
    </row>
    <row r="592">
      <c r="B592" s="179"/>
      <c r="C592" s="179"/>
      <c r="D592" s="179"/>
      <c r="E592" s="179"/>
    </row>
    <row r="593">
      <c r="B593" s="179"/>
      <c r="C593" s="179"/>
      <c r="D593" s="179"/>
      <c r="E593" s="179"/>
    </row>
    <row r="594">
      <c r="B594" s="179"/>
      <c r="C594" s="179"/>
      <c r="D594" s="179"/>
      <c r="E594" s="179"/>
    </row>
    <row r="595">
      <c r="B595" s="179"/>
      <c r="C595" s="179"/>
      <c r="D595" s="179"/>
      <c r="E595" s="179"/>
    </row>
    <row r="596">
      <c r="B596" s="179"/>
      <c r="C596" s="179"/>
      <c r="D596" s="179"/>
      <c r="E596" s="179"/>
    </row>
    <row r="597">
      <c r="B597" s="179"/>
      <c r="C597" s="179"/>
      <c r="D597" s="179"/>
      <c r="E597" s="179"/>
    </row>
    <row r="598">
      <c r="B598" s="179"/>
      <c r="C598" s="179"/>
      <c r="D598" s="179"/>
      <c r="E598" s="179"/>
    </row>
    <row r="599">
      <c r="B599" s="179"/>
      <c r="C599" s="179"/>
      <c r="D599" s="179"/>
      <c r="E599" s="179"/>
    </row>
    <row r="600">
      <c r="B600" s="179"/>
      <c r="C600" s="179"/>
      <c r="D600" s="179"/>
      <c r="E600" s="179"/>
    </row>
    <row r="601">
      <c r="B601" s="179"/>
      <c r="C601" s="179"/>
      <c r="D601" s="179"/>
      <c r="E601" s="179"/>
    </row>
    <row r="602">
      <c r="B602" s="179"/>
      <c r="C602" s="179"/>
      <c r="D602" s="179"/>
      <c r="E602" s="179"/>
    </row>
    <row r="603">
      <c r="B603" s="179"/>
      <c r="C603" s="179"/>
      <c r="D603" s="179"/>
      <c r="E603" s="179"/>
    </row>
    <row r="604">
      <c r="B604" s="179"/>
      <c r="C604" s="179"/>
      <c r="D604" s="179"/>
      <c r="E604" s="179"/>
    </row>
    <row r="605">
      <c r="B605" s="179"/>
      <c r="C605" s="179"/>
      <c r="D605" s="179"/>
      <c r="E605" s="179"/>
    </row>
    <row r="606">
      <c r="B606" s="179"/>
      <c r="C606" s="179"/>
      <c r="D606" s="179"/>
      <c r="E606" s="179"/>
    </row>
    <row r="607">
      <c r="B607" s="179"/>
      <c r="C607" s="179"/>
      <c r="D607" s="179"/>
      <c r="E607" s="179"/>
    </row>
    <row r="608">
      <c r="B608" s="179"/>
      <c r="C608" s="179"/>
      <c r="D608" s="179"/>
      <c r="E608" s="179"/>
    </row>
    <row r="609">
      <c r="B609" s="179"/>
      <c r="C609" s="179"/>
      <c r="D609" s="179"/>
      <c r="E609" s="179"/>
    </row>
    <row r="610">
      <c r="B610" s="179"/>
      <c r="C610" s="179"/>
      <c r="D610" s="179"/>
      <c r="E610" s="179"/>
    </row>
    <row r="611">
      <c r="B611" s="179"/>
      <c r="C611" s="179"/>
      <c r="D611" s="179"/>
      <c r="E611" s="179"/>
    </row>
    <row r="612">
      <c r="B612" s="179"/>
      <c r="C612" s="179"/>
      <c r="D612" s="179"/>
      <c r="E612" s="179"/>
    </row>
    <row r="613">
      <c r="B613" s="179"/>
      <c r="C613" s="179"/>
      <c r="D613" s="179"/>
      <c r="E613" s="179"/>
    </row>
    <row r="614">
      <c r="B614" s="179"/>
      <c r="C614" s="179"/>
      <c r="D614" s="179"/>
      <c r="E614" s="179"/>
    </row>
    <row r="615">
      <c r="B615" s="179"/>
      <c r="C615" s="179"/>
      <c r="D615" s="179"/>
      <c r="E615" s="179"/>
    </row>
    <row r="616">
      <c r="B616" s="179"/>
      <c r="C616" s="179"/>
      <c r="D616" s="179"/>
      <c r="E616" s="179"/>
    </row>
    <row r="617">
      <c r="B617" s="179"/>
      <c r="C617" s="179"/>
      <c r="D617" s="179"/>
      <c r="E617" s="179"/>
    </row>
    <row r="618">
      <c r="B618" s="179"/>
      <c r="C618" s="179"/>
      <c r="D618" s="179"/>
      <c r="E618" s="179"/>
    </row>
    <row r="619">
      <c r="B619" s="179"/>
      <c r="C619" s="179"/>
      <c r="D619" s="179"/>
      <c r="E619" s="179"/>
    </row>
    <row r="620">
      <c r="B620" s="179"/>
      <c r="C620" s="179"/>
      <c r="D620" s="179"/>
      <c r="E620" s="179"/>
    </row>
    <row r="621">
      <c r="B621" s="179"/>
      <c r="C621" s="179"/>
      <c r="D621" s="179"/>
      <c r="E621" s="179"/>
    </row>
    <row r="622">
      <c r="B622" s="179"/>
      <c r="C622" s="179"/>
      <c r="D622" s="179"/>
      <c r="E622" s="179"/>
    </row>
    <row r="623">
      <c r="B623" s="179"/>
      <c r="C623" s="179"/>
      <c r="D623" s="179"/>
      <c r="E623" s="179"/>
    </row>
    <row r="624">
      <c r="B624" s="179"/>
      <c r="C624" s="179"/>
      <c r="D624" s="179"/>
      <c r="E624" s="179"/>
    </row>
    <row r="625">
      <c r="B625" s="179"/>
      <c r="C625" s="179"/>
      <c r="D625" s="179"/>
      <c r="E625" s="179"/>
    </row>
    <row r="626">
      <c r="B626" s="179"/>
      <c r="C626" s="179"/>
      <c r="D626" s="179"/>
      <c r="E626" s="179"/>
    </row>
    <row r="627">
      <c r="B627" s="179"/>
      <c r="C627" s="179"/>
      <c r="D627" s="179"/>
      <c r="E627" s="179"/>
    </row>
    <row r="628">
      <c r="B628" s="179"/>
      <c r="C628" s="179"/>
      <c r="D628" s="179"/>
      <c r="E628" s="179"/>
    </row>
    <row r="629">
      <c r="B629" s="179"/>
      <c r="C629" s="179"/>
      <c r="D629" s="179"/>
      <c r="E629" s="179"/>
    </row>
    <row r="630">
      <c r="B630" s="179"/>
      <c r="C630" s="179"/>
      <c r="D630" s="179"/>
      <c r="E630" s="179"/>
    </row>
    <row r="631">
      <c r="B631" s="179"/>
      <c r="C631" s="179"/>
      <c r="D631" s="179"/>
      <c r="E631" s="179"/>
    </row>
    <row r="632">
      <c r="B632" s="179"/>
      <c r="C632" s="179"/>
      <c r="D632" s="179"/>
      <c r="E632" s="179"/>
    </row>
    <row r="633">
      <c r="B633" s="179"/>
      <c r="C633" s="179"/>
      <c r="D633" s="179"/>
      <c r="E633" s="179"/>
    </row>
    <row r="634">
      <c r="B634" s="179"/>
      <c r="C634" s="179"/>
      <c r="D634" s="179"/>
      <c r="E634" s="179"/>
    </row>
    <row r="635">
      <c r="B635" s="179"/>
      <c r="C635" s="179"/>
      <c r="D635" s="179"/>
      <c r="E635" s="179"/>
    </row>
    <row r="636">
      <c r="B636" s="179"/>
      <c r="C636" s="179"/>
      <c r="D636" s="179"/>
      <c r="E636" s="179"/>
    </row>
    <row r="637">
      <c r="B637" s="179"/>
      <c r="C637" s="179"/>
      <c r="D637" s="179"/>
      <c r="E637" s="179"/>
    </row>
    <row r="638">
      <c r="B638" s="179"/>
      <c r="C638" s="179"/>
      <c r="D638" s="179"/>
      <c r="E638" s="179"/>
    </row>
    <row r="639">
      <c r="B639" s="179"/>
      <c r="C639" s="179"/>
      <c r="D639" s="179"/>
      <c r="E639" s="179"/>
    </row>
    <row r="640">
      <c r="B640" s="179"/>
      <c r="C640" s="179"/>
      <c r="D640" s="179"/>
      <c r="E640" s="179"/>
    </row>
    <row r="641">
      <c r="B641" s="179"/>
      <c r="C641" s="179"/>
      <c r="D641" s="179"/>
      <c r="E641" s="179"/>
    </row>
    <row r="642">
      <c r="B642" s="179"/>
      <c r="C642" s="179"/>
      <c r="D642" s="179"/>
      <c r="E642" s="179"/>
    </row>
    <row r="643">
      <c r="B643" s="179"/>
      <c r="C643" s="179"/>
      <c r="D643" s="179"/>
      <c r="E643" s="179"/>
    </row>
    <row r="644">
      <c r="B644" s="179"/>
      <c r="C644" s="179"/>
      <c r="D644" s="179"/>
      <c r="E644" s="179"/>
    </row>
    <row r="645">
      <c r="B645" s="179"/>
      <c r="C645" s="179"/>
      <c r="D645" s="179"/>
      <c r="E645" s="179"/>
    </row>
    <row r="646">
      <c r="B646" s="179"/>
      <c r="C646" s="179"/>
      <c r="D646" s="179"/>
      <c r="E646" s="179"/>
    </row>
    <row r="647">
      <c r="B647" s="179"/>
      <c r="C647" s="179"/>
      <c r="D647" s="179"/>
      <c r="E647" s="179"/>
    </row>
    <row r="648">
      <c r="B648" s="179"/>
      <c r="C648" s="179"/>
      <c r="D648" s="179"/>
      <c r="E648" s="179"/>
    </row>
    <row r="649">
      <c r="B649" s="179"/>
      <c r="C649" s="179"/>
      <c r="D649" s="179"/>
      <c r="E649" s="179"/>
    </row>
    <row r="650">
      <c r="B650" s="179"/>
      <c r="C650" s="179"/>
      <c r="D650" s="179"/>
      <c r="E650" s="179"/>
    </row>
    <row r="651">
      <c r="B651" s="179"/>
      <c r="C651" s="179"/>
      <c r="D651" s="179"/>
      <c r="E651" s="179"/>
    </row>
    <row r="652">
      <c r="B652" s="179"/>
      <c r="C652" s="179"/>
      <c r="D652" s="179"/>
      <c r="E652" s="179"/>
    </row>
    <row r="653">
      <c r="B653" s="179"/>
      <c r="C653" s="179"/>
      <c r="D653" s="179"/>
      <c r="E653" s="179"/>
    </row>
    <row r="654">
      <c r="B654" s="179"/>
      <c r="C654" s="179"/>
      <c r="D654" s="179"/>
      <c r="E654" s="179"/>
    </row>
    <row r="655">
      <c r="B655" s="179"/>
      <c r="C655" s="179"/>
      <c r="D655" s="179"/>
      <c r="E655" s="179"/>
    </row>
    <row r="656">
      <c r="B656" s="179"/>
      <c r="C656" s="179"/>
      <c r="D656" s="179"/>
      <c r="E656" s="179"/>
    </row>
    <row r="657">
      <c r="B657" s="179"/>
      <c r="C657" s="179"/>
      <c r="D657" s="179"/>
      <c r="E657" s="179"/>
    </row>
    <row r="658">
      <c r="B658" s="179"/>
      <c r="C658" s="179"/>
      <c r="D658" s="179"/>
      <c r="E658" s="179"/>
    </row>
    <row r="659">
      <c r="B659" s="179"/>
      <c r="C659" s="179"/>
      <c r="D659" s="179"/>
      <c r="E659" s="179"/>
    </row>
    <row r="660">
      <c r="B660" s="179"/>
      <c r="C660" s="179"/>
      <c r="D660" s="179"/>
      <c r="E660" s="179"/>
    </row>
    <row r="661">
      <c r="B661" s="179"/>
      <c r="C661" s="179"/>
      <c r="D661" s="179"/>
      <c r="E661" s="179"/>
    </row>
    <row r="662">
      <c r="B662" s="179"/>
      <c r="C662" s="179"/>
      <c r="D662" s="179"/>
      <c r="E662" s="179"/>
    </row>
    <row r="663">
      <c r="B663" s="179"/>
      <c r="C663" s="179"/>
      <c r="D663" s="179"/>
      <c r="E663" s="179"/>
    </row>
    <row r="664">
      <c r="B664" s="179"/>
      <c r="C664" s="179"/>
      <c r="D664" s="179"/>
      <c r="E664" s="179"/>
    </row>
    <row r="665">
      <c r="B665" s="179"/>
      <c r="C665" s="179"/>
      <c r="D665" s="179"/>
      <c r="E665" s="179"/>
    </row>
    <row r="666">
      <c r="B666" s="179"/>
      <c r="C666" s="179"/>
      <c r="D666" s="179"/>
      <c r="E666" s="179"/>
    </row>
    <row r="667">
      <c r="B667" s="179"/>
      <c r="C667" s="179"/>
      <c r="D667" s="179"/>
      <c r="E667" s="179"/>
    </row>
    <row r="668">
      <c r="B668" s="179"/>
      <c r="C668" s="179"/>
      <c r="D668" s="179"/>
      <c r="E668" s="179"/>
    </row>
    <row r="669">
      <c r="B669" s="179"/>
      <c r="C669" s="179"/>
      <c r="D669" s="179"/>
      <c r="E669" s="179"/>
    </row>
    <row r="670">
      <c r="B670" s="179"/>
      <c r="C670" s="179"/>
      <c r="D670" s="179"/>
      <c r="E670" s="179"/>
    </row>
    <row r="671">
      <c r="B671" s="179"/>
      <c r="C671" s="179"/>
      <c r="D671" s="179"/>
      <c r="E671" s="179"/>
    </row>
    <row r="672">
      <c r="B672" s="179"/>
      <c r="C672" s="179"/>
      <c r="D672" s="179"/>
      <c r="E672" s="179"/>
    </row>
    <row r="673">
      <c r="B673" s="179"/>
      <c r="C673" s="179"/>
      <c r="D673" s="179"/>
      <c r="E673" s="179"/>
    </row>
    <row r="674">
      <c r="B674" s="179"/>
      <c r="C674" s="179"/>
      <c r="D674" s="179"/>
      <c r="E674" s="179"/>
    </row>
    <row r="675">
      <c r="B675" s="179"/>
      <c r="C675" s="179"/>
      <c r="D675" s="179"/>
      <c r="E675" s="179"/>
    </row>
    <row r="676">
      <c r="B676" s="179"/>
      <c r="C676" s="179"/>
      <c r="D676" s="179"/>
      <c r="E676" s="179"/>
    </row>
    <row r="677">
      <c r="B677" s="179"/>
      <c r="C677" s="179"/>
      <c r="D677" s="179"/>
      <c r="E677" s="179"/>
    </row>
    <row r="678">
      <c r="B678" s="179"/>
      <c r="C678" s="179"/>
      <c r="D678" s="179"/>
      <c r="E678" s="179"/>
    </row>
    <row r="679">
      <c r="B679" s="179"/>
      <c r="C679" s="179"/>
      <c r="D679" s="179"/>
      <c r="E679" s="179"/>
    </row>
    <row r="680">
      <c r="B680" s="179"/>
      <c r="C680" s="179"/>
      <c r="D680" s="179"/>
      <c r="E680" s="179"/>
    </row>
    <row r="681">
      <c r="B681" s="179"/>
      <c r="C681" s="179"/>
      <c r="D681" s="179"/>
      <c r="E681" s="179"/>
    </row>
    <row r="682">
      <c r="B682" s="179"/>
      <c r="C682" s="179"/>
      <c r="D682" s="179"/>
      <c r="E682" s="179"/>
    </row>
    <row r="683">
      <c r="B683" s="179"/>
      <c r="C683" s="179"/>
      <c r="D683" s="179"/>
      <c r="E683" s="179"/>
    </row>
    <row r="684">
      <c r="B684" s="179"/>
      <c r="C684" s="179"/>
      <c r="D684" s="179"/>
      <c r="E684" s="179"/>
    </row>
    <row r="685">
      <c r="B685" s="179"/>
      <c r="C685" s="179"/>
      <c r="D685" s="179"/>
      <c r="E685" s="179"/>
    </row>
    <row r="686">
      <c r="B686" s="179"/>
      <c r="C686" s="179"/>
      <c r="D686" s="179"/>
      <c r="E686" s="179"/>
    </row>
    <row r="687">
      <c r="B687" s="179"/>
      <c r="C687" s="179"/>
      <c r="D687" s="179"/>
      <c r="E687" s="179"/>
    </row>
    <row r="688">
      <c r="B688" s="179"/>
      <c r="C688" s="179"/>
      <c r="D688" s="179"/>
      <c r="E688" s="179"/>
    </row>
    <row r="689">
      <c r="B689" s="179"/>
      <c r="C689" s="179"/>
      <c r="D689" s="179"/>
      <c r="E689" s="179"/>
    </row>
    <row r="690">
      <c r="B690" s="179"/>
      <c r="C690" s="179"/>
      <c r="D690" s="179"/>
      <c r="E690" s="179"/>
    </row>
    <row r="691">
      <c r="B691" s="179"/>
      <c r="C691" s="179"/>
      <c r="D691" s="179"/>
      <c r="E691" s="179"/>
    </row>
    <row r="692">
      <c r="B692" s="179"/>
      <c r="C692" s="179"/>
      <c r="D692" s="179"/>
      <c r="E692" s="179"/>
    </row>
    <row r="693">
      <c r="B693" s="179"/>
      <c r="C693" s="179"/>
      <c r="D693" s="179"/>
      <c r="E693" s="179"/>
    </row>
    <row r="694">
      <c r="B694" s="179"/>
      <c r="C694" s="179"/>
      <c r="D694" s="179"/>
      <c r="E694" s="179"/>
    </row>
    <row r="695">
      <c r="B695" s="179"/>
      <c r="C695" s="179"/>
      <c r="D695" s="179"/>
      <c r="E695" s="179"/>
    </row>
    <row r="696">
      <c r="B696" s="179"/>
      <c r="C696" s="179"/>
      <c r="D696" s="179"/>
      <c r="E696" s="179"/>
    </row>
    <row r="697">
      <c r="B697" s="179"/>
      <c r="C697" s="179"/>
      <c r="D697" s="179"/>
      <c r="E697" s="179"/>
    </row>
    <row r="698">
      <c r="B698" s="179"/>
      <c r="C698" s="179"/>
      <c r="D698" s="179"/>
      <c r="E698" s="179"/>
    </row>
    <row r="699">
      <c r="B699" s="179"/>
      <c r="C699" s="179"/>
      <c r="D699" s="179"/>
      <c r="E699" s="179"/>
    </row>
    <row r="700">
      <c r="B700" s="179"/>
      <c r="C700" s="179"/>
      <c r="D700" s="179"/>
      <c r="E700" s="179"/>
    </row>
    <row r="701">
      <c r="B701" s="179"/>
      <c r="C701" s="179"/>
      <c r="D701" s="179"/>
      <c r="E701" s="179"/>
    </row>
    <row r="702">
      <c r="B702" s="179"/>
      <c r="C702" s="179"/>
      <c r="D702" s="179"/>
      <c r="E702" s="179"/>
    </row>
    <row r="703">
      <c r="B703" s="179"/>
      <c r="C703" s="179"/>
      <c r="D703" s="179"/>
      <c r="E703" s="179"/>
    </row>
    <row r="704">
      <c r="B704" s="179"/>
      <c r="C704" s="179"/>
      <c r="D704" s="179"/>
      <c r="E704" s="179"/>
    </row>
    <row r="705">
      <c r="B705" s="179"/>
      <c r="C705" s="179"/>
      <c r="D705" s="179"/>
      <c r="E705" s="179"/>
    </row>
    <row r="706">
      <c r="B706" s="179"/>
      <c r="C706" s="179"/>
      <c r="D706" s="179"/>
      <c r="E706" s="179"/>
    </row>
    <row r="707">
      <c r="B707" s="179"/>
      <c r="C707" s="179"/>
      <c r="D707" s="179"/>
      <c r="E707" s="179"/>
    </row>
    <row r="708">
      <c r="B708" s="179"/>
      <c r="C708" s="179"/>
      <c r="D708" s="179"/>
      <c r="E708" s="179"/>
    </row>
    <row r="709">
      <c r="B709" s="179"/>
      <c r="C709" s="179"/>
      <c r="D709" s="179"/>
      <c r="E709" s="179"/>
    </row>
    <row r="710">
      <c r="B710" s="179"/>
      <c r="C710" s="179"/>
      <c r="D710" s="179"/>
      <c r="E710" s="179"/>
    </row>
    <row r="711">
      <c r="B711" s="179"/>
      <c r="C711" s="179"/>
      <c r="D711" s="179"/>
      <c r="E711" s="179"/>
    </row>
    <row r="712">
      <c r="B712" s="179"/>
      <c r="C712" s="179"/>
      <c r="D712" s="179"/>
      <c r="E712" s="179"/>
    </row>
    <row r="713">
      <c r="B713" s="179"/>
      <c r="C713" s="179"/>
      <c r="D713" s="179"/>
      <c r="E713" s="179"/>
    </row>
    <row r="714">
      <c r="B714" s="179"/>
      <c r="C714" s="179"/>
      <c r="D714" s="179"/>
      <c r="E714" s="179"/>
    </row>
    <row r="715">
      <c r="B715" s="179"/>
      <c r="C715" s="179"/>
      <c r="D715" s="179"/>
      <c r="E715" s="179"/>
    </row>
    <row r="716">
      <c r="B716" s="179"/>
      <c r="C716" s="179"/>
      <c r="D716" s="179"/>
      <c r="E716" s="179"/>
    </row>
    <row r="717">
      <c r="B717" s="179"/>
      <c r="C717" s="179"/>
      <c r="D717" s="179"/>
      <c r="E717" s="179"/>
    </row>
    <row r="718">
      <c r="B718" s="179"/>
      <c r="C718" s="179"/>
      <c r="D718" s="179"/>
      <c r="E718" s="179"/>
    </row>
    <row r="719">
      <c r="B719" s="179"/>
      <c r="C719" s="179"/>
      <c r="D719" s="179"/>
      <c r="E719" s="179"/>
    </row>
    <row r="720">
      <c r="B720" s="179"/>
      <c r="C720" s="179"/>
      <c r="D720" s="179"/>
      <c r="E720" s="179"/>
    </row>
    <row r="721">
      <c r="B721" s="179"/>
      <c r="C721" s="179"/>
      <c r="D721" s="179"/>
      <c r="E721" s="179"/>
    </row>
    <row r="722">
      <c r="B722" s="179"/>
      <c r="C722" s="179"/>
      <c r="D722" s="179"/>
      <c r="E722" s="179"/>
    </row>
    <row r="723">
      <c r="B723" s="179"/>
      <c r="C723" s="179"/>
      <c r="D723" s="179"/>
      <c r="E723" s="179"/>
    </row>
    <row r="724">
      <c r="B724" s="179"/>
      <c r="C724" s="179"/>
      <c r="D724" s="179"/>
      <c r="E724" s="179"/>
    </row>
    <row r="725">
      <c r="B725" s="179"/>
      <c r="C725" s="179"/>
      <c r="D725" s="179"/>
      <c r="E725" s="179"/>
    </row>
    <row r="726">
      <c r="B726" s="179"/>
      <c r="C726" s="179"/>
      <c r="D726" s="179"/>
      <c r="E726" s="179"/>
    </row>
    <row r="727">
      <c r="B727" s="179"/>
      <c r="C727" s="179"/>
      <c r="D727" s="179"/>
      <c r="E727" s="179"/>
    </row>
    <row r="728">
      <c r="B728" s="179"/>
      <c r="C728" s="179"/>
      <c r="D728" s="179"/>
      <c r="E728" s="179"/>
    </row>
    <row r="729">
      <c r="B729" s="179"/>
      <c r="C729" s="179"/>
      <c r="D729" s="179"/>
      <c r="E729" s="179"/>
    </row>
    <row r="730">
      <c r="B730" s="179"/>
      <c r="C730" s="179"/>
      <c r="D730" s="179"/>
      <c r="E730" s="179"/>
    </row>
    <row r="731">
      <c r="B731" s="179"/>
      <c r="C731" s="179"/>
      <c r="D731" s="179"/>
      <c r="E731" s="179"/>
    </row>
    <row r="732">
      <c r="B732" s="179"/>
      <c r="C732" s="179"/>
      <c r="D732" s="179"/>
      <c r="E732" s="179"/>
    </row>
    <row r="733">
      <c r="B733" s="179"/>
      <c r="C733" s="179"/>
      <c r="D733" s="179"/>
      <c r="E733" s="179"/>
    </row>
    <row r="734">
      <c r="B734" s="179"/>
      <c r="C734" s="179"/>
      <c r="D734" s="179"/>
      <c r="E734" s="179"/>
    </row>
    <row r="735">
      <c r="B735" s="179"/>
      <c r="C735" s="179"/>
      <c r="D735" s="179"/>
      <c r="E735" s="179"/>
    </row>
    <row r="736">
      <c r="B736" s="179"/>
      <c r="C736" s="179"/>
      <c r="D736" s="179"/>
      <c r="E736" s="179"/>
    </row>
    <row r="737">
      <c r="B737" s="179"/>
      <c r="C737" s="179"/>
      <c r="D737" s="179"/>
      <c r="E737" s="179"/>
    </row>
    <row r="738">
      <c r="B738" s="179"/>
      <c r="C738" s="179"/>
      <c r="D738" s="179"/>
      <c r="E738" s="179"/>
    </row>
    <row r="739">
      <c r="B739" s="179"/>
      <c r="C739" s="179"/>
      <c r="D739" s="179"/>
      <c r="E739" s="179"/>
    </row>
    <row r="740">
      <c r="B740" s="179"/>
      <c r="C740" s="179"/>
      <c r="D740" s="179"/>
      <c r="E740" s="179"/>
    </row>
    <row r="741">
      <c r="B741" s="179"/>
      <c r="C741" s="179"/>
      <c r="D741" s="179"/>
      <c r="E741" s="179"/>
    </row>
    <row r="742">
      <c r="B742" s="179"/>
      <c r="C742" s="179"/>
      <c r="D742" s="179"/>
      <c r="E742" s="179"/>
    </row>
    <row r="743">
      <c r="B743" s="179"/>
      <c r="C743" s="179"/>
      <c r="D743" s="179"/>
      <c r="E743" s="179"/>
    </row>
    <row r="744">
      <c r="B744" s="179"/>
      <c r="C744" s="179"/>
      <c r="D744" s="179"/>
      <c r="E744" s="179"/>
    </row>
    <row r="745">
      <c r="B745" s="179"/>
      <c r="C745" s="179"/>
      <c r="D745" s="179"/>
      <c r="E745" s="179"/>
    </row>
    <row r="746">
      <c r="B746" s="179"/>
      <c r="C746" s="179"/>
      <c r="D746" s="179"/>
      <c r="E746" s="179"/>
    </row>
    <row r="747">
      <c r="B747" s="179"/>
      <c r="C747" s="179"/>
      <c r="D747" s="179"/>
      <c r="E747" s="179"/>
    </row>
    <row r="748">
      <c r="B748" s="179"/>
      <c r="C748" s="179"/>
      <c r="D748" s="179"/>
      <c r="E748" s="179"/>
    </row>
    <row r="749">
      <c r="B749" s="179"/>
      <c r="C749" s="179"/>
      <c r="D749" s="179"/>
      <c r="E749" s="179"/>
    </row>
    <row r="750">
      <c r="B750" s="179"/>
      <c r="C750" s="179"/>
      <c r="D750" s="179"/>
      <c r="E750" s="179"/>
    </row>
    <row r="751">
      <c r="B751" s="179"/>
      <c r="C751" s="179"/>
      <c r="D751" s="179"/>
      <c r="E751" s="179"/>
    </row>
    <row r="752">
      <c r="B752" s="179"/>
      <c r="C752" s="179"/>
      <c r="D752" s="179"/>
      <c r="E752" s="179"/>
    </row>
    <row r="753">
      <c r="B753" s="179"/>
      <c r="C753" s="179"/>
      <c r="D753" s="179"/>
      <c r="E753" s="179"/>
    </row>
    <row r="754">
      <c r="B754" s="179"/>
      <c r="C754" s="179"/>
      <c r="D754" s="179"/>
      <c r="E754" s="179"/>
    </row>
    <row r="755">
      <c r="B755" s="179"/>
      <c r="C755" s="179"/>
      <c r="D755" s="179"/>
      <c r="E755" s="179"/>
    </row>
    <row r="756">
      <c r="B756" s="179"/>
      <c r="C756" s="179"/>
      <c r="D756" s="179"/>
      <c r="E756" s="179"/>
    </row>
    <row r="757">
      <c r="B757" s="179"/>
      <c r="C757" s="179"/>
      <c r="D757" s="179"/>
      <c r="E757" s="179"/>
    </row>
    <row r="758">
      <c r="B758" s="179"/>
      <c r="C758" s="179"/>
      <c r="D758" s="179"/>
      <c r="E758" s="179"/>
    </row>
    <row r="759">
      <c r="B759" s="179"/>
      <c r="C759" s="179"/>
      <c r="D759" s="179"/>
      <c r="E759" s="179"/>
    </row>
    <row r="760">
      <c r="B760" s="179"/>
      <c r="C760" s="179"/>
      <c r="D760" s="179"/>
      <c r="E760" s="179"/>
    </row>
    <row r="761">
      <c r="B761" s="179"/>
      <c r="C761" s="179"/>
      <c r="D761" s="179"/>
      <c r="E761" s="179"/>
    </row>
    <row r="762">
      <c r="B762" s="179"/>
      <c r="C762" s="179"/>
      <c r="D762" s="179"/>
      <c r="E762" s="179"/>
    </row>
    <row r="763">
      <c r="B763" s="179"/>
      <c r="C763" s="179"/>
      <c r="D763" s="179"/>
      <c r="E763" s="179"/>
    </row>
    <row r="764">
      <c r="B764" s="179"/>
      <c r="C764" s="179"/>
      <c r="D764" s="179"/>
      <c r="E764" s="179"/>
    </row>
    <row r="765">
      <c r="B765" s="179"/>
      <c r="C765" s="179"/>
      <c r="D765" s="179"/>
      <c r="E765" s="179"/>
    </row>
    <row r="766">
      <c r="B766" s="179"/>
      <c r="C766" s="179"/>
      <c r="D766" s="179"/>
      <c r="E766" s="179"/>
    </row>
    <row r="767">
      <c r="B767" s="179"/>
      <c r="C767" s="179"/>
      <c r="D767" s="179"/>
      <c r="E767" s="179"/>
    </row>
    <row r="768">
      <c r="B768" s="179"/>
      <c r="C768" s="179"/>
      <c r="D768" s="179"/>
      <c r="E768" s="179"/>
    </row>
    <row r="769">
      <c r="B769" s="179"/>
      <c r="C769" s="179"/>
      <c r="D769" s="179"/>
      <c r="E769" s="179"/>
    </row>
    <row r="770">
      <c r="B770" s="179"/>
      <c r="C770" s="179"/>
      <c r="D770" s="179"/>
      <c r="E770" s="179"/>
    </row>
    <row r="771">
      <c r="B771" s="179"/>
      <c r="C771" s="179"/>
      <c r="D771" s="179"/>
      <c r="E771" s="179"/>
    </row>
    <row r="772">
      <c r="B772" s="179"/>
      <c r="C772" s="179"/>
      <c r="D772" s="179"/>
      <c r="E772" s="179"/>
    </row>
    <row r="773">
      <c r="B773" s="179"/>
      <c r="C773" s="179"/>
      <c r="D773" s="179"/>
      <c r="E773" s="179"/>
    </row>
    <row r="774">
      <c r="B774" s="179"/>
      <c r="C774" s="179"/>
      <c r="D774" s="179"/>
      <c r="E774" s="179"/>
    </row>
    <row r="775">
      <c r="B775" s="179"/>
      <c r="C775" s="179"/>
      <c r="D775" s="179"/>
      <c r="E775" s="179"/>
    </row>
    <row r="776">
      <c r="B776" s="179"/>
      <c r="C776" s="179"/>
      <c r="D776" s="179"/>
      <c r="E776" s="179"/>
    </row>
    <row r="777">
      <c r="B777" s="179"/>
      <c r="C777" s="179"/>
      <c r="D777" s="179"/>
      <c r="E777" s="179"/>
    </row>
    <row r="778">
      <c r="B778" s="179"/>
      <c r="C778" s="179"/>
      <c r="D778" s="179"/>
      <c r="E778" s="179"/>
    </row>
    <row r="779">
      <c r="B779" s="179"/>
      <c r="C779" s="179"/>
      <c r="D779" s="179"/>
      <c r="E779" s="179"/>
    </row>
    <row r="780">
      <c r="B780" s="179"/>
      <c r="C780" s="179"/>
      <c r="D780" s="179"/>
      <c r="E780" s="179"/>
    </row>
    <row r="781">
      <c r="B781" s="179"/>
      <c r="C781" s="179"/>
      <c r="D781" s="179"/>
      <c r="E781" s="179"/>
    </row>
    <row r="782">
      <c r="B782" s="179"/>
      <c r="C782" s="179"/>
      <c r="D782" s="179"/>
      <c r="E782" s="179"/>
    </row>
    <row r="783">
      <c r="B783" s="179"/>
      <c r="C783" s="179"/>
      <c r="D783" s="179"/>
      <c r="E783" s="179"/>
    </row>
    <row r="784">
      <c r="B784" s="179"/>
      <c r="C784" s="179"/>
      <c r="D784" s="179"/>
      <c r="E784" s="179"/>
    </row>
    <row r="785">
      <c r="B785" s="179"/>
      <c r="C785" s="179"/>
      <c r="D785" s="179"/>
      <c r="E785" s="179"/>
    </row>
    <row r="786">
      <c r="B786" s="179"/>
      <c r="C786" s="179"/>
      <c r="D786" s="179"/>
      <c r="E786" s="179"/>
    </row>
    <row r="787">
      <c r="B787" s="179"/>
      <c r="C787" s="179"/>
      <c r="D787" s="179"/>
      <c r="E787" s="179"/>
    </row>
    <row r="788">
      <c r="B788" s="179"/>
      <c r="C788" s="179"/>
      <c r="D788" s="179"/>
      <c r="E788" s="179"/>
    </row>
    <row r="789">
      <c r="B789" s="179"/>
      <c r="C789" s="179"/>
      <c r="D789" s="179"/>
      <c r="E789" s="179"/>
    </row>
    <row r="790">
      <c r="B790" s="179"/>
      <c r="C790" s="179"/>
      <c r="D790" s="179"/>
      <c r="E790" s="179"/>
    </row>
    <row r="791">
      <c r="B791" s="179"/>
      <c r="C791" s="179"/>
      <c r="D791" s="179"/>
      <c r="E791" s="179"/>
    </row>
    <row r="792">
      <c r="B792" s="179"/>
      <c r="C792" s="179"/>
      <c r="D792" s="179"/>
      <c r="E792" s="179"/>
    </row>
    <row r="793">
      <c r="B793" s="179"/>
      <c r="C793" s="179"/>
      <c r="D793" s="179"/>
      <c r="E793" s="179"/>
    </row>
    <row r="794">
      <c r="B794" s="179"/>
      <c r="C794" s="179"/>
      <c r="D794" s="179"/>
      <c r="E794" s="179"/>
    </row>
    <row r="795">
      <c r="B795" s="179"/>
      <c r="C795" s="179"/>
      <c r="D795" s="179"/>
      <c r="E795" s="179"/>
    </row>
    <row r="796">
      <c r="B796" s="179"/>
      <c r="C796" s="179"/>
      <c r="D796" s="179"/>
      <c r="E796" s="179"/>
    </row>
    <row r="797">
      <c r="B797" s="179"/>
      <c r="C797" s="179"/>
      <c r="D797" s="179"/>
      <c r="E797" s="179"/>
    </row>
    <row r="798">
      <c r="B798" s="179"/>
      <c r="C798" s="179"/>
      <c r="D798" s="179"/>
      <c r="E798" s="179"/>
    </row>
    <row r="799">
      <c r="B799" s="179"/>
      <c r="C799" s="179"/>
      <c r="D799" s="179"/>
      <c r="E799" s="179"/>
    </row>
    <row r="800">
      <c r="B800" s="179"/>
      <c r="C800" s="179"/>
      <c r="D800" s="179"/>
      <c r="E800" s="179"/>
    </row>
    <row r="801">
      <c r="B801" s="179"/>
      <c r="C801" s="179"/>
      <c r="D801" s="179"/>
      <c r="E801" s="179"/>
    </row>
    <row r="802">
      <c r="B802" s="179"/>
      <c r="C802" s="179"/>
      <c r="D802" s="179"/>
      <c r="E802" s="179"/>
    </row>
    <row r="803">
      <c r="B803" s="179"/>
      <c r="C803" s="179"/>
      <c r="D803" s="179"/>
      <c r="E803" s="179"/>
    </row>
    <row r="804">
      <c r="B804" s="179"/>
      <c r="C804" s="179"/>
      <c r="D804" s="179"/>
      <c r="E804" s="179"/>
    </row>
    <row r="805">
      <c r="B805" s="179"/>
      <c r="C805" s="179"/>
      <c r="D805" s="179"/>
      <c r="E805" s="179"/>
    </row>
    <row r="806">
      <c r="B806" s="179"/>
      <c r="C806" s="179"/>
      <c r="D806" s="179"/>
      <c r="E806" s="179"/>
    </row>
    <row r="807">
      <c r="B807" s="179"/>
      <c r="C807" s="179"/>
      <c r="D807" s="179"/>
      <c r="E807" s="179"/>
    </row>
    <row r="808">
      <c r="B808" s="179"/>
      <c r="C808" s="179"/>
      <c r="D808" s="179"/>
      <c r="E808" s="179"/>
    </row>
    <row r="809">
      <c r="B809" s="179"/>
      <c r="C809" s="179"/>
      <c r="D809" s="179"/>
      <c r="E809" s="179"/>
    </row>
    <row r="810">
      <c r="B810" s="179"/>
      <c r="C810" s="179"/>
      <c r="D810" s="179"/>
      <c r="E810" s="179"/>
    </row>
    <row r="811">
      <c r="B811" s="179"/>
      <c r="C811" s="179"/>
      <c r="D811" s="179"/>
      <c r="E811" s="179"/>
    </row>
    <row r="812">
      <c r="B812" s="179"/>
      <c r="C812" s="179"/>
      <c r="D812" s="179"/>
      <c r="E812" s="179"/>
    </row>
    <row r="813">
      <c r="B813" s="179"/>
      <c r="C813" s="179"/>
      <c r="D813" s="179"/>
      <c r="E813" s="179"/>
    </row>
    <row r="814">
      <c r="B814" s="179"/>
      <c r="C814" s="179"/>
      <c r="D814" s="179"/>
      <c r="E814" s="179"/>
    </row>
    <row r="815">
      <c r="B815" s="179"/>
      <c r="C815" s="179"/>
      <c r="D815" s="179"/>
      <c r="E815" s="179"/>
    </row>
    <row r="816">
      <c r="B816" s="179"/>
      <c r="C816" s="179"/>
      <c r="D816" s="179"/>
      <c r="E816" s="179"/>
    </row>
    <row r="817">
      <c r="B817" s="179"/>
      <c r="C817" s="179"/>
      <c r="D817" s="179"/>
      <c r="E817" s="179"/>
    </row>
    <row r="818">
      <c r="B818" s="179"/>
      <c r="C818" s="179"/>
      <c r="D818" s="179"/>
      <c r="E818" s="179"/>
    </row>
    <row r="819">
      <c r="B819" s="179"/>
      <c r="C819" s="179"/>
      <c r="D819" s="179"/>
      <c r="E819" s="179"/>
    </row>
    <row r="820">
      <c r="B820" s="179"/>
      <c r="C820" s="179"/>
      <c r="D820" s="179"/>
      <c r="E820" s="179"/>
    </row>
    <row r="821">
      <c r="B821" s="179"/>
      <c r="C821" s="179"/>
      <c r="D821" s="179"/>
      <c r="E821" s="179"/>
    </row>
    <row r="822">
      <c r="B822" s="179"/>
      <c r="C822" s="179"/>
      <c r="D822" s="179"/>
      <c r="E822" s="179"/>
    </row>
    <row r="823">
      <c r="B823" s="179"/>
      <c r="C823" s="179"/>
      <c r="D823" s="179"/>
      <c r="E823" s="179"/>
    </row>
    <row r="824">
      <c r="B824" s="179"/>
      <c r="C824" s="179"/>
      <c r="D824" s="179"/>
      <c r="E824" s="179"/>
    </row>
    <row r="825">
      <c r="B825" s="179"/>
      <c r="C825" s="179"/>
      <c r="D825" s="179"/>
      <c r="E825" s="179"/>
    </row>
    <row r="826">
      <c r="B826" s="179"/>
      <c r="C826" s="179"/>
      <c r="D826" s="179"/>
      <c r="E826" s="179"/>
    </row>
    <row r="827">
      <c r="B827" s="179"/>
      <c r="C827" s="179"/>
      <c r="D827" s="179"/>
      <c r="E827" s="179"/>
    </row>
    <row r="828">
      <c r="B828" s="179"/>
      <c r="C828" s="179"/>
      <c r="D828" s="179"/>
      <c r="E828" s="179"/>
    </row>
    <row r="829">
      <c r="B829" s="179"/>
      <c r="C829" s="179"/>
      <c r="D829" s="179"/>
      <c r="E829" s="179"/>
    </row>
    <row r="830">
      <c r="B830" s="179"/>
      <c r="C830" s="179"/>
      <c r="D830" s="179"/>
      <c r="E830" s="179"/>
    </row>
    <row r="831">
      <c r="B831" s="179"/>
      <c r="C831" s="179"/>
      <c r="D831" s="179"/>
      <c r="E831" s="179"/>
    </row>
    <row r="832">
      <c r="B832" s="179"/>
      <c r="C832" s="179"/>
      <c r="D832" s="179"/>
      <c r="E832" s="179"/>
    </row>
    <row r="833">
      <c r="B833" s="179"/>
      <c r="C833" s="179"/>
      <c r="D833" s="179"/>
      <c r="E833" s="179"/>
    </row>
    <row r="834">
      <c r="B834" s="179"/>
      <c r="C834" s="179"/>
      <c r="D834" s="179"/>
      <c r="E834" s="179"/>
    </row>
    <row r="835">
      <c r="B835" s="179"/>
      <c r="C835" s="179"/>
      <c r="D835" s="179"/>
      <c r="E835" s="179"/>
    </row>
    <row r="836">
      <c r="B836" s="179"/>
      <c r="C836" s="179"/>
      <c r="D836" s="179"/>
      <c r="E836" s="179"/>
    </row>
    <row r="837">
      <c r="B837" s="179"/>
      <c r="C837" s="179"/>
      <c r="D837" s="179"/>
      <c r="E837" s="179"/>
    </row>
    <row r="838">
      <c r="B838" s="179"/>
      <c r="C838" s="179"/>
      <c r="D838" s="179"/>
      <c r="E838" s="179"/>
    </row>
    <row r="839">
      <c r="B839" s="179"/>
      <c r="C839" s="179"/>
      <c r="D839" s="179"/>
      <c r="E839" s="179"/>
    </row>
    <row r="840">
      <c r="B840" s="179"/>
      <c r="C840" s="179"/>
      <c r="D840" s="179"/>
      <c r="E840" s="179"/>
    </row>
    <row r="841">
      <c r="B841" s="179"/>
      <c r="C841" s="179"/>
      <c r="D841" s="179"/>
      <c r="E841" s="179"/>
    </row>
    <row r="842">
      <c r="B842" s="179"/>
      <c r="C842" s="179"/>
      <c r="D842" s="179"/>
      <c r="E842" s="179"/>
    </row>
    <row r="843">
      <c r="B843" s="179"/>
      <c r="C843" s="179"/>
      <c r="D843" s="179"/>
      <c r="E843" s="179"/>
    </row>
    <row r="844">
      <c r="B844" s="179"/>
      <c r="C844" s="179"/>
      <c r="D844" s="179"/>
      <c r="E844" s="179"/>
    </row>
    <row r="845">
      <c r="B845" s="179"/>
      <c r="C845" s="179"/>
      <c r="D845" s="179"/>
      <c r="E845" s="179"/>
    </row>
    <row r="846">
      <c r="B846" s="179"/>
      <c r="C846" s="179"/>
      <c r="D846" s="179"/>
      <c r="E846" s="179"/>
    </row>
    <row r="847">
      <c r="B847" s="179"/>
      <c r="C847" s="179"/>
      <c r="D847" s="179"/>
      <c r="E847" s="179"/>
    </row>
    <row r="848">
      <c r="B848" s="179"/>
      <c r="C848" s="179"/>
      <c r="D848" s="179"/>
      <c r="E848" s="179"/>
    </row>
    <row r="849">
      <c r="B849" s="179"/>
      <c r="C849" s="179"/>
      <c r="D849" s="179"/>
      <c r="E849" s="179"/>
    </row>
    <row r="850">
      <c r="B850" s="179"/>
      <c r="C850" s="179"/>
      <c r="D850" s="179"/>
      <c r="E850" s="179"/>
    </row>
    <row r="851">
      <c r="B851" s="179"/>
      <c r="C851" s="179"/>
      <c r="D851" s="179"/>
      <c r="E851" s="179"/>
    </row>
    <row r="852">
      <c r="B852" s="179"/>
      <c r="C852" s="179"/>
      <c r="D852" s="179"/>
      <c r="E852" s="179"/>
    </row>
    <row r="853">
      <c r="B853" s="179"/>
      <c r="C853" s="179"/>
      <c r="D853" s="179"/>
      <c r="E853" s="179"/>
    </row>
    <row r="854">
      <c r="B854" s="179"/>
      <c r="C854" s="179"/>
      <c r="D854" s="179"/>
      <c r="E854" s="179"/>
    </row>
    <row r="855">
      <c r="B855" s="179"/>
      <c r="C855" s="179"/>
      <c r="D855" s="179"/>
      <c r="E855" s="179"/>
    </row>
    <row r="856">
      <c r="B856" s="179"/>
      <c r="C856" s="179"/>
      <c r="D856" s="179"/>
      <c r="E856" s="179"/>
    </row>
    <row r="857">
      <c r="B857" s="179"/>
      <c r="C857" s="179"/>
      <c r="D857" s="179"/>
      <c r="E857" s="179"/>
    </row>
    <row r="858">
      <c r="B858" s="179"/>
      <c r="C858" s="179"/>
      <c r="D858" s="179"/>
      <c r="E858" s="179"/>
    </row>
    <row r="859">
      <c r="B859" s="179"/>
      <c r="C859" s="179"/>
      <c r="D859" s="179"/>
      <c r="E859" s="179"/>
    </row>
    <row r="860">
      <c r="B860" s="179"/>
      <c r="C860" s="179"/>
      <c r="D860" s="179"/>
      <c r="E860" s="179"/>
    </row>
    <row r="861">
      <c r="B861" s="179"/>
      <c r="C861" s="179"/>
      <c r="D861" s="179"/>
      <c r="E861" s="179"/>
    </row>
    <row r="862">
      <c r="B862" s="179"/>
      <c r="C862" s="179"/>
      <c r="D862" s="179"/>
      <c r="E862" s="179"/>
    </row>
    <row r="863">
      <c r="B863" s="179"/>
      <c r="C863" s="179"/>
      <c r="D863" s="179"/>
      <c r="E863" s="179"/>
    </row>
    <row r="864">
      <c r="B864" s="179"/>
      <c r="C864" s="179"/>
      <c r="D864" s="179"/>
      <c r="E864" s="179"/>
    </row>
    <row r="865">
      <c r="B865" s="179"/>
      <c r="C865" s="179"/>
      <c r="D865" s="179"/>
      <c r="E865" s="179"/>
    </row>
    <row r="866">
      <c r="B866" s="179"/>
      <c r="C866" s="179"/>
      <c r="D866" s="179"/>
      <c r="E866" s="179"/>
    </row>
    <row r="867">
      <c r="B867" s="179"/>
      <c r="C867" s="179"/>
      <c r="D867" s="179"/>
      <c r="E867" s="179"/>
    </row>
    <row r="868">
      <c r="B868" s="179"/>
      <c r="C868" s="179"/>
      <c r="D868" s="179"/>
      <c r="E868" s="179"/>
    </row>
    <row r="869">
      <c r="B869" s="179"/>
      <c r="C869" s="179"/>
      <c r="D869" s="179"/>
      <c r="E869" s="179"/>
    </row>
    <row r="870">
      <c r="B870" s="179"/>
      <c r="C870" s="179"/>
      <c r="D870" s="179"/>
      <c r="E870" s="179"/>
    </row>
    <row r="871">
      <c r="B871" s="179"/>
      <c r="C871" s="179"/>
      <c r="D871" s="179"/>
      <c r="E871" s="179"/>
    </row>
    <row r="872">
      <c r="B872" s="179"/>
      <c r="C872" s="179"/>
      <c r="D872" s="179"/>
      <c r="E872" s="179"/>
    </row>
    <row r="873">
      <c r="B873" s="179"/>
      <c r="C873" s="179"/>
      <c r="D873" s="179"/>
      <c r="E873" s="179"/>
    </row>
    <row r="874">
      <c r="B874" s="179"/>
      <c r="C874" s="179"/>
      <c r="D874" s="179"/>
      <c r="E874" s="179"/>
    </row>
    <row r="875">
      <c r="B875" s="179"/>
      <c r="C875" s="179"/>
      <c r="D875" s="179"/>
      <c r="E875" s="179"/>
    </row>
    <row r="876">
      <c r="B876" s="179"/>
      <c r="C876" s="179"/>
      <c r="D876" s="179"/>
      <c r="E876" s="179"/>
    </row>
    <row r="877">
      <c r="B877" s="179"/>
      <c r="C877" s="179"/>
      <c r="D877" s="179"/>
      <c r="E877" s="179"/>
    </row>
    <row r="878">
      <c r="B878" s="179"/>
      <c r="C878" s="179"/>
      <c r="D878" s="179"/>
      <c r="E878" s="179"/>
    </row>
    <row r="879">
      <c r="B879" s="179"/>
      <c r="C879" s="179"/>
      <c r="D879" s="179"/>
      <c r="E879" s="179"/>
    </row>
    <row r="880">
      <c r="B880" s="179"/>
      <c r="C880" s="179"/>
      <c r="D880" s="179"/>
      <c r="E880" s="179"/>
    </row>
    <row r="881">
      <c r="B881" s="179"/>
      <c r="C881" s="179"/>
      <c r="D881" s="179"/>
      <c r="E881" s="179"/>
    </row>
    <row r="882">
      <c r="B882" s="179"/>
      <c r="C882" s="179"/>
      <c r="D882" s="179"/>
      <c r="E882" s="179"/>
    </row>
    <row r="883">
      <c r="B883" s="179"/>
      <c r="C883" s="179"/>
      <c r="D883" s="179"/>
      <c r="E883" s="179"/>
    </row>
    <row r="884">
      <c r="B884" s="179"/>
      <c r="C884" s="179"/>
      <c r="D884" s="179"/>
      <c r="E884" s="179"/>
    </row>
    <row r="885">
      <c r="B885" s="179"/>
      <c r="C885" s="179"/>
      <c r="D885" s="179"/>
      <c r="E885" s="179"/>
    </row>
    <row r="886">
      <c r="B886" s="179"/>
      <c r="C886" s="179"/>
      <c r="D886" s="179"/>
      <c r="E886" s="179"/>
    </row>
    <row r="887">
      <c r="B887" s="179"/>
      <c r="C887" s="179"/>
      <c r="D887" s="179"/>
      <c r="E887" s="179"/>
    </row>
    <row r="888">
      <c r="B888" s="179"/>
      <c r="C888" s="179"/>
      <c r="D888" s="179"/>
      <c r="E888" s="179"/>
    </row>
    <row r="889">
      <c r="B889" s="179"/>
      <c r="C889" s="179"/>
      <c r="D889" s="179"/>
      <c r="E889" s="179"/>
    </row>
    <row r="890">
      <c r="B890" s="179"/>
      <c r="C890" s="179"/>
      <c r="D890" s="179"/>
      <c r="E890" s="179"/>
    </row>
    <row r="891">
      <c r="B891" s="179"/>
      <c r="C891" s="179"/>
      <c r="D891" s="179"/>
      <c r="E891" s="179"/>
    </row>
    <row r="892">
      <c r="B892" s="179"/>
      <c r="C892" s="179"/>
      <c r="D892" s="179"/>
      <c r="E892" s="179"/>
    </row>
    <row r="893">
      <c r="B893" s="179"/>
      <c r="C893" s="179"/>
      <c r="D893" s="179"/>
      <c r="E893" s="179"/>
    </row>
    <row r="894">
      <c r="B894" s="179"/>
      <c r="C894" s="179"/>
      <c r="D894" s="179"/>
      <c r="E894" s="179"/>
    </row>
    <row r="895">
      <c r="B895" s="179"/>
      <c r="C895" s="179"/>
      <c r="D895" s="179"/>
      <c r="E895" s="179"/>
    </row>
    <row r="896">
      <c r="B896" s="179"/>
      <c r="C896" s="179"/>
      <c r="D896" s="179"/>
      <c r="E896" s="179"/>
    </row>
    <row r="897">
      <c r="B897" s="179"/>
      <c r="C897" s="179"/>
      <c r="D897" s="179"/>
      <c r="E897" s="179"/>
    </row>
    <row r="898">
      <c r="B898" s="179"/>
      <c r="C898" s="179"/>
      <c r="D898" s="179"/>
      <c r="E898" s="179"/>
    </row>
    <row r="899">
      <c r="B899" s="179"/>
      <c r="C899" s="179"/>
      <c r="D899" s="179"/>
      <c r="E899" s="179"/>
    </row>
    <row r="900">
      <c r="B900" s="179"/>
      <c r="C900" s="179"/>
      <c r="D900" s="179"/>
      <c r="E900" s="179"/>
    </row>
    <row r="901">
      <c r="B901" s="179"/>
      <c r="C901" s="179"/>
      <c r="D901" s="179"/>
      <c r="E901" s="179"/>
    </row>
    <row r="902">
      <c r="B902" s="179"/>
      <c r="C902" s="179"/>
      <c r="D902" s="179"/>
      <c r="E902" s="179"/>
    </row>
    <row r="903">
      <c r="B903" s="179"/>
      <c r="C903" s="179"/>
      <c r="D903" s="179"/>
      <c r="E903" s="179"/>
    </row>
    <row r="904">
      <c r="B904" s="179"/>
      <c r="C904" s="179"/>
      <c r="D904" s="179"/>
      <c r="E904" s="179"/>
    </row>
    <row r="905">
      <c r="B905" s="179"/>
      <c r="C905" s="179"/>
      <c r="D905" s="179"/>
      <c r="E905" s="179"/>
    </row>
    <row r="906">
      <c r="B906" s="179"/>
      <c r="C906" s="179"/>
      <c r="D906" s="179"/>
      <c r="E906" s="179"/>
    </row>
    <row r="907">
      <c r="B907" s="179"/>
      <c r="C907" s="179"/>
      <c r="D907" s="179"/>
      <c r="E907" s="179"/>
    </row>
    <row r="908">
      <c r="B908" s="179"/>
      <c r="C908" s="179"/>
      <c r="D908" s="179"/>
      <c r="E908" s="179"/>
    </row>
    <row r="909">
      <c r="B909" s="179"/>
      <c r="C909" s="179"/>
      <c r="D909" s="179"/>
      <c r="E909" s="179"/>
    </row>
    <row r="910">
      <c r="B910" s="179"/>
      <c r="C910" s="179"/>
      <c r="D910" s="179"/>
      <c r="E910" s="179"/>
    </row>
    <row r="911">
      <c r="B911" s="179"/>
      <c r="C911" s="179"/>
      <c r="D911" s="179"/>
      <c r="E911" s="179"/>
    </row>
    <row r="912">
      <c r="B912" s="179"/>
      <c r="C912" s="179"/>
      <c r="D912" s="179"/>
      <c r="E912" s="179"/>
    </row>
    <row r="913">
      <c r="B913" s="179"/>
      <c r="C913" s="179"/>
      <c r="D913" s="179"/>
      <c r="E913" s="179"/>
    </row>
    <row r="914">
      <c r="B914" s="179"/>
      <c r="C914" s="179"/>
      <c r="D914" s="179"/>
      <c r="E914" s="179"/>
    </row>
    <row r="915">
      <c r="B915" s="179"/>
      <c r="C915" s="179"/>
      <c r="D915" s="179"/>
      <c r="E915" s="179"/>
    </row>
    <row r="916">
      <c r="B916" s="179"/>
      <c r="C916" s="179"/>
      <c r="D916" s="179"/>
      <c r="E916" s="179"/>
    </row>
    <row r="917">
      <c r="B917" s="179"/>
      <c r="C917" s="179"/>
      <c r="D917" s="179"/>
      <c r="E917" s="179"/>
    </row>
    <row r="918">
      <c r="B918" s="179"/>
      <c r="C918" s="179"/>
      <c r="D918" s="179"/>
      <c r="E918" s="179"/>
    </row>
    <row r="919">
      <c r="B919" s="179"/>
      <c r="C919" s="179"/>
      <c r="D919" s="179"/>
      <c r="E919" s="179"/>
    </row>
    <row r="920">
      <c r="B920" s="179"/>
      <c r="C920" s="179"/>
      <c r="D920" s="179"/>
      <c r="E920" s="179"/>
    </row>
    <row r="921">
      <c r="B921" s="179"/>
      <c r="C921" s="179"/>
      <c r="D921" s="179"/>
      <c r="E921" s="179"/>
    </row>
    <row r="922">
      <c r="B922" s="179"/>
      <c r="C922" s="179"/>
      <c r="D922" s="179"/>
      <c r="E922" s="179"/>
    </row>
    <row r="923">
      <c r="B923" s="179"/>
      <c r="C923" s="179"/>
      <c r="D923" s="179"/>
      <c r="E923" s="179"/>
    </row>
    <row r="924">
      <c r="B924" s="179"/>
      <c r="C924" s="179"/>
      <c r="D924" s="179"/>
      <c r="E924" s="179"/>
    </row>
    <row r="925">
      <c r="B925" s="179"/>
      <c r="C925" s="179"/>
      <c r="D925" s="179"/>
      <c r="E925" s="179"/>
    </row>
    <row r="926">
      <c r="B926" s="179"/>
      <c r="C926" s="179"/>
      <c r="D926" s="179"/>
      <c r="E926" s="179"/>
    </row>
    <row r="927">
      <c r="B927" s="179"/>
      <c r="C927" s="179"/>
      <c r="D927" s="179"/>
      <c r="E927" s="179"/>
    </row>
    <row r="928">
      <c r="B928" s="179"/>
      <c r="C928" s="179"/>
      <c r="D928" s="179"/>
      <c r="E928" s="179"/>
    </row>
    <row r="929">
      <c r="B929" s="179"/>
      <c r="C929" s="179"/>
      <c r="D929" s="179"/>
      <c r="E929" s="179"/>
    </row>
    <row r="930">
      <c r="B930" s="179"/>
      <c r="C930" s="179"/>
      <c r="D930" s="179"/>
      <c r="E930" s="179"/>
    </row>
    <row r="931">
      <c r="B931" s="179"/>
      <c r="C931" s="179"/>
      <c r="D931" s="179"/>
      <c r="E931" s="179"/>
    </row>
    <row r="932">
      <c r="B932" s="179"/>
      <c r="C932" s="179"/>
      <c r="D932" s="179"/>
      <c r="E932" s="179"/>
    </row>
    <row r="933">
      <c r="B933" s="179"/>
      <c r="C933" s="179"/>
      <c r="D933" s="179"/>
      <c r="E933" s="179"/>
    </row>
    <row r="934">
      <c r="B934" s="179"/>
      <c r="C934" s="179"/>
      <c r="D934" s="179"/>
      <c r="E934" s="179"/>
    </row>
    <row r="935">
      <c r="B935" s="179"/>
      <c r="C935" s="179"/>
      <c r="D935" s="179"/>
      <c r="E935" s="179"/>
    </row>
    <row r="936">
      <c r="B936" s="179"/>
      <c r="C936" s="179"/>
      <c r="D936" s="179"/>
      <c r="E936" s="179"/>
    </row>
    <row r="937">
      <c r="B937" s="179"/>
      <c r="C937" s="179"/>
      <c r="D937" s="179"/>
      <c r="E937" s="179"/>
    </row>
    <row r="938">
      <c r="B938" s="179"/>
      <c r="C938" s="179"/>
      <c r="D938" s="179"/>
      <c r="E938" s="179"/>
    </row>
    <row r="939">
      <c r="B939" s="179"/>
      <c r="C939" s="179"/>
      <c r="D939" s="179"/>
      <c r="E939" s="179"/>
    </row>
    <row r="940">
      <c r="B940" s="179"/>
      <c r="C940" s="179"/>
      <c r="D940" s="179"/>
      <c r="E940" s="179"/>
    </row>
    <row r="941">
      <c r="B941" s="179"/>
      <c r="C941" s="179"/>
      <c r="D941" s="179"/>
      <c r="E941" s="179"/>
    </row>
    <row r="942">
      <c r="B942" s="179"/>
      <c r="C942" s="179"/>
      <c r="D942" s="179"/>
      <c r="E942" s="179"/>
    </row>
    <row r="943">
      <c r="B943" s="179"/>
      <c r="C943" s="179"/>
      <c r="D943" s="179"/>
      <c r="E943" s="179"/>
    </row>
    <row r="944">
      <c r="B944" s="179"/>
      <c r="C944" s="179"/>
      <c r="D944" s="179"/>
      <c r="E944" s="179"/>
    </row>
    <row r="945">
      <c r="B945" s="179"/>
      <c r="C945" s="179"/>
      <c r="D945" s="179"/>
      <c r="E945" s="179"/>
    </row>
    <row r="946">
      <c r="B946" s="179"/>
      <c r="C946" s="179"/>
      <c r="D946" s="179"/>
      <c r="E946" s="179"/>
    </row>
    <row r="947">
      <c r="B947" s="179"/>
      <c r="C947" s="179"/>
      <c r="D947" s="179"/>
      <c r="E947" s="179"/>
    </row>
    <row r="948">
      <c r="B948" s="179"/>
      <c r="C948" s="179"/>
      <c r="D948" s="179"/>
      <c r="E948" s="179"/>
    </row>
    <row r="949">
      <c r="B949" s="179"/>
      <c r="C949" s="179"/>
      <c r="D949" s="179"/>
      <c r="E949" s="179"/>
    </row>
    <row r="950">
      <c r="B950" s="179"/>
      <c r="C950" s="179"/>
      <c r="D950" s="179"/>
      <c r="E950" s="179"/>
    </row>
    <row r="951">
      <c r="B951" s="179"/>
      <c r="C951" s="179"/>
      <c r="D951" s="179"/>
      <c r="E951" s="179"/>
    </row>
    <row r="952">
      <c r="B952" s="179"/>
      <c r="C952" s="179"/>
      <c r="D952" s="179"/>
      <c r="E952" s="179"/>
    </row>
    <row r="953">
      <c r="B953" s="179"/>
      <c r="C953" s="179"/>
      <c r="D953" s="179"/>
      <c r="E953" s="179"/>
    </row>
    <row r="954">
      <c r="B954" s="179"/>
      <c r="C954" s="179"/>
      <c r="D954" s="179"/>
      <c r="E954" s="179"/>
    </row>
    <row r="955">
      <c r="B955" s="179"/>
      <c r="C955" s="179"/>
      <c r="D955" s="179"/>
      <c r="E955" s="179"/>
    </row>
    <row r="956">
      <c r="B956" s="179"/>
      <c r="C956" s="179"/>
      <c r="D956" s="179"/>
      <c r="E956" s="179"/>
    </row>
    <row r="957">
      <c r="B957" s="179"/>
      <c r="C957" s="179"/>
      <c r="D957" s="179"/>
      <c r="E957" s="179"/>
    </row>
    <row r="958">
      <c r="B958" s="179"/>
      <c r="C958" s="179"/>
      <c r="D958" s="179"/>
      <c r="E958" s="179"/>
    </row>
    <row r="959">
      <c r="B959" s="179"/>
      <c r="C959" s="179"/>
      <c r="D959" s="179"/>
      <c r="E959" s="179"/>
    </row>
    <row r="960">
      <c r="B960" s="179"/>
      <c r="C960" s="179"/>
      <c r="D960" s="179"/>
      <c r="E960" s="179"/>
    </row>
    <row r="961">
      <c r="B961" s="179"/>
      <c r="C961" s="179"/>
      <c r="D961" s="179"/>
      <c r="E961" s="179"/>
    </row>
    <row r="962">
      <c r="B962" s="179"/>
      <c r="C962" s="179"/>
      <c r="D962" s="179"/>
      <c r="E962" s="179"/>
    </row>
    <row r="963">
      <c r="B963" s="179"/>
      <c r="C963" s="179"/>
      <c r="D963" s="179"/>
      <c r="E963" s="179"/>
    </row>
    <row r="964">
      <c r="B964" s="179"/>
      <c r="C964" s="179"/>
      <c r="D964" s="179"/>
      <c r="E964" s="179"/>
    </row>
    <row r="965">
      <c r="B965" s="179"/>
      <c r="C965" s="179"/>
      <c r="D965" s="179"/>
      <c r="E965" s="179"/>
    </row>
    <row r="966">
      <c r="B966" s="179"/>
      <c r="C966" s="179"/>
      <c r="D966" s="179"/>
      <c r="E966" s="179"/>
    </row>
    <row r="967">
      <c r="B967" s="179"/>
      <c r="C967" s="179"/>
      <c r="D967" s="179"/>
      <c r="E967" s="179"/>
    </row>
    <row r="968">
      <c r="B968" s="179"/>
      <c r="C968" s="179"/>
      <c r="D968" s="179"/>
      <c r="E968" s="179"/>
    </row>
    <row r="969">
      <c r="B969" s="179"/>
      <c r="C969" s="179"/>
      <c r="D969" s="179"/>
      <c r="E969" s="179"/>
    </row>
    <row r="970">
      <c r="B970" s="179"/>
      <c r="C970" s="179"/>
      <c r="D970" s="179"/>
      <c r="E970" s="179"/>
    </row>
    <row r="971">
      <c r="B971" s="179"/>
      <c r="C971" s="179"/>
      <c r="D971" s="179"/>
      <c r="E971" s="179"/>
    </row>
    <row r="972">
      <c r="B972" s="179"/>
      <c r="C972" s="179"/>
      <c r="D972" s="179"/>
      <c r="E972" s="179"/>
    </row>
    <row r="973">
      <c r="B973" s="179"/>
      <c r="C973" s="179"/>
      <c r="D973" s="179"/>
      <c r="E973" s="179"/>
    </row>
    <row r="974">
      <c r="B974" s="179"/>
      <c r="C974" s="179"/>
      <c r="D974" s="179"/>
      <c r="E974" s="179"/>
    </row>
    <row r="975">
      <c r="B975" s="179"/>
      <c r="C975" s="179"/>
      <c r="D975" s="179"/>
      <c r="E975" s="179"/>
    </row>
    <row r="976">
      <c r="B976" s="179"/>
      <c r="C976" s="179"/>
      <c r="D976" s="179"/>
      <c r="E976" s="179"/>
    </row>
    <row r="977">
      <c r="B977" s="179"/>
      <c r="C977" s="179"/>
      <c r="D977" s="179"/>
      <c r="E977" s="179"/>
    </row>
    <row r="978">
      <c r="B978" s="179"/>
      <c r="C978" s="179"/>
      <c r="D978" s="179"/>
      <c r="E978" s="179"/>
    </row>
    <row r="979">
      <c r="B979" s="179"/>
      <c r="C979" s="179"/>
      <c r="D979" s="179"/>
      <c r="E979" s="179"/>
    </row>
    <row r="980">
      <c r="B980" s="179"/>
      <c r="C980" s="179"/>
      <c r="D980" s="179"/>
      <c r="E980" s="179"/>
    </row>
    <row r="981">
      <c r="B981" s="179"/>
      <c r="C981" s="179"/>
      <c r="D981" s="179"/>
      <c r="E981" s="179"/>
    </row>
    <row r="982">
      <c r="B982" s="179"/>
      <c r="C982" s="179"/>
      <c r="D982" s="179"/>
      <c r="E982" s="179"/>
    </row>
    <row r="983">
      <c r="B983" s="179"/>
      <c r="C983" s="179"/>
      <c r="D983" s="179"/>
      <c r="E983" s="179"/>
    </row>
    <row r="984">
      <c r="B984" s="179"/>
      <c r="C984" s="179"/>
      <c r="D984" s="179"/>
      <c r="E984" s="179"/>
    </row>
    <row r="985">
      <c r="B985" s="179"/>
      <c r="C985" s="179"/>
      <c r="D985" s="179"/>
      <c r="E985" s="179"/>
    </row>
    <row r="986">
      <c r="B986" s="179"/>
      <c r="C986" s="179"/>
      <c r="D986" s="179"/>
      <c r="E986" s="179"/>
    </row>
    <row r="987">
      <c r="B987" s="179"/>
      <c r="C987" s="179"/>
      <c r="D987" s="179"/>
      <c r="E987" s="179"/>
    </row>
    <row r="988">
      <c r="B988" s="179"/>
      <c r="C988" s="179"/>
      <c r="D988" s="179"/>
      <c r="E988" s="179"/>
    </row>
    <row r="989">
      <c r="B989" s="179"/>
      <c r="C989" s="179"/>
      <c r="D989" s="179"/>
      <c r="E989" s="179"/>
    </row>
    <row r="990">
      <c r="B990" s="179"/>
      <c r="C990" s="179"/>
      <c r="D990" s="179"/>
      <c r="E990" s="179"/>
    </row>
    <row r="991">
      <c r="B991" s="179"/>
      <c r="C991" s="179"/>
      <c r="D991" s="179"/>
      <c r="E991" s="179"/>
    </row>
    <row r="992">
      <c r="B992" s="179"/>
      <c r="C992" s="179"/>
      <c r="D992" s="179"/>
      <c r="E992" s="179"/>
    </row>
    <row r="993">
      <c r="B993" s="179"/>
      <c r="C993" s="179"/>
      <c r="D993" s="179"/>
      <c r="E993" s="179"/>
    </row>
    <row r="994">
      <c r="B994" s="179"/>
      <c r="C994" s="179"/>
      <c r="D994" s="179"/>
      <c r="E994" s="179"/>
    </row>
    <row r="995">
      <c r="B995" s="179"/>
      <c r="C995" s="179"/>
      <c r="D995" s="179"/>
      <c r="E995" s="179"/>
    </row>
    <row r="996">
      <c r="B996" s="179"/>
      <c r="C996" s="179"/>
      <c r="D996" s="179"/>
      <c r="E996" s="179"/>
    </row>
    <row r="997">
      <c r="B997" s="179"/>
      <c r="C997" s="179"/>
      <c r="D997" s="179"/>
      <c r="E997" s="179"/>
    </row>
    <row r="998">
      <c r="B998" s="179"/>
      <c r="C998" s="179"/>
      <c r="D998" s="179"/>
      <c r="E998" s="179"/>
    </row>
    <row r="999">
      <c r="B999" s="179"/>
      <c r="C999" s="179"/>
      <c r="D999" s="179"/>
      <c r="E999" s="179"/>
    </row>
    <row r="1000">
      <c r="B1000" s="179"/>
      <c r="C1000" s="179"/>
      <c r="D1000" s="179"/>
      <c r="E1000" s="179"/>
    </row>
    <row r="1001">
      <c r="B1001" s="179"/>
      <c r="C1001" s="179"/>
      <c r="D1001" s="179"/>
      <c r="E1001" s="179"/>
    </row>
    <row r="1002">
      <c r="B1002" s="179"/>
      <c r="C1002" s="179"/>
      <c r="D1002" s="179"/>
      <c r="E1002" s="179"/>
    </row>
    <row r="1003">
      <c r="B1003" s="179"/>
      <c r="C1003" s="179"/>
      <c r="D1003" s="179"/>
      <c r="E1003" s="179"/>
    </row>
    <row r="1004">
      <c r="B1004" s="179"/>
      <c r="C1004" s="179"/>
      <c r="D1004" s="179"/>
      <c r="E1004" s="179"/>
    </row>
    <row r="1005">
      <c r="B1005" s="179"/>
      <c r="C1005" s="179"/>
      <c r="D1005" s="179"/>
      <c r="E1005" s="179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13"/>
    <col customWidth="1" min="4" max="4" width="11.63"/>
    <col customWidth="1" min="6" max="6" width="9.63"/>
    <col customWidth="1" min="7" max="7" width="7.38"/>
    <col customWidth="1" min="8" max="8" width="12.25"/>
    <col customWidth="1" min="9" max="9" width="15.5"/>
  </cols>
  <sheetData>
    <row r="1">
      <c r="A1" s="251"/>
      <c r="B1" s="179"/>
      <c r="C1" s="179"/>
      <c r="D1" s="179"/>
      <c r="E1" s="179"/>
      <c r="F1" s="235"/>
      <c r="G1" s="235"/>
      <c r="H1" s="235"/>
      <c r="I1" s="179"/>
    </row>
    <row r="2">
      <c r="A2" s="252" t="s">
        <v>194</v>
      </c>
      <c r="B2" s="253" t="s">
        <v>195</v>
      </c>
      <c r="C2" s="253" t="s">
        <v>196</v>
      </c>
      <c r="D2" s="253" t="s">
        <v>197</v>
      </c>
      <c r="E2" s="253" t="s">
        <v>4</v>
      </c>
      <c r="F2" s="249" t="s">
        <v>5</v>
      </c>
      <c r="G2" s="249" t="s">
        <v>9</v>
      </c>
      <c r="H2" s="253" t="s">
        <v>6</v>
      </c>
      <c r="I2" s="254" t="s">
        <v>198</v>
      </c>
      <c r="J2" s="69"/>
    </row>
    <row r="3">
      <c r="A3" s="87" t="s">
        <v>199</v>
      </c>
      <c r="B3" s="98">
        <f>'Исходные данные'!D12</f>
        <v>402</v>
      </c>
      <c r="C3" s="134">
        <f>'Исходные данные'!G31</f>
        <v>9</v>
      </c>
      <c r="D3" s="134"/>
      <c r="E3" s="255">
        <v>637618.0</v>
      </c>
      <c r="F3" s="256">
        <v>12.0</v>
      </c>
      <c r="G3" s="249"/>
      <c r="H3" s="250">
        <f t="shared" ref="H3:H12" si="1">E3/F3</f>
        <v>53134.83333</v>
      </c>
      <c r="I3" s="257">
        <f t="shared" ref="I3:I5" si="2">H3/B3*C3</f>
        <v>1189.585821</v>
      </c>
      <c r="J3" s="69"/>
    </row>
    <row r="4">
      <c r="A4" s="87" t="s">
        <v>200</v>
      </c>
      <c r="B4" s="98">
        <f>'Исходные данные'!D10</f>
        <v>276</v>
      </c>
      <c r="C4" s="134">
        <f>'Исходные данные'!E31</f>
        <v>5</v>
      </c>
      <c r="D4" s="134"/>
      <c r="E4" s="70">
        <v>402810.0</v>
      </c>
      <c r="F4" s="256">
        <v>12.0</v>
      </c>
      <c r="G4" s="249"/>
      <c r="H4" s="250">
        <f t="shared" si="1"/>
        <v>33567.5</v>
      </c>
      <c r="I4" s="257">
        <f t="shared" si="2"/>
        <v>608.1068841</v>
      </c>
      <c r="J4" s="69"/>
    </row>
    <row r="5">
      <c r="A5" s="87" t="s">
        <v>201</v>
      </c>
      <c r="B5" s="98">
        <f>'Исходные данные'!E13</f>
        <v>30</v>
      </c>
      <c r="C5" s="134">
        <f>'Исходные данные'!H31</f>
        <v>8</v>
      </c>
      <c r="D5" s="134"/>
      <c r="E5" s="177">
        <v>305868.0</v>
      </c>
      <c r="F5" s="256">
        <v>12.0</v>
      </c>
      <c r="G5" s="249"/>
      <c r="H5" s="250">
        <f t="shared" si="1"/>
        <v>25489</v>
      </c>
      <c r="I5" s="257">
        <f t="shared" si="2"/>
        <v>6797.066667</v>
      </c>
      <c r="J5" s="69"/>
    </row>
    <row r="6">
      <c r="A6" s="87" t="s">
        <v>154</v>
      </c>
      <c r="B6" s="134"/>
      <c r="C6" s="134"/>
      <c r="D6" s="134"/>
      <c r="E6" s="134">
        <v>10100.0</v>
      </c>
      <c r="F6" s="256">
        <v>12.0</v>
      </c>
      <c r="G6" s="249"/>
      <c r="H6" s="250">
        <f t="shared" si="1"/>
        <v>841.6666667</v>
      </c>
      <c r="I6" s="257">
        <f t="shared" ref="I6:I13" si="3">H6</f>
        <v>841.6666667</v>
      </c>
      <c r="J6" s="69"/>
    </row>
    <row r="7">
      <c r="A7" s="87" t="s">
        <v>202</v>
      </c>
      <c r="B7" s="163"/>
      <c r="C7" s="163"/>
      <c r="D7" s="163"/>
      <c r="E7" s="134">
        <f>1500+28127</f>
        <v>29627</v>
      </c>
      <c r="F7" s="256">
        <v>12.0</v>
      </c>
      <c r="G7" s="249"/>
      <c r="H7" s="250">
        <f t="shared" si="1"/>
        <v>2468.916667</v>
      </c>
      <c r="I7" s="257">
        <f t="shared" si="3"/>
        <v>2468.916667</v>
      </c>
      <c r="J7" s="69"/>
    </row>
    <row r="8">
      <c r="A8" s="87" t="s">
        <v>148</v>
      </c>
      <c r="B8" s="258"/>
      <c r="C8" s="258"/>
      <c r="D8" s="258"/>
      <c r="E8" s="177">
        <v>21923.0</v>
      </c>
      <c r="F8" s="256">
        <v>12.0</v>
      </c>
      <c r="G8" s="249"/>
      <c r="H8" s="250">
        <f t="shared" si="1"/>
        <v>1826.916667</v>
      </c>
      <c r="I8" s="257">
        <f t="shared" si="3"/>
        <v>1826.916667</v>
      </c>
      <c r="J8" s="69"/>
    </row>
    <row r="9">
      <c r="A9" s="87" t="s">
        <v>150</v>
      </c>
      <c r="B9" s="258"/>
      <c r="C9" s="258"/>
      <c r="D9" s="258"/>
      <c r="E9" s="177">
        <v>480636.0</v>
      </c>
      <c r="F9" s="256">
        <v>12.0</v>
      </c>
      <c r="G9" s="249"/>
      <c r="H9" s="250">
        <f t="shared" si="1"/>
        <v>40053</v>
      </c>
      <c r="I9" s="257">
        <f t="shared" si="3"/>
        <v>40053</v>
      </c>
      <c r="J9" s="69"/>
    </row>
    <row r="10">
      <c r="A10" s="87" t="s">
        <v>149</v>
      </c>
      <c r="B10" s="258"/>
      <c r="C10" s="258"/>
      <c r="D10" s="258"/>
      <c r="E10" s="177">
        <v>0.0</v>
      </c>
      <c r="F10" s="256">
        <v>12.0</v>
      </c>
      <c r="G10" s="249"/>
      <c r="H10" s="250">
        <f t="shared" si="1"/>
        <v>0</v>
      </c>
      <c r="I10" s="257">
        <f t="shared" si="3"/>
        <v>0</v>
      </c>
      <c r="J10" s="69"/>
    </row>
    <row r="11">
      <c r="A11" s="87" t="s">
        <v>203</v>
      </c>
      <c r="B11" s="258"/>
      <c r="C11" s="258"/>
      <c r="D11" s="258"/>
      <c r="E11" s="177">
        <f>794+460+2805.08</f>
        <v>4059.08</v>
      </c>
      <c r="F11" s="256">
        <v>12.0</v>
      </c>
      <c r="G11" s="249"/>
      <c r="H11" s="250">
        <f t="shared" si="1"/>
        <v>338.2566667</v>
      </c>
      <c r="I11" s="257">
        <f t="shared" si="3"/>
        <v>338.2566667</v>
      </c>
      <c r="J11" s="69"/>
    </row>
    <row r="12">
      <c r="A12" s="87" t="s">
        <v>204</v>
      </c>
      <c r="B12" s="258"/>
      <c r="C12" s="258"/>
      <c r="D12" s="258"/>
      <c r="E12" s="177">
        <f>793+1222</f>
        <v>2015</v>
      </c>
      <c r="F12" s="256">
        <v>12.0</v>
      </c>
      <c r="G12" s="249"/>
      <c r="H12" s="250">
        <f t="shared" si="1"/>
        <v>167.9166667</v>
      </c>
      <c r="I12" s="257">
        <f t="shared" si="3"/>
        <v>167.9166667</v>
      </c>
      <c r="J12" s="69"/>
    </row>
    <row r="13">
      <c r="A13" s="68" t="s">
        <v>155</v>
      </c>
      <c r="B13" s="72"/>
      <c r="C13" s="71"/>
      <c r="D13" s="71"/>
      <c r="E13" s="72"/>
      <c r="F13" s="249"/>
      <c r="G13" s="259"/>
      <c r="H13" s="250">
        <f>D30</f>
        <v>49421.66667</v>
      </c>
      <c r="I13" s="257">
        <f t="shared" si="3"/>
        <v>49421.66667</v>
      </c>
      <c r="J13" s="69"/>
    </row>
    <row r="14">
      <c r="A14" s="68" t="s">
        <v>152</v>
      </c>
      <c r="B14" s="72"/>
      <c r="C14" s="71"/>
      <c r="D14" s="260">
        <f>B19+B20</f>
        <v>2386</v>
      </c>
      <c r="E14" s="72"/>
      <c r="F14" s="249"/>
      <c r="G14" s="259">
        <f>'Общие расходы ГЭ'!G16</f>
        <v>9.195626292</v>
      </c>
      <c r="H14" s="249"/>
      <c r="I14" s="257">
        <f t="shared" ref="I14:I16" si="4">D14*G14</f>
        <v>21940.76433</v>
      </c>
      <c r="J14" s="69"/>
    </row>
    <row r="15">
      <c r="A15" s="68" t="s">
        <v>153</v>
      </c>
      <c r="B15" s="72"/>
      <c r="C15" s="71"/>
      <c r="D15" s="260">
        <f>B19+B20</f>
        <v>2386</v>
      </c>
      <c r="E15" s="72"/>
      <c r="F15" s="249"/>
      <c r="G15" s="259">
        <f>'Общие расходы г. Тюмень'!F4</f>
        <v>0.2743933235</v>
      </c>
      <c r="H15" s="249"/>
      <c r="I15" s="257">
        <f t="shared" si="4"/>
        <v>654.7024698</v>
      </c>
      <c r="J15" s="69"/>
    </row>
    <row r="16">
      <c r="A16" s="68" t="s">
        <v>156</v>
      </c>
      <c r="B16" s="72"/>
      <c r="C16" s="71"/>
      <c r="D16" s="260">
        <f>B19+B20</f>
        <v>2386</v>
      </c>
      <c r="E16" s="72"/>
      <c r="F16" s="249"/>
      <c r="G16" s="250">
        <f>'Общие расходы г. Тюмень'!F30</f>
        <v>0.7480139342</v>
      </c>
      <c r="H16" s="249"/>
      <c r="I16" s="261">
        <f t="shared" si="4"/>
        <v>1784.761247</v>
      </c>
      <c r="J16" s="69"/>
    </row>
    <row r="17">
      <c r="A17" s="262" t="s">
        <v>62</v>
      </c>
      <c r="B17" s="263"/>
      <c r="C17" s="263"/>
      <c r="D17" s="263"/>
      <c r="E17" s="263"/>
      <c r="F17" s="263"/>
      <c r="G17" s="185"/>
      <c r="H17" s="264"/>
      <c r="I17" s="261">
        <f>SUM(I3:I16)</f>
        <v>128093.3274</v>
      </c>
    </row>
    <row r="18">
      <c r="A18" s="251"/>
      <c r="B18" s="179"/>
      <c r="C18" s="179"/>
      <c r="D18" s="179"/>
      <c r="E18" s="179"/>
      <c r="F18" s="235"/>
      <c r="G18" s="235"/>
      <c r="H18" s="235"/>
      <c r="I18" s="179"/>
    </row>
    <row r="19">
      <c r="A19" s="68" t="s">
        <v>205</v>
      </c>
      <c r="B19" s="265">
        <f>'Исходные данные'!B31</f>
        <v>1237</v>
      </c>
      <c r="C19" s="179"/>
      <c r="D19" s="179"/>
      <c r="E19" s="179"/>
      <c r="F19" s="235"/>
      <c r="G19" s="235"/>
      <c r="H19" s="235"/>
      <c r="I19" s="179"/>
    </row>
    <row r="20">
      <c r="A20" s="68" t="s">
        <v>206</v>
      </c>
      <c r="B20" s="265">
        <f>'Исходные данные'!C31</f>
        <v>1149</v>
      </c>
      <c r="C20" s="179"/>
      <c r="D20" s="179"/>
      <c r="E20" s="179"/>
      <c r="F20" s="235"/>
      <c r="G20" s="235"/>
      <c r="H20" s="235"/>
      <c r="I20" s="179"/>
    </row>
    <row r="21">
      <c r="A21" s="68" t="s">
        <v>207</v>
      </c>
      <c r="B21" s="265" t="str">
        <f>'Исходные данные'!D25</f>
        <v/>
      </c>
      <c r="C21" s="179"/>
      <c r="D21" s="179"/>
      <c r="E21" s="179"/>
      <c r="F21" s="235"/>
      <c r="G21" s="235"/>
      <c r="H21" s="235"/>
      <c r="I21" s="179"/>
    </row>
    <row r="22">
      <c r="A22" s="251"/>
      <c r="B22" s="179"/>
      <c r="C22" s="179"/>
      <c r="D22" s="179"/>
      <c r="E22" s="179"/>
      <c r="F22" s="235"/>
      <c r="G22" s="235"/>
      <c r="H22" s="235"/>
      <c r="I22" s="74"/>
    </row>
    <row r="23">
      <c r="A23" s="266" t="s">
        <v>208</v>
      </c>
      <c r="B23" s="263"/>
      <c r="C23" s="263"/>
      <c r="D23" s="185"/>
      <c r="E23" s="267"/>
      <c r="F23" s="69"/>
      <c r="G23" s="69"/>
      <c r="H23" s="69"/>
      <c r="I23" s="69"/>
    </row>
    <row r="24">
      <c r="A24" s="268" t="s">
        <v>209</v>
      </c>
      <c r="B24" s="269" t="s">
        <v>210</v>
      </c>
      <c r="C24" s="93" t="s">
        <v>5</v>
      </c>
      <c r="D24" s="269" t="s">
        <v>211</v>
      </c>
      <c r="E24" s="270"/>
    </row>
    <row r="25">
      <c r="A25" s="87" t="s">
        <v>212</v>
      </c>
      <c r="B25" s="271">
        <f>104500+218500+41500+24000+85500+77000</f>
        <v>551000</v>
      </c>
      <c r="C25" s="134">
        <v>12.0</v>
      </c>
      <c r="D25" s="271">
        <f t="shared" ref="D25:D27" si="5">B25/C25</f>
        <v>45916.66667</v>
      </c>
      <c r="E25" s="74"/>
    </row>
    <row r="26">
      <c r="A26" s="87" t="s">
        <v>213</v>
      </c>
      <c r="B26" s="271">
        <v>31240.0</v>
      </c>
      <c r="C26" s="134">
        <v>12.0</v>
      </c>
      <c r="D26" s="271">
        <f t="shared" si="5"/>
        <v>2603.333333</v>
      </c>
      <c r="E26" s="74"/>
    </row>
    <row r="27">
      <c r="A27" s="272" t="s">
        <v>214</v>
      </c>
      <c r="B27" s="271">
        <v>10820.0</v>
      </c>
      <c r="C27" s="134">
        <v>12.0</v>
      </c>
      <c r="D27" s="271">
        <f t="shared" si="5"/>
        <v>901.6666667</v>
      </c>
      <c r="E27" s="74"/>
    </row>
    <row r="28">
      <c r="A28" s="272"/>
      <c r="B28" s="271"/>
      <c r="C28" s="134"/>
      <c r="D28" s="271"/>
      <c r="E28" s="74"/>
    </row>
    <row r="29">
      <c r="A29" s="272"/>
      <c r="B29" s="271"/>
      <c r="C29" s="134"/>
      <c r="D29" s="271"/>
      <c r="E29" s="74"/>
    </row>
    <row r="30">
      <c r="A30" s="273"/>
      <c r="B30" s="274">
        <f>SUM(B25:B29)</f>
        <v>593060</v>
      </c>
      <c r="C30" s="275">
        <v>12.0</v>
      </c>
      <c r="D30" s="274">
        <f>B30/C30</f>
        <v>49421.66667</v>
      </c>
      <c r="E30" s="276"/>
      <c r="F30" s="169"/>
      <c r="G30" s="168"/>
    </row>
    <row r="31">
      <c r="A31" s="251"/>
    </row>
    <row r="32">
      <c r="A32" s="251"/>
    </row>
    <row r="33">
      <c r="A33" s="251"/>
    </row>
    <row r="34">
      <c r="A34" s="251"/>
    </row>
    <row r="35">
      <c r="A35" s="251"/>
    </row>
    <row r="36">
      <c r="A36" s="251"/>
    </row>
    <row r="37">
      <c r="A37" s="251"/>
    </row>
    <row r="38">
      <c r="A38" s="251"/>
    </row>
    <row r="39">
      <c r="A39" s="251"/>
    </row>
    <row r="40">
      <c r="A40" s="251"/>
    </row>
    <row r="41">
      <c r="A41" s="251"/>
    </row>
    <row r="42">
      <c r="A42" s="251"/>
    </row>
    <row r="43">
      <c r="A43" s="251"/>
    </row>
    <row r="44">
      <c r="A44" s="251"/>
    </row>
    <row r="45">
      <c r="A45" s="251"/>
    </row>
    <row r="46">
      <c r="A46" s="251"/>
    </row>
    <row r="47">
      <c r="A47" s="251"/>
    </row>
    <row r="48">
      <c r="A48" s="251"/>
    </row>
    <row r="49">
      <c r="A49" s="251"/>
    </row>
    <row r="50">
      <c r="A50" s="251"/>
    </row>
    <row r="51">
      <c r="A51" s="251"/>
    </row>
    <row r="52">
      <c r="A52" s="251"/>
    </row>
    <row r="53">
      <c r="A53" s="251"/>
    </row>
    <row r="54">
      <c r="A54" s="251"/>
    </row>
    <row r="55">
      <c r="A55" s="251"/>
    </row>
    <row r="56">
      <c r="A56" s="251"/>
    </row>
    <row r="57">
      <c r="A57" s="251"/>
    </row>
    <row r="58">
      <c r="A58" s="251"/>
    </row>
    <row r="59">
      <c r="A59" s="251"/>
    </row>
    <row r="60">
      <c r="A60" s="251"/>
    </row>
    <row r="61">
      <c r="A61" s="251"/>
    </row>
    <row r="62">
      <c r="A62" s="251"/>
    </row>
    <row r="63">
      <c r="A63" s="251"/>
    </row>
    <row r="64">
      <c r="A64" s="251"/>
    </row>
    <row r="65">
      <c r="A65" s="251"/>
    </row>
    <row r="66">
      <c r="A66" s="251"/>
    </row>
    <row r="67">
      <c r="A67" s="251"/>
    </row>
    <row r="68">
      <c r="A68" s="251"/>
    </row>
    <row r="69">
      <c r="A69" s="251"/>
    </row>
    <row r="70">
      <c r="A70" s="251"/>
    </row>
    <row r="71">
      <c r="A71" s="251"/>
    </row>
    <row r="72">
      <c r="A72" s="251"/>
    </row>
    <row r="73">
      <c r="A73" s="251"/>
    </row>
    <row r="74">
      <c r="A74" s="251"/>
    </row>
    <row r="75">
      <c r="A75" s="251"/>
    </row>
    <row r="76">
      <c r="A76" s="251"/>
    </row>
    <row r="77">
      <c r="A77" s="251"/>
    </row>
    <row r="78">
      <c r="A78" s="251"/>
    </row>
    <row r="79">
      <c r="A79" s="251"/>
    </row>
    <row r="80">
      <c r="A80" s="251"/>
    </row>
    <row r="81">
      <c r="A81" s="251"/>
    </row>
    <row r="82">
      <c r="A82" s="251"/>
    </row>
    <row r="83">
      <c r="A83" s="251"/>
    </row>
    <row r="84">
      <c r="A84" s="251"/>
    </row>
    <row r="85">
      <c r="A85" s="251"/>
    </row>
    <row r="86">
      <c r="A86" s="251"/>
    </row>
    <row r="87">
      <c r="A87" s="251"/>
    </row>
    <row r="88">
      <c r="A88" s="251"/>
    </row>
    <row r="89">
      <c r="A89" s="251"/>
    </row>
    <row r="90">
      <c r="A90" s="251"/>
    </row>
    <row r="91">
      <c r="A91" s="251"/>
    </row>
    <row r="92">
      <c r="A92" s="251"/>
    </row>
    <row r="93">
      <c r="A93" s="251"/>
    </row>
    <row r="94">
      <c r="A94" s="251"/>
    </row>
    <row r="95">
      <c r="A95" s="251"/>
    </row>
    <row r="96">
      <c r="A96" s="251"/>
    </row>
    <row r="97">
      <c r="A97" s="251"/>
    </row>
    <row r="98">
      <c r="A98" s="251"/>
    </row>
    <row r="99">
      <c r="A99" s="251"/>
    </row>
    <row r="100">
      <c r="A100" s="251"/>
    </row>
    <row r="101">
      <c r="A101" s="251"/>
    </row>
    <row r="102">
      <c r="A102" s="251"/>
    </row>
    <row r="103">
      <c r="A103" s="251"/>
    </row>
    <row r="104">
      <c r="A104" s="251"/>
    </row>
    <row r="105">
      <c r="A105" s="251"/>
    </row>
    <row r="106">
      <c r="A106" s="251"/>
    </row>
    <row r="107">
      <c r="A107" s="251"/>
    </row>
    <row r="108">
      <c r="A108" s="251"/>
    </row>
    <row r="109">
      <c r="A109" s="251"/>
    </row>
    <row r="110">
      <c r="A110" s="251"/>
    </row>
    <row r="111">
      <c r="A111" s="251"/>
    </row>
    <row r="112">
      <c r="A112" s="251"/>
    </row>
    <row r="113">
      <c r="A113" s="251"/>
    </row>
    <row r="114">
      <c r="A114" s="251"/>
    </row>
    <row r="115">
      <c r="A115" s="251"/>
    </row>
    <row r="116">
      <c r="A116" s="251"/>
    </row>
    <row r="117">
      <c r="A117" s="251"/>
    </row>
    <row r="118">
      <c r="A118" s="251"/>
    </row>
    <row r="119">
      <c r="A119" s="251"/>
    </row>
    <row r="120">
      <c r="A120" s="251"/>
    </row>
    <row r="121">
      <c r="A121" s="251"/>
    </row>
    <row r="122">
      <c r="A122" s="251"/>
    </row>
    <row r="123">
      <c r="A123" s="251"/>
    </row>
    <row r="124">
      <c r="A124" s="251"/>
    </row>
    <row r="125">
      <c r="A125" s="251"/>
    </row>
    <row r="126">
      <c r="A126" s="251"/>
    </row>
    <row r="127">
      <c r="A127" s="251"/>
    </row>
    <row r="128">
      <c r="A128" s="251"/>
    </row>
    <row r="129">
      <c r="A129" s="251"/>
    </row>
    <row r="130">
      <c r="A130" s="251"/>
    </row>
    <row r="131">
      <c r="A131" s="251"/>
    </row>
    <row r="132">
      <c r="A132" s="251"/>
    </row>
    <row r="133">
      <c r="A133" s="251"/>
    </row>
    <row r="134">
      <c r="A134" s="251"/>
    </row>
    <row r="135">
      <c r="A135" s="251"/>
    </row>
    <row r="136">
      <c r="A136" s="251"/>
    </row>
    <row r="137">
      <c r="A137" s="251"/>
    </row>
    <row r="138">
      <c r="A138" s="251"/>
    </row>
    <row r="139">
      <c r="A139" s="251"/>
    </row>
    <row r="140">
      <c r="A140" s="251"/>
    </row>
    <row r="141">
      <c r="A141" s="251"/>
    </row>
    <row r="142">
      <c r="A142" s="251"/>
    </row>
    <row r="143">
      <c r="A143" s="251"/>
    </row>
    <row r="144">
      <c r="A144" s="251"/>
    </row>
    <row r="145">
      <c r="A145" s="251"/>
    </row>
    <row r="146">
      <c r="A146" s="251"/>
    </row>
    <row r="147">
      <c r="A147" s="251"/>
    </row>
    <row r="148">
      <c r="A148" s="251"/>
    </row>
    <row r="149">
      <c r="A149" s="251"/>
    </row>
    <row r="150">
      <c r="A150" s="251"/>
    </row>
    <row r="151">
      <c r="A151" s="251"/>
    </row>
    <row r="152">
      <c r="A152" s="251"/>
    </row>
    <row r="153">
      <c r="A153" s="251"/>
    </row>
    <row r="154">
      <c r="A154" s="251"/>
    </row>
    <row r="155">
      <c r="A155" s="251"/>
    </row>
    <row r="156">
      <c r="A156" s="251"/>
    </row>
    <row r="157">
      <c r="A157" s="251"/>
    </row>
    <row r="158">
      <c r="A158" s="251"/>
    </row>
    <row r="159">
      <c r="A159" s="251"/>
    </row>
    <row r="160">
      <c r="A160" s="251"/>
    </row>
    <row r="161">
      <c r="A161" s="251"/>
    </row>
    <row r="162">
      <c r="A162" s="251"/>
    </row>
    <row r="163">
      <c r="A163" s="251"/>
    </row>
    <row r="164">
      <c r="A164" s="251"/>
    </row>
    <row r="165">
      <c r="A165" s="251"/>
    </row>
    <row r="166">
      <c r="A166" s="251"/>
    </row>
    <row r="167">
      <c r="A167" s="251"/>
    </row>
    <row r="168">
      <c r="A168" s="251"/>
    </row>
    <row r="169">
      <c r="A169" s="251"/>
    </row>
    <row r="170">
      <c r="A170" s="251"/>
    </row>
    <row r="171">
      <c r="A171" s="251"/>
    </row>
    <row r="172">
      <c r="A172" s="251"/>
    </row>
    <row r="173">
      <c r="A173" s="251"/>
    </row>
    <row r="174">
      <c r="A174" s="251"/>
    </row>
    <row r="175">
      <c r="A175" s="251"/>
    </row>
    <row r="176">
      <c r="A176" s="251"/>
    </row>
    <row r="177">
      <c r="A177" s="251"/>
    </row>
    <row r="178">
      <c r="A178" s="251"/>
    </row>
    <row r="179">
      <c r="A179" s="251"/>
    </row>
    <row r="180">
      <c r="A180" s="251"/>
    </row>
    <row r="181">
      <c r="A181" s="251"/>
    </row>
    <row r="182">
      <c r="A182" s="251"/>
    </row>
    <row r="183">
      <c r="A183" s="251"/>
    </row>
    <row r="184">
      <c r="A184" s="251"/>
    </row>
    <row r="185">
      <c r="A185" s="251"/>
    </row>
    <row r="186">
      <c r="A186" s="251"/>
    </row>
    <row r="187">
      <c r="A187" s="251"/>
    </row>
    <row r="188">
      <c r="A188" s="251"/>
    </row>
    <row r="189">
      <c r="A189" s="251"/>
    </row>
    <row r="190">
      <c r="A190" s="251"/>
    </row>
    <row r="191">
      <c r="A191" s="251"/>
    </row>
    <row r="192">
      <c r="A192" s="251"/>
    </row>
    <row r="193">
      <c r="A193" s="251"/>
    </row>
    <row r="194">
      <c r="A194" s="251"/>
    </row>
    <row r="195">
      <c r="A195" s="251"/>
    </row>
    <row r="196">
      <c r="A196" s="251"/>
    </row>
    <row r="197">
      <c r="A197" s="251"/>
    </row>
    <row r="198">
      <c r="A198" s="251"/>
    </row>
    <row r="199">
      <c r="A199" s="251"/>
    </row>
    <row r="200">
      <c r="A200" s="251"/>
    </row>
    <row r="201">
      <c r="A201" s="251"/>
    </row>
    <row r="202">
      <c r="A202" s="251"/>
    </row>
    <row r="203">
      <c r="A203" s="251"/>
    </row>
    <row r="204">
      <c r="A204" s="251"/>
    </row>
    <row r="205">
      <c r="A205" s="251"/>
    </row>
    <row r="206">
      <c r="A206" s="251"/>
    </row>
    <row r="207">
      <c r="A207" s="251"/>
    </row>
    <row r="208">
      <c r="A208" s="251"/>
    </row>
    <row r="209">
      <c r="A209" s="251"/>
    </row>
    <row r="210">
      <c r="A210" s="251"/>
    </row>
    <row r="211">
      <c r="A211" s="251"/>
    </row>
    <row r="212">
      <c r="A212" s="251"/>
    </row>
    <row r="213">
      <c r="A213" s="251"/>
    </row>
    <row r="214">
      <c r="A214" s="251"/>
    </row>
    <row r="215">
      <c r="A215" s="251"/>
    </row>
    <row r="216">
      <c r="A216" s="251"/>
    </row>
    <row r="217">
      <c r="A217" s="251"/>
    </row>
    <row r="218">
      <c r="A218" s="251"/>
    </row>
    <row r="219">
      <c r="A219" s="251"/>
    </row>
    <row r="220">
      <c r="A220" s="251"/>
    </row>
    <row r="221">
      <c r="A221" s="251"/>
    </row>
    <row r="222">
      <c r="A222" s="251"/>
    </row>
    <row r="223">
      <c r="A223" s="251"/>
    </row>
    <row r="224">
      <c r="A224" s="251"/>
    </row>
    <row r="225">
      <c r="A225" s="251"/>
    </row>
    <row r="226">
      <c r="A226" s="251"/>
    </row>
    <row r="227">
      <c r="A227" s="251"/>
    </row>
    <row r="228">
      <c r="A228" s="251"/>
    </row>
    <row r="229">
      <c r="A229" s="251"/>
    </row>
    <row r="230">
      <c r="A230" s="251"/>
    </row>
    <row r="231">
      <c r="A231" s="251"/>
    </row>
    <row r="232">
      <c r="A232" s="251"/>
    </row>
    <row r="233">
      <c r="A233" s="251"/>
    </row>
    <row r="234">
      <c r="A234" s="251"/>
    </row>
    <row r="235">
      <c r="A235" s="251"/>
    </row>
    <row r="236">
      <c r="A236" s="251"/>
    </row>
    <row r="237">
      <c r="A237" s="251"/>
    </row>
    <row r="238">
      <c r="A238" s="251"/>
    </row>
    <row r="239">
      <c r="A239" s="251"/>
    </row>
    <row r="240">
      <c r="A240" s="251"/>
    </row>
    <row r="241">
      <c r="A241" s="251"/>
    </row>
    <row r="242">
      <c r="A242" s="251"/>
    </row>
    <row r="243">
      <c r="A243" s="251"/>
    </row>
    <row r="244">
      <c r="A244" s="251"/>
    </row>
    <row r="245">
      <c r="A245" s="251"/>
    </row>
    <row r="246">
      <c r="A246" s="251"/>
    </row>
    <row r="247">
      <c r="A247" s="251"/>
    </row>
    <row r="248">
      <c r="A248" s="251"/>
    </row>
    <row r="249">
      <c r="A249" s="251"/>
    </row>
    <row r="250">
      <c r="A250" s="251"/>
    </row>
    <row r="251">
      <c r="A251" s="251"/>
    </row>
    <row r="252">
      <c r="A252" s="251"/>
    </row>
    <row r="253">
      <c r="A253" s="251"/>
    </row>
    <row r="254">
      <c r="A254" s="251"/>
    </row>
    <row r="255">
      <c r="A255" s="251"/>
    </row>
    <row r="256">
      <c r="A256" s="251"/>
    </row>
    <row r="257">
      <c r="A257" s="251"/>
    </row>
    <row r="258">
      <c r="A258" s="251"/>
    </row>
    <row r="259">
      <c r="A259" s="251"/>
    </row>
    <row r="260">
      <c r="A260" s="251"/>
    </row>
    <row r="261">
      <c r="A261" s="251"/>
    </row>
    <row r="262">
      <c r="A262" s="251"/>
    </row>
    <row r="263">
      <c r="A263" s="251"/>
    </row>
    <row r="264">
      <c r="A264" s="251"/>
    </row>
    <row r="265">
      <c r="A265" s="251"/>
    </row>
    <row r="266">
      <c r="A266" s="251"/>
    </row>
    <row r="267">
      <c r="A267" s="251"/>
    </row>
    <row r="268">
      <c r="A268" s="251"/>
    </row>
    <row r="269">
      <c r="A269" s="251"/>
    </row>
    <row r="270">
      <c r="A270" s="251"/>
    </row>
    <row r="271">
      <c r="A271" s="251"/>
    </row>
    <row r="272">
      <c r="A272" s="251"/>
    </row>
    <row r="273">
      <c r="A273" s="251"/>
    </row>
    <row r="274">
      <c r="A274" s="251"/>
    </row>
    <row r="275">
      <c r="A275" s="251"/>
    </row>
    <row r="276">
      <c r="A276" s="251"/>
    </row>
    <row r="277">
      <c r="A277" s="251"/>
    </row>
    <row r="278">
      <c r="A278" s="251"/>
    </row>
    <row r="279">
      <c r="A279" s="251"/>
    </row>
    <row r="280">
      <c r="A280" s="251"/>
    </row>
    <row r="281">
      <c r="A281" s="251"/>
    </row>
    <row r="282">
      <c r="A282" s="251"/>
    </row>
    <row r="283">
      <c r="A283" s="251"/>
    </row>
    <row r="284">
      <c r="A284" s="251"/>
    </row>
    <row r="285">
      <c r="A285" s="251"/>
    </row>
    <row r="286">
      <c r="A286" s="251"/>
    </row>
    <row r="287">
      <c r="A287" s="251"/>
    </row>
    <row r="288">
      <c r="A288" s="251"/>
    </row>
    <row r="289">
      <c r="A289" s="251"/>
    </row>
    <row r="290">
      <c r="A290" s="251"/>
    </row>
    <row r="291">
      <c r="A291" s="251"/>
    </row>
    <row r="292">
      <c r="A292" s="251"/>
    </row>
    <row r="293">
      <c r="A293" s="251"/>
    </row>
    <row r="294">
      <c r="A294" s="251"/>
    </row>
    <row r="295">
      <c r="A295" s="251"/>
    </row>
    <row r="296">
      <c r="A296" s="251"/>
    </row>
    <row r="297">
      <c r="A297" s="251"/>
    </row>
    <row r="298">
      <c r="A298" s="251"/>
    </row>
    <row r="299">
      <c r="A299" s="251"/>
    </row>
    <row r="300">
      <c r="A300" s="251"/>
    </row>
    <row r="301">
      <c r="A301" s="251"/>
    </row>
    <row r="302">
      <c r="A302" s="251"/>
    </row>
    <row r="303">
      <c r="A303" s="251"/>
    </row>
    <row r="304">
      <c r="A304" s="251"/>
    </row>
    <row r="305">
      <c r="A305" s="251"/>
    </row>
    <row r="306">
      <c r="A306" s="251"/>
    </row>
    <row r="307">
      <c r="A307" s="251"/>
    </row>
    <row r="308">
      <c r="A308" s="251"/>
    </row>
    <row r="309">
      <c r="A309" s="251"/>
    </row>
    <row r="310">
      <c r="A310" s="251"/>
    </row>
    <row r="311">
      <c r="A311" s="251"/>
    </row>
    <row r="312">
      <c r="A312" s="251"/>
    </row>
    <row r="313">
      <c r="A313" s="251"/>
    </row>
    <row r="314">
      <c r="A314" s="251"/>
    </row>
    <row r="315">
      <c r="A315" s="251"/>
    </row>
    <row r="316">
      <c r="A316" s="251"/>
    </row>
    <row r="317">
      <c r="A317" s="251"/>
    </row>
    <row r="318">
      <c r="A318" s="251"/>
    </row>
    <row r="319">
      <c r="A319" s="251"/>
    </row>
    <row r="320">
      <c r="A320" s="251"/>
    </row>
    <row r="321">
      <c r="A321" s="251"/>
    </row>
    <row r="322">
      <c r="A322" s="251"/>
    </row>
    <row r="323">
      <c r="A323" s="251"/>
    </row>
    <row r="324">
      <c r="A324" s="251"/>
    </row>
    <row r="325">
      <c r="A325" s="251"/>
    </row>
    <row r="326">
      <c r="A326" s="251"/>
    </row>
    <row r="327">
      <c r="A327" s="251"/>
    </row>
    <row r="328">
      <c r="A328" s="251"/>
    </row>
    <row r="329">
      <c r="A329" s="251"/>
    </row>
    <row r="330">
      <c r="A330" s="251"/>
    </row>
    <row r="331">
      <c r="A331" s="251"/>
    </row>
    <row r="332">
      <c r="A332" s="251"/>
    </row>
    <row r="333">
      <c r="A333" s="251"/>
    </row>
    <row r="334">
      <c r="A334" s="251"/>
    </row>
    <row r="335">
      <c r="A335" s="251"/>
    </row>
    <row r="336">
      <c r="A336" s="251"/>
    </row>
    <row r="337">
      <c r="A337" s="251"/>
    </row>
    <row r="338">
      <c r="A338" s="251"/>
    </row>
    <row r="339">
      <c r="A339" s="251"/>
    </row>
    <row r="340">
      <c r="A340" s="251"/>
    </row>
    <row r="341">
      <c r="A341" s="251"/>
    </row>
    <row r="342">
      <c r="A342" s="251"/>
    </row>
    <row r="343">
      <c r="A343" s="251"/>
    </row>
    <row r="344">
      <c r="A344" s="251"/>
    </row>
    <row r="345">
      <c r="A345" s="251"/>
    </row>
    <row r="346">
      <c r="A346" s="251"/>
    </row>
    <row r="347">
      <c r="A347" s="251"/>
    </row>
    <row r="348">
      <c r="A348" s="251"/>
    </row>
    <row r="349">
      <c r="A349" s="251"/>
    </row>
    <row r="350">
      <c r="A350" s="251"/>
    </row>
    <row r="351">
      <c r="A351" s="251"/>
    </row>
    <row r="352">
      <c r="A352" s="251"/>
    </row>
    <row r="353">
      <c r="A353" s="251"/>
    </row>
    <row r="354">
      <c r="A354" s="251"/>
    </row>
    <row r="355">
      <c r="A355" s="251"/>
    </row>
    <row r="356">
      <c r="A356" s="251"/>
    </row>
    <row r="357">
      <c r="A357" s="251"/>
    </row>
    <row r="358">
      <c r="A358" s="251"/>
    </row>
    <row r="359">
      <c r="A359" s="251"/>
    </row>
    <row r="360">
      <c r="A360" s="251"/>
    </row>
    <row r="361">
      <c r="A361" s="251"/>
    </row>
    <row r="362">
      <c r="A362" s="251"/>
    </row>
    <row r="363">
      <c r="A363" s="251"/>
    </row>
    <row r="364">
      <c r="A364" s="251"/>
    </row>
    <row r="365">
      <c r="A365" s="251"/>
    </row>
    <row r="366">
      <c r="A366" s="251"/>
    </row>
    <row r="367">
      <c r="A367" s="251"/>
    </row>
    <row r="368">
      <c r="A368" s="251"/>
    </row>
    <row r="369">
      <c r="A369" s="251"/>
    </row>
    <row r="370">
      <c r="A370" s="251"/>
    </row>
    <row r="371">
      <c r="A371" s="251"/>
    </row>
    <row r="372">
      <c r="A372" s="251"/>
    </row>
    <row r="373">
      <c r="A373" s="251"/>
    </row>
    <row r="374">
      <c r="A374" s="251"/>
    </row>
    <row r="375">
      <c r="A375" s="251"/>
    </row>
    <row r="376">
      <c r="A376" s="251"/>
    </row>
    <row r="377">
      <c r="A377" s="251"/>
    </row>
    <row r="378">
      <c r="A378" s="251"/>
    </row>
    <row r="379">
      <c r="A379" s="251"/>
    </row>
    <row r="380">
      <c r="A380" s="251"/>
    </row>
    <row r="381">
      <c r="A381" s="251"/>
    </row>
    <row r="382">
      <c r="A382" s="251"/>
    </row>
    <row r="383">
      <c r="A383" s="251"/>
    </row>
    <row r="384">
      <c r="A384" s="251"/>
    </row>
    <row r="385">
      <c r="A385" s="251"/>
    </row>
    <row r="386">
      <c r="A386" s="251"/>
    </row>
    <row r="387">
      <c r="A387" s="251"/>
    </row>
    <row r="388">
      <c r="A388" s="251"/>
    </row>
    <row r="389">
      <c r="A389" s="251"/>
    </row>
    <row r="390">
      <c r="A390" s="251"/>
    </row>
    <row r="391">
      <c r="A391" s="251"/>
    </row>
    <row r="392">
      <c r="A392" s="251"/>
    </row>
    <row r="393">
      <c r="A393" s="251"/>
    </row>
    <row r="394">
      <c r="A394" s="251"/>
    </row>
    <row r="395">
      <c r="A395" s="251"/>
    </row>
    <row r="396">
      <c r="A396" s="251"/>
    </row>
    <row r="397">
      <c r="A397" s="251"/>
    </row>
    <row r="398">
      <c r="A398" s="251"/>
    </row>
    <row r="399">
      <c r="A399" s="251"/>
    </row>
    <row r="400">
      <c r="A400" s="251"/>
    </row>
    <row r="401">
      <c r="A401" s="251"/>
    </row>
    <row r="402">
      <c r="A402" s="251"/>
    </row>
    <row r="403">
      <c r="A403" s="251"/>
    </row>
    <row r="404">
      <c r="A404" s="251"/>
    </row>
    <row r="405">
      <c r="A405" s="251"/>
    </row>
    <row r="406">
      <c r="A406" s="251"/>
    </row>
    <row r="407">
      <c r="A407" s="251"/>
    </row>
    <row r="408">
      <c r="A408" s="251"/>
    </row>
    <row r="409">
      <c r="A409" s="251"/>
    </row>
    <row r="410">
      <c r="A410" s="251"/>
    </row>
    <row r="411">
      <c r="A411" s="251"/>
    </row>
    <row r="412">
      <c r="A412" s="251"/>
    </row>
    <row r="413">
      <c r="A413" s="251"/>
    </row>
    <row r="414">
      <c r="A414" s="251"/>
    </row>
    <row r="415">
      <c r="A415" s="251"/>
    </row>
    <row r="416">
      <c r="A416" s="251"/>
    </row>
    <row r="417">
      <c r="A417" s="251"/>
    </row>
    <row r="418">
      <c r="A418" s="251"/>
    </row>
    <row r="419">
      <c r="A419" s="251"/>
    </row>
    <row r="420">
      <c r="A420" s="251"/>
    </row>
    <row r="421">
      <c r="A421" s="251"/>
    </row>
    <row r="422">
      <c r="A422" s="251"/>
    </row>
    <row r="423">
      <c r="A423" s="251"/>
    </row>
    <row r="424">
      <c r="A424" s="251"/>
    </row>
    <row r="425">
      <c r="A425" s="251"/>
    </row>
    <row r="426">
      <c r="A426" s="251"/>
    </row>
    <row r="427">
      <c r="A427" s="251"/>
    </row>
    <row r="428">
      <c r="A428" s="251"/>
    </row>
    <row r="429">
      <c r="A429" s="251"/>
    </row>
    <row r="430">
      <c r="A430" s="251"/>
    </row>
    <row r="431">
      <c r="A431" s="251"/>
    </row>
    <row r="432">
      <c r="A432" s="251"/>
    </row>
    <row r="433">
      <c r="A433" s="251"/>
    </row>
    <row r="434">
      <c r="A434" s="251"/>
    </row>
    <row r="435">
      <c r="A435" s="251"/>
    </row>
    <row r="436">
      <c r="A436" s="251"/>
    </row>
    <row r="437">
      <c r="A437" s="251"/>
    </row>
    <row r="438">
      <c r="A438" s="251"/>
    </row>
    <row r="439">
      <c r="A439" s="251"/>
    </row>
    <row r="440">
      <c r="A440" s="251"/>
    </row>
    <row r="441">
      <c r="A441" s="251"/>
    </row>
    <row r="442">
      <c r="A442" s="251"/>
    </row>
    <row r="443">
      <c r="A443" s="251"/>
    </row>
    <row r="444">
      <c r="A444" s="251"/>
    </row>
    <row r="445">
      <c r="A445" s="251"/>
    </row>
    <row r="446">
      <c r="A446" s="251"/>
    </row>
    <row r="447">
      <c r="A447" s="251"/>
    </row>
    <row r="448">
      <c r="A448" s="251"/>
    </row>
    <row r="449">
      <c r="A449" s="251"/>
    </row>
    <row r="450">
      <c r="A450" s="251"/>
    </row>
    <row r="451">
      <c r="A451" s="251"/>
    </row>
    <row r="452">
      <c r="A452" s="251"/>
    </row>
    <row r="453">
      <c r="A453" s="251"/>
    </row>
    <row r="454">
      <c r="A454" s="251"/>
    </row>
    <row r="455">
      <c r="A455" s="251"/>
    </row>
    <row r="456">
      <c r="A456" s="251"/>
    </row>
    <row r="457">
      <c r="A457" s="251"/>
    </row>
    <row r="458">
      <c r="A458" s="251"/>
    </row>
    <row r="459">
      <c r="A459" s="251"/>
    </row>
    <row r="460">
      <c r="A460" s="251"/>
    </row>
    <row r="461">
      <c r="A461" s="251"/>
    </row>
    <row r="462">
      <c r="A462" s="251"/>
    </row>
    <row r="463">
      <c r="A463" s="251"/>
    </row>
    <row r="464">
      <c r="A464" s="251"/>
    </row>
    <row r="465">
      <c r="A465" s="251"/>
    </row>
    <row r="466">
      <c r="A466" s="251"/>
    </row>
    <row r="467">
      <c r="A467" s="251"/>
    </row>
    <row r="468">
      <c r="A468" s="251"/>
    </row>
    <row r="469">
      <c r="A469" s="251"/>
    </row>
    <row r="470">
      <c r="A470" s="251"/>
    </row>
    <row r="471">
      <c r="A471" s="251"/>
    </row>
    <row r="472">
      <c r="A472" s="251"/>
    </row>
    <row r="473">
      <c r="A473" s="251"/>
    </row>
    <row r="474">
      <c r="A474" s="251"/>
    </row>
    <row r="475">
      <c r="A475" s="251"/>
    </row>
    <row r="476">
      <c r="A476" s="251"/>
    </row>
    <row r="477">
      <c r="A477" s="251"/>
    </row>
    <row r="478">
      <c r="A478" s="251"/>
    </row>
    <row r="479">
      <c r="A479" s="251"/>
    </row>
    <row r="480">
      <c r="A480" s="251"/>
    </row>
    <row r="481">
      <c r="A481" s="251"/>
    </row>
    <row r="482">
      <c r="A482" s="251"/>
    </row>
    <row r="483">
      <c r="A483" s="251"/>
    </row>
    <row r="484">
      <c r="A484" s="251"/>
    </row>
    <row r="485">
      <c r="A485" s="251"/>
    </row>
    <row r="486">
      <c r="A486" s="251"/>
    </row>
    <row r="487">
      <c r="A487" s="251"/>
    </row>
    <row r="488">
      <c r="A488" s="251"/>
    </row>
    <row r="489">
      <c r="A489" s="251"/>
    </row>
    <row r="490">
      <c r="A490" s="251"/>
    </row>
    <row r="491">
      <c r="A491" s="251"/>
    </row>
    <row r="492">
      <c r="A492" s="251"/>
    </row>
    <row r="493">
      <c r="A493" s="251"/>
    </row>
    <row r="494">
      <c r="A494" s="251"/>
    </row>
    <row r="495">
      <c r="A495" s="251"/>
    </row>
    <row r="496">
      <c r="A496" s="251"/>
    </row>
    <row r="497">
      <c r="A497" s="251"/>
    </row>
    <row r="498">
      <c r="A498" s="251"/>
    </row>
    <row r="499">
      <c r="A499" s="251"/>
    </row>
    <row r="500">
      <c r="A500" s="251"/>
    </row>
    <row r="501">
      <c r="A501" s="251"/>
    </row>
    <row r="502">
      <c r="A502" s="251"/>
    </row>
    <row r="503">
      <c r="A503" s="251"/>
    </row>
    <row r="504">
      <c r="A504" s="251"/>
    </row>
    <row r="505">
      <c r="A505" s="251"/>
    </row>
    <row r="506">
      <c r="A506" s="251"/>
    </row>
    <row r="507">
      <c r="A507" s="251"/>
    </row>
    <row r="508">
      <c r="A508" s="251"/>
    </row>
    <row r="509">
      <c r="A509" s="251"/>
    </row>
    <row r="510">
      <c r="A510" s="251"/>
    </row>
    <row r="511">
      <c r="A511" s="251"/>
    </row>
    <row r="512">
      <c r="A512" s="251"/>
    </row>
    <row r="513">
      <c r="A513" s="251"/>
    </row>
    <row r="514">
      <c r="A514" s="251"/>
    </row>
    <row r="515">
      <c r="A515" s="251"/>
    </row>
    <row r="516">
      <c r="A516" s="251"/>
    </row>
    <row r="517">
      <c r="A517" s="251"/>
    </row>
    <row r="518">
      <c r="A518" s="251"/>
    </row>
    <row r="519">
      <c r="A519" s="251"/>
    </row>
    <row r="520">
      <c r="A520" s="251"/>
    </row>
    <row r="521">
      <c r="A521" s="251"/>
    </row>
    <row r="522">
      <c r="A522" s="251"/>
    </row>
    <row r="523">
      <c r="A523" s="251"/>
    </row>
    <row r="524">
      <c r="A524" s="251"/>
    </row>
    <row r="525">
      <c r="A525" s="251"/>
    </row>
    <row r="526">
      <c r="A526" s="251"/>
    </row>
    <row r="527">
      <c r="A527" s="251"/>
    </row>
    <row r="528">
      <c r="A528" s="251"/>
    </row>
    <row r="529">
      <c r="A529" s="251"/>
    </row>
    <row r="530">
      <c r="A530" s="251"/>
    </row>
    <row r="531">
      <c r="A531" s="251"/>
    </row>
    <row r="532">
      <c r="A532" s="251"/>
    </row>
    <row r="533">
      <c r="A533" s="251"/>
    </row>
    <row r="534">
      <c r="A534" s="251"/>
    </row>
    <row r="535">
      <c r="A535" s="251"/>
    </row>
    <row r="536">
      <c r="A536" s="251"/>
    </row>
    <row r="537">
      <c r="A537" s="251"/>
    </row>
    <row r="538">
      <c r="A538" s="251"/>
    </row>
    <row r="539">
      <c r="A539" s="251"/>
    </row>
    <row r="540">
      <c r="A540" s="251"/>
    </row>
    <row r="541">
      <c r="A541" s="251"/>
    </row>
    <row r="542">
      <c r="A542" s="251"/>
    </row>
    <row r="543">
      <c r="A543" s="251"/>
    </row>
    <row r="544">
      <c r="A544" s="251"/>
    </row>
    <row r="545">
      <c r="A545" s="251"/>
    </row>
    <row r="546">
      <c r="A546" s="251"/>
    </row>
    <row r="547">
      <c r="A547" s="251"/>
    </row>
    <row r="548">
      <c r="A548" s="251"/>
    </row>
    <row r="549">
      <c r="A549" s="251"/>
    </row>
    <row r="550">
      <c r="A550" s="251"/>
    </row>
    <row r="551">
      <c r="A551" s="251"/>
    </row>
    <row r="552">
      <c r="A552" s="251"/>
    </row>
    <row r="553">
      <c r="A553" s="251"/>
    </row>
    <row r="554">
      <c r="A554" s="251"/>
    </row>
    <row r="555">
      <c r="A555" s="251"/>
    </row>
    <row r="556">
      <c r="A556" s="251"/>
    </row>
    <row r="557">
      <c r="A557" s="251"/>
    </row>
    <row r="558">
      <c r="A558" s="251"/>
    </row>
    <row r="559">
      <c r="A559" s="251"/>
    </row>
    <row r="560">
      <c r="A560" s="251"/>
    </row>
    <row r="561">
      <c r="A561" s="251"/>
    </row>
    <row r="562">
      <c r="A562" s="251"/>
    </row>
    <row r="563">
      <c r="A563" s="251"/>
    </row>
    <row r="564">
      <c r="A564" s="251"/>
    </row>
    <row r="565">
      <c r="A565" s="251"/>
    </row>
    <row r="566">
      <c r="A566" s="251"/>
    </row>
    <row r="567">
      <c r="A567" s="251"/>
    </row>
    <row r="568">
      <c r="A568" s="251"/>
    </row>
    <row r="569">
      <c r="A569" s="251"/>
    </row>
    <row r="570">
      <c r="A570" s="251"/>
    </row>
    <row r="571">
      <c r="A571" s="251"/>
    </row>
    <row r="572">
      <c r="A572" s="251"/>
    </row>
    <row r="573">
      <c r="A573" s="251"/>
    </row>
    <row r="574">
      <c r="A574" s="251"/>
    </row>
    <row r="575">
      <c r="A575" s="251"/>
    </row>
    <row r="576">
      <c r="A576" s="251"/>
    </row>
    <row r="577">
      <c r="A577" s="251"/>
    </row>
    <row r="578">
      <c r="A578" s="251"/>
    </row>
    <row r="579">
      <c r="A579" s="251"/>
    </row>
    <row r="580">
      <c r="A580" s="251"/>
    </row>
    <row r="581">
      <c r="A581" s="251"/>
    </row>
    <row r="582">
      <c r="A582" s="251"/>
    </row>
    <row r="583">
      <c r="A583" s="251"/>
    </row>
    <row r="584">
      <c r="A584" s="251"/>
    </row>
    <row r="585">
      <c r="A585" s="251"/>
    </row>
    <row r="586">
      <c r="A586" s="251"/>
    </row>
    <row r="587">
      <c r="A587" s="251"/>
    </row>
    <row r="588">
      <c r="A588" s="251"/>
    </row>
    <row r="589">
      <c r="A589" s="251"/>
    </row>
    <row r="590">
      <c r="A590" s="251"/>
    </row>
    <row r="591">
      <c r="A591" s="251"/>
    </row>
    <row r="592">
      <c r="A592" s="251"/>
    </row>
    <row r="593">
      <c r="A593" s="251"/>
    </row>
    <row r="594">
      <c r="A594" s="251"/>
    </row>
    <row r="595">
      <c r="A595" s="251"/>
    </row>
    <row r="596">
      <c r="A596" s="251"/>
    </row>
    <row r="597">
      <c r="A597" s="251"/>
    </row>
    <row r="598">
      <c r="A598" s="251"/>
    </row>
    <row r="599">
      <c r="A599" s="251"/>
    </row>
    <row r="600">
      <c r="A600" s="251"/>
    </row>
    <row r="601">
      <c r="A601" s="251"/>
    </row>
    <row r="602">
      <c r="A602" s="251"/>
    </row>
    <row r="603">
      <c r="A603" s="251"/>
    </row>
    <row r="604">
      <c r="A604" s="251"/>
    </row>
    <row r="605">
      <c r="A605" s="251"/>
    </row>
    <row r="606">
      <c r="A606" s="251"/>
    </row>
    <row r="607">
      <c r="A607" s="251"/>
    </row>
    <row r="608">
      <c r="A608" s="251"/>
    </row>
    <row r="609">
      <c r="A609" s="251"/>
    </row>
    <row r="610">
      <c r="A610" s="251"/>
    </row>
    <row r="611">
      <c r="A611" s="251"/>
    </row>
    <row r="612">
      <c r="A612" s="251"/>
    </row>
    <row r="613">
      <c r="A613" s="251"/>
    </row>
    <row r="614">
      <c r="A614" s="251"/>
    </row>
    <row r="615">
      <c r="A615" s="251"/>
    </row>
    <row r="616">
      <c r="A616" s="251"/>
    </row>
    <row r="617">
      <c r="A617" s="251"/>
    </row>
    <row r="618">
      <c r="A618" s="251"/>
    </row>
    <row r="619">
      <c r="A619" s="251"/>
    </row>
    <row r="620">
      <c r="A620" s="251"/>
    </row>
    <row r="621">
      <c r="A621" s="251"/>
    </row>
    <row r="622">
      <c r="A622" s="251"/>
    </row>
    <row r="623">
      <c r="A623" s="251"/>
    </row>
    <row r="624">
      <c r="A624" s="251"/>
    </row>
    <row r="625">
      <c r="A625" s="251"/>
    </row>
    <row r="626">
      <c r="A626" s="251"/>
    </row>
    <row r="627">
      <c r="A627" s="251"/>
    </row>
    <row r="628">
      <c r="A628" s="251"/>
    </row>
    <row r="629">
      <c r="A629" s="251"/>
    </row>
    <row r="630">
      <c r="A630" s="251"/>
    </row>
    <row r="631">
      <c r="A631" s="251"/>
    </row>
    <row r="632">
      <c r="A632" s="251"/>
    </row>
    <row r="633">
      <c r="A633" s="251"/>
    </row>
    <row r="634">
      <c r="A634" s="251"/>
    </row>
    <row r="635">
      <c r="A635" s="251"/>
    </row>
    <row r="636">
      <c r="A636" s="251"/>
    </row>
    <row r="637">
      <c r="A637" s="251"/>
    </row>
    <row r="638">
      <c r="A638" s="251"/>
    </row>
    <row r="639">
      <c r="A639" s="251"/>
    </row>
    <row r="640">
      <c r="A640" s="251"/>
    </row>
    <row r="641">
      <c r="A641" s="251"/>
    </row>
    <row r="642">
      <c r="A642" s="251"/>
    </row>
    <row r="643">
      <c r="A643" s="251"/>
    </row>
    <row r="644">
      <c r="A644" s="251"/>
    </row>
    <row r="645">
      <c r="A645" s="251"/>
    </row>
    <row r="646">
      <c r="A646" s="251"/>
    </row>
    <row r="647">
      <c r="A647" s="251"/>
    </row>
    <row r="648">
      <c r="A648" s="251"/>
    </row>
    <row r="649">
      <c r="A649" s="251"/>
    </row>
    <row r="650">
      <c r="A650" s="251"/>
    </row>
    <row r="651">
      <c r="A651" s="251"/>
    </row>
    <row r="652">
      <c r="A652" s="251"/>
    </row>
    <row r="653">
      <c r="A653" s="251"/>
    </row>
    <row r="654">
      <c r="A654" s="251"/>
    </row>
    <row r="655">
      <c r="A655" s="251"/>
    </row>
    <row r="656">
      <c r="A656" s="251"/>
    </row>
    <row r="657">
      <c r="A657" s="251"/>
    </row>
    <row r="658">
      <c r="A658" s="251"/>
    </row>
    <row r="659">
      <c r="A659" s="251"/>
    </row>
    <row r="660">
      <c r="A660" s="251"/>
    </row>
    <row r="661">
      <c r="A661" s="251"/>
    </row>
    <row r="662">
      <c r="A662" s="251"/>
    </row>
    <row r="663">
      <c r="A663" s="251"/>
    </row>
    <row r="664">
      <c r="A664" s="251"/>
    </row>
    <row r="665">
      <c r="A665" s="251"/>
    </row>
    <row r="666">
      <c r="A666" s="251"/>
    </row>
    <row r="667">
      <c r="A667" s="251"/>
    </row>
    <row r="668">
      <c r="A668" s="251"/>
    </row>
    <row r="669">
      <c r="A669" s="251"/>
    </row>
    <row r="670">
      <c r="A670" s="251"/>
    </row>
    <row r="671">
      <c r="A671" s="251"/>
    </row>
    <row r="672">
      <c r="A672" s="251"/>
    </row>
    <row r="673">
      <c r="A673" s="251"/>
    </row>
    <row r="674">
      <c r="A674" s="251"/>
    </row>
    <row r="675">
      <c r="A675" s="251"/>
    </row>
    <row r="676">
      <c r="A676" s="251"/>
    </row>
    <row r="677">
      <c r="A677" s="251"/>
    </row>
    <row r="678">
      <c r="A678" s="251"/>
    </row>
    <row r="679">
      <c r="A679" s="251"/>
    </row>
    <row r="680">
      <c r="A680" s="251"/>
    </row>
    <row r="681">
      <c r="A681" s="251"/>
    </row>
    <row r="682">
      <c r="A682" s="251"/>
    </row>
    <row r="683">
      <c r="A683" s="251"/>
    </row>
    <row r="684">
      <c r="A684" s="251"/>
    </row>
    <row r="685">
      <c r="A685" s="251"/>
    </row>
    <row r="686">
      <c r="A686" s="251"/>
    </row>
    <row r="687">
      <c r="A687" s="251"/>
    </row>
    <row r="688">
      <c r="A688" s="251"/>
    </row>
    <row r="689">
      <c r="A689" s="251"/>
    </row>
    <row r="690">
      <c r="A690" s="251"/>
    </row>
    <row r="691">
      <c r="A691" s="251"/>
    </row>
    <row r="692">
      <c r="A692" s="251"/>
    </row>
    <row r="693">
      <c r="A693" s="251"/>
    </row>
    <row r="694">
      <c r="A694" s="251"/>
    </row>
    <row r="695">
      <c r="A695" s="251"/>
    </row>
    <row r="696">
      <c r="A696" s="251"/>
    </row>
    <row r="697">
      <c r="A697" s="251"/>
    </row>
    <row r="698">
      <c r="A698" s="251"/>
    </row>
    <row r="699">
      <c r="A699" s="251"/>
    </row>
    <row r="700">
      <c r="A700" s="251"/>
    </row>
    <row r="701">
      <c r="A701" s="251"/>
    </row>
    <row r="702">
      <c r="A702" s="251"/>
    </row>
    <row r="703">
      <c r="A703" s="251"/>
    </row>
    <row r="704">
      <c r="A704" s="251"/>
    </row>
    <row r="705">
      <c r="A705" s="251"/>
    </row>
    <row r="706">
      <c r="A706" s="251"/>
    </row>
    <row r="707">
      <c r="A707" s="251"/>
    </row>
    <row r="708">
      <c r="A708" s="251"/>
    </row>
    <row r="709">
      <c r="A709" s="251"/>
    </row>
    <row r="710">
      <c r="A710" s="251"/>
    </row>
    <row r="711">
      <c r="A711" s="251"/>
    </row>
    <row r="712">
      <c r="A712" s="251"/>
    </row>
    <row r="713">
      <c r="A713" s="251"/>
    </row>
    <row r="714">
      <c r="A714" s="251"/>
    </row>
    <row r="715">
      <c r="A715" s="251"/>
    </row>
    <row r="716">
      <c r="A716" s="251"/>
    </row>
    <row r="717">
      <c r="A717" s="251"/>
    </row>
    <row r="718">
      <c r="A718" s="251"/>
    </row>
    <row r="719">
      <c r="A719" s="251"/>
    </row>
    <row r="720">
      <c r="A720" s="251"/>
    </row>
    <row r="721">
      <c r="A721" s="251"/>
    </row>
    <row r="722">
      <c r="A722" s="251"/>
    </row>
    <row r="723">
      <c r="A723" s="251"/>
    </row>
    <row r="724">
      <c r="A724" s="251"/>
    </row>
    <row r="725">
      <c r="A725" s="251"/>
    </row>
    <row r="726">
      <c r="A726" s="251"/>
    </row>
    <row r="727">
      <c r="A727" s="251"/>
    </row>
    <row r="728">
      <c r="A728" s="251"/>
    </row>
    <row r="729">
      <c r="A729" s="251"/>
    </row>
    <row r="730">
      <c r="A730" s="251"/>
    </row>
    <row r="731">
      <c r="A731" s="251"/>
    </row>
    <row r="732">
      <c r="A732" s="251"/>
    </row>
    <row r="733">
      <c r="A733" s="251"/>
    </row>
    <row r="734">
      <c r="A734" s="251"/>
    </row>
    <row r="735">
      <c r="A735" s="251"/>
    </row>
    <row r="736">
      <c r="A736" s="251"/>
    </row>
    <row r="737">
      <c r="A737" s="251"/>
    </row>
    <row r="738">
      <c r="A738" s="251"/>
    </row>
    <row r="739">
      <c r="A739" s="251"/>
    </row>
    <row r="740">
      <c r="A740" s="251"/>
    </row>
    <row r="741">
      <c r="A741" s="251"/>
    </row>
    <row r="742">
      <c r="A742" s="251"/>
    </row>
    <row r="743">
      <c r="A743" s="251"/>
    </row>
    <row r="744">
      <c r="A744" s="251"/>
    </row>
    <row r="745">
      <c r="A745" s="251"/>
    </row>
    <row r="746">
      <c r="A746" s="251"/>
    </row>
    <row r="747">
      <c r="A747" s="251"/>
    </row>
    <row r="748">
      <c r="A748" s="251"/>
    </row>
    <row r="749">
      <c r="A749" s="251"/>
    </row>
    <row r="750">
      <c r="A750" s="251"/>
    </row>
    <row r="751">
      <c r="A751" s="251"/>
    </row>
    <row r="752">
      <c r="A752" s="251"/>
    </row>
    <row r="753">
      <c r="A753" s="251"/>
    </row>
    <row r="754">
      <c r="A754" s="251"/>
    </row>
    <row r="755">
      <c r="A755" s="251"/>
    </row>
    <row r="756">
      <c r="A756" s="251"/>
    </row>
    <row r="757">
      <c r="A757" s="251"/>
    </row>
    <row r="758">
      <c r="A758" s="251"/>
    </row>
    <row r="759">
      <c r="A759" s="251"/>
    </row>
    <row r="760">
      <c r="A760" s="251"/>
    </row>
    <row r="761">
      <c r="A761" s="251"/>
    </row>
    <row r="762">
      <c r="A762" s="251"/>
    </row>
    <row r="763">
      <c r="A763" s="251"/>
    </row>
    <row r="764">
      <c r="A764" s="251"/>
    </row>
    <row r="765">
      <c r="A765" s="251"/>
    </row>
    <row r="766">
      <c r="A766" s="251"/>
    </row>
    <row r="767">
      <c r="A767" s="251"/>
    </row>
    <row r="768">
      <c r="A768" s="251"/>
    </row>
    <row r="769">
      <c r="A769" s="251"/>
    </row>
    <row r="770">
      <c r="A770" s="251"/>
    </row>
    <row r="771">
      <c r="A771" s="251"/>
    </row>
    <row r="772">
      <c r="A772" s="251"/>
    </row>
    <row r="773">
      <c r="A773" s="251"/>
    </row>
    <row r="774">
      <c r="A774" s="251"/>
    </row>
    <row r="775">
      <c r="A775" s="251"/>
    </row>
    <row r="776">
      <c r="A776" s="251"/>
    </row>
    <row r="777">
      <c r="A777" s="251"/>
    </row>
    <row r="778">
      <c r="A778" s="251"/>
    </row>
    <row r="779">
      <c r="A779" s="251"/>
    </row>
    <row r="780">
      <c r="A780" s="251"/>
    </row>
    <row r="781">
      <c r="A781" s="251"/>
    </row>
    <row r="782">
      <c r="A782" s="251"/>
    </row>
    <row r="783">
      <c r="A783" s="251"/>
    </row>
    <row r="784">
      <c r="A784" s="251"/>
    </row>
    <row r="785">
      <c r="A785" s="251"/>
    </row>
    <row r="786">
      <c r="A786" s="251"/>
    </row>
    <row r="787">
      <c r="A787" s="251"/>
    </row>
    <row r="788">
      <c r="A788" s="251"/>
    </row>
    <row r="789">
      <c r="A789" s="251"/>
    </row>
    <row r="790">
      <c r="A790" s="251"/>
    </row>
    <row r="791">
      <c r="A791" s="251"/>
    </row>
    <row r="792">
      <c r="A792" s="251"/>
    </row>
    <row r="793">
      <c r="A793" s="251"/>
    </row>
    <row r="794">
      <c r="A794" s="251"/>
    </row>
    <row r="795">
      <c r="A795" s="251"/>
    </row>
    <row r="796">
      <c r="A796" s="251"/>
    </row>
    <row r="797">
      <c r="A797" s="251"/>
    </row>
    <row r="798">
      <c r="A798" s="251"/>
    </row>
    <row r="799">
      <c r="A799" s="251"/>
    </row>
    <row r="800">
      <c r="A800" s="251"/>
    </row>
    <row r="801">
      <c r="A801" s="251"/>
    </row>
    <row r="802">
      <c r="A802" s="251"/>
    </row>
    <row r="803">
      <c r="A803" s="251"/>
    </row>
    <row r="804">
      <c r="A804" s="251"/>
    </row>
    <row r="805">
      <c r="A805" s="251"/>
    </row>
    <row r="806">
      <c r="A806" s="251"/>
    </row>
    <row r="807">
      <c r="A807" s="251"/>
    </row>
    <row r="808">
      <c r="A808" s="251"/>
    </row>
    <row r="809">
      <c r="A809" s="251"/>
    </row>
    <row r="810">
      <c r="A810" s="251"/>
    </row>
    <row r="811">
      <c r="A811" s="251"/>
    </row>
    <row r="812">
      <c r="A812" s="251"/>
    </row>
    <row r="813">
      <c r="A813" s="251"/>
    </row>
    <row r="814">
      <c r="A814" s="251"/>
    </row>
    <row r="815">
      <c r="A815" s="251"/>
    </row>
    <row r="816">
      <c r="A816" s="251"/>
    </row>
    <row r="817">
      <c r="A817" s="251"/>
    </row>
    <row r="818">
      <c r="A818" s="251"/>
    </row>
    <row r="819">
      <c r="A819" s="251"/>
    </row>
    <row r="820">
      <c r="A820" s="251"/>
    </row>
    <row r="821">
      <c r="A821" s="251"/>
    </row>
    <row r="822">
      <c r="A822" s="251"/>
    </row>
    <row r="823">
      <c r="A823" s="251"/>
    </row>
    <row r="824">
      <c r="A824" s="251"/>
    </row>
    <row r="825">
      <c r="A825" s="251"/>
    </row>
    <row r="826">
      <c r="A826" s="251"/>
    </row>
    <row r="827">
      <c r="A827" s="251"/>
    </row>
    <row r="828">
      <c r="A828" s="251"/>
    </row>
    <row r="829">
      <c r="A829" s="251"/>
    </row>
    <row r="830">
      <c r="A830" s="251"/>
    </row>
    <row r="831">
      <c r="A831" s="251"/>
    </row>
    <row r="832">
      <c r="A832" s="251"/>
    </row>
    <row r="833">
      <c r="A833" s="251"/>
    </row>
    <row r="834">
      <c r="A834" s="251"/>
    </row>
    <row r="835">
      <c r="A835" s="251"/>
    </row>
    <row r="836">
      <c r="A836" s="251"/>
    </row>
    <row r="837">
      <c r="A837" s="251"/>
    </row>
    <row r="838">
      <c r="A838" s="251"/>
    </row>
    <row r="839">
      <c r="A839" s="251"/>
    </row>
    <row r="840">
      <c r="A840" s="251"/>
    </row>
    <row r="841">
      <c r="A841" s="251"/>
    </row>
    <row r="842">
      <c r="A842" s="251"/>
    </row>
    <row r="843">
      <c r="A843" s="251"/>
    </row>
    <row r="844">
      <c r="A844" s="251"/>
    </row>
    <row r="845">
      <c r="A845" s="251"/>
    </row>
    <row r="846">
      <c r="A846" s="251"/>
    </row>
    <row r="847">
      <c r="A847" s="251"/>
    </row>
    <row r="848">
      <c r="A848" s="251"/>
    </row>
    <row r="849">
      <c r="A849" s="251"/>
    </row>
    <row r="850">
      <c r="A850" s="251"/>
    </row>
    <row r="851">
      <c r="A851" s="251"/>
    </row>
    <row r="852">
      <c r="A852" s="251"/>
    </row>
    <row r="853">
      <c r="A853" s="251"/>
    </row>
    <row r="854">
      <c r="A854" s="251"/>
    </row>
    <row r="855">
      <c r="A855" s="251"/>
    </row>
    <row r="856">
      <c r="A856" s="251"/>
    </row>
    <row r="857">
      <c r="A857" s="251"/>
    </row>
    <row r="858">
      <c r="A858" s="251"/>
    </row>
    <row r="859">
      <c r="A859" s="251"/>
    </row>
    <row r="860">
      <c r="A860" s="251"/>
    </row>
    <row r="861">
      <c r="A861" s="251"/>
    </row>
    <row r="862">
      <c r="A862" s="251"/>
    </row>
    <row r="863">
      <c r="A863" s="251"/>
    </row>
    <row r="864">
      <c r="A864" s="251"/>
    </row>
    <row r="865">
      <c r="A865" s="251"/>
    </row>
    <row r="866">
      <c r="A866" s="251"/>
    </row>
    <row r="867">
      <c r="A867" s="251"/>
    </row>
    <row r="868">
      <c r="A868" s="251"/>
    </row>
    <row r="869">
      <c r="A869" s="251"/>
    </row>
    <row r="870">
      <c r="A870" s="251"/>
    </row>
    <row r="871">
      <c r="A871" s="251"/>
    </row>
    <row r="872">
      <c r="A872" s="251"/>
    </row>
    <row r="873">
      <c r="A873" s="251"/>
    </row>
    <row r="874">
      <c r="A874" s="251"/>
    </row>
    <row r="875">
      <c r="A875" s="251"/>
    </row>
    <row r="876">
      <c r="A876" s="251"/>
    </row>
    <row r="877">
      <c r="A877" s="251"/>
    </row>
    <row r="878">
      <c r="A878" s="251"/>
    </row>
    <row r="879">
      <c r="A879" s="251"/>
    </row>
    <row r="880">
      <c r="A880" s="251"/>
    </row>
    <row r="881">
      <c r="A881" s="251"/>
    </row>
    <row r="882">
      <c r="A882" s="251"/>
    </row>
    <row r="883">
      <c r="A883" s="251"/>
    </row>
    <row r="884">
      <c r="A884" s="251"/>
    </row>
    <row r="885">
      <c r="A885" s="251"/>
    </row>
    <row r="886">
      <c r="A886" s="251"/>
    </row>
    <row r="887">
      <c r="A887" s="251"/>
    </row>
    <row r="888">
      <c r="A888" s="251"/>
    </row>
    <row r="889">
      <c r="A889" s="251"/>
    </row>
    <row r="890">
      <c r="A890" s="251"/>
    </row>
    <row r="891">
      <c r="A891" s="251"/>
    </row>
    <row r="892">
      <c r="A892" s="251"/>
    </row>
    <row r="893">
      <c r="A893" s="251"/>
    </row>
    <row r="894">
      <c r="A894" s="251"/>
    </row>
    <row r="895">
      <c r="A895" s="251"/>
    </row>
    <row r="896">
      <c r="A896" s="251"/>
    </row>
    <row r="897">
      <c r="A897" s="251"/>
    </row>
    <row r="898">
      <c r="A898" s="251"/>
    </row>
    <row r="899">
      <c r="A899" s="251"/>
    </row>
    <row r="900">
      <c r="A900" s="251"/>
    </row>
    <row r="901">
      <c r="A901" s="251"/>
    </row>
    <row r="902">
      <c r="A902" s="251"/>
    </row>
    <row r="903">
      <c r="A903" s="251"/>
    </row>
    <row r="904">
      <c r="A904" s="251"/>
    </row>
    <row r="905">
      <c r="A905" s="251"/>
    </row>
    <row r="906">
      <c r="A906" s="251"/>
    </row>
    <row r="907">
      <c r="A907" s="251"/>
    </row>
    <row r="908">
      <c r="A908" s="251"/>
    </row>
    <row r="909">
      <c r="A909" s="251"/>
    </row>
    <row r="910">
      <c r="A910" s="251"/>
    </row>
    <row r="911">
      <c r="A911" s="251"/>
    </row>
    <row r="912">
      <c r="A912" s="251"/>
    </row>
    <row r="913">
      <c r="A913" s="251"/>
    </row>
    <row r="914">
      <c r="A914" s="251"/>
    </row>
    <row r="915">
      <c r="A915" s="251"/>
    </row>
    <row r="916">
      <c r="A916" s="251"/>
    </row>
    <row r="917">
      <c r="A917" s="251"/>
    </row>
    <row r="918">
      <c r="A918" s="251"/>
    </row>
    <row r="919">
      <c r="A919" s="251"/>
    </row>
    <row r="920">
      <c r="A920" s="251"/>
    </row>
    <row r="921">
      <c r="A921" s="251"/>
    </row>
    <row r="922">
      <c r="A922" s="251"/>
    </row>
    <row r="923">
      <c r="A923" s="251"/>
    </row>
    <row r="924">
      <c r="A924" s="251"/>
    </row>
    <row r="925">
      <c r="A925" s="251"/>
    </row>
    <row r="926">
      <c r="A926" s="251"/>
    </row>
    <row r="927">
      <c r="A927" s="251"/>
    </row>
    <row r="928">
      <c r="A928" s="251"/>
    </row>
    <row r="929">
      <c r="A929" s="251"/>
    </row>
    <row r="930">
      <c r="A930" s="251"/>
    </row>
    <row r="931">
      <c r="A931" s="251"/>
    </row>
    <row r="932">
      <c r="A932" s="251"/>
    </row>
    <row r="933">
      <c r="A933" s="251"/>
    </row>
    <row r="934">
      <c r="A934" s="251"/>
    </row>
    <row r="935">
      <c r="A935" s="251"/>
    </row>
    <row r="936">
      <c r="A936" s="251"/>
    </row>
    <row r="937">
      <c r="A937" s="251"/>
    </row>
    <row r="938">
      <c r="A938" s="251"/>
    </row>
    <row r="939">
      <c r="A939" s="251"/>
    </row>
    <row r="940">
      <c r="A940" s="251"/>
    </row>
    <row r="941">
      <c r="A941" s="251"/>
    </row>
    <row r="942">
      <c r="A942" s="251"/>
    </row>
    <row r="943">
      <c r="A943" s="251"/>
    </row>
    <row r="944">
      <c r="A944" s="251"/>
    </row>
    <row r="945">
      <c r="A945" s="251"/>
    </row>
    <row r="946">
      <c r="A946" s="251"/>
    </row>
    <row r="947">
      <c r="A947" s="251"/>
    </row>
    <row r="948">
      <c r="A948" s="251"/>
    </row>
    <row r="949">
      <c r="A949" s="251"/>
    </row>
    <row r="950">
      <c r="A950" s="251"/>
    </row>
    <row r="951">
      <c r="A951" s="251"/>
    </row>
    <row r="952">
      <c r="A952" s="251"/>
    </row>
    <row r="953">
      <c r="A953" s="251"/>
    </row>
    <row r="954">
      <c r="A954" s="251"/>
    </row>
    <row r="955">
      <c r="A955" s="251"/>
    </row>
    <row r="956">
      <c r="A956" s="251"/>
    </row>
    <row r="957">
      <c r="A957" s="251"/>
    </row>
    <row r="958">
      <c r="A958" s="251"/>
    </row>
    <row r="959">
      <c r="A959" s="251"/>
    </row>
    <row r="960">
      <c r="A960" s="251"/>
    </row>
    <row r="961">
      <c r="A961" s="251"/>
    </row>
    <row r="962">
      <c r="A962" s="251"/>
    </row>
    <row r="963">
      <c r="A963" s="251"/>
    </row>
    <row r="964">
      <c r="A964" s="251"/>
    </row>
    <row r="965">
      <c r="A965" s="251"/>
    </row>
    <row r="966">
      <c r="A966" s="251"/>
    </row>
    <row r="967">
      <c r="A967" s="251"/>
    </row>
    <row r="968">
      <c r="A968" s="251"/>
    </row>
    <row r="969">
      <c r="A969" s="251"/>
    </row>
    <row r="970">
      <c r="A970" s="251"/>
    </row>
    <row r="971">
      <c r="A971" s="251"/>
    </row>
    <row r="972">
      <c r="A972" s="251"/>
    </row>
    <row r="973">
      <c r="A973" s="251"/>
    </row>
    <row r="974">
      <c r="A974" s="251"/>
    </row>
    <row r="975">
      <c r="A975" s="251"/>
    </row>
    <row r="976">
      <c r="A976" s="251"/>
    </row>
    <row r="977">
      <c r="A977" s="251"/>
    </row>
    <row r="978">
      <c r="A978" s="251"/>
    </row>
    <row r="979">
      <c r="A979" s="251"/>
    </row>
    <row r="980">
      <c r="A980" s="251"/>
    </row>
    <row r="981">
      <c r="A981" s="251"/>
    </row>
    <row r="982">
      <c r="A982" s="251"/>
    </row>
    <row r="983">
      <c r="A983" s="251"/>
    </row>
  </sheetData>
  <mergeCells count="2">
    <mergeCell ref="A17:G17"/>
    <mergeCell ref="A23:D23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13"/>
    <col customWidth="1" min="4" max="4" width="11.63"/>
    <col customWidth="1" min="6" max="6" width="9.63"/>
    <col customWidth="1" min="7" max="7" width="7.38"/>
    <col customWidth="1" min="8" max="8" width="12.25"/>
    <col customWidth="1" min="9" max="9" width="15.5"/>
  </cols>
  <sheetData>
    <row r="1">
      <c r="A1" s="251"/>
      <c r="B1" s="179"/>
      <c r="C1" s="179"/>
      <c r="D1" s="179"/>
      <c r="E1" s="179"/>
      <c r="F1" s="235"/>
      <c r="G1" s="235"/>
      <c r="H1" s="235"/>
      <c r="I1" s="179"/>
    </row>
    <row r="2">
      <c r="A2" s="252" t="s">
        <v>215</v>
      </c>
      <c r="B2" s="253" t="s">
        <v>195</v>
      </c>
      <c r="C2" s="253" t="s">
        <v>196</v>
      </c>
      <c r="D2" s="253" t="s">
        <v>197</v>
      </c>
      <c r="E2" s="253" t="s">
        <v>4</v>
      </c>
      <c r="F2" s="249" t="s">
        <v>5</v>
      </c>
      <c r="G2" s="249" t="s">
        <v>9</v>
      </c>
      <c r="H2" s="253" t="s">
        <v>6</v>
      </c>
      <c r="I2" s="254" t="s">
        <v>198</v>
      </c>
      <c r="J2" s="69"/>
    </row>
    <row r="3">
      <c r="A3" s="87" t="s">
        <v>216</v>
      </c>
      <c r="B3" s="98">
        <f>'Исходные данные'!D11</f>
        <v>214</v>
      </c>
      <c r="C3" s="134">
        <f>'Исходные данные'!F33</f>
        <v>8</v>
      </c>
      <c r="D3" s="134"/>
      <c r="E3" s="134">
        <v>480420.0</v>
      </c>
      <c r="F3" s="256">
        <v>12.0</v>
      </c>
      <c r="G3" s="249"/>
      <c r="H3" s="250">
        <f t="shared" ref="H3:H10" si="1">E3/F3</f>
        <v>40035</v>
      </c>
      <c r="I3" s="257">
        <f>H3/B3*C3</f>
        <v>1496.635514</v>
      </c>
      <c r="J3" s="69"/>
    </row>
    <row r="4">
      <c r="A4" s="87" t="s">
        <v>154</v>
      </c>
      <c r="B4" s="134"/>
      <c r="C4" s="134"/>
      <c r="D4" s="134"/>
      <c r="E4" s="134"/>
      <c r="F4" s="256">
        <v>12.0</v>
      </c>
      <c r="G4" s="249"/>
      <c r="H4" s="250">
        <f t="shared" si="1"/>
        <v>0</v>
      </c>
      <c r="I4" s="257">
        <f t="shared" ref="I4:I11" si="2">H4</f>
        <v>0</v>
      </c>
      <c r="J4" s="69"/>
    </row>
    <row r="5">
      <c r="A5" s="87" t="s">
        <v>202</v>
      </c>
      <c r="B5" s="163"/>
      <c r="C5" s="163"/>
      <c r="D5" s="163"/>
      <c r="E5" s="134"/>
      <c r="F5" s="256">
        <v>12.0</v>
      </c>
      <c r="G5" s="249"/>
      <c r="H5" s="250">
        <f t="shared" si="1"/>
        <v>0</v>
      </c>
      <c r="I5" s="257">
        <f t="shared" si="2"/>
        <v>0</v>
      </c>
      <c r="J5" s="69"/>
    </row>
    <row r="6">
      <c r="A6" s="87" t="s">
        <v>148</v>
      </c>
      <c r="B6" s="258"/>
      <c r="C6" s="258"/>
      <c r="D6" s="258"/>
      <c r="E6" s="177">
        <v>1535.0</v>
      </c>
      <c r="F6" s="256">
        <v>12.0</v>
      </c>
      <c r="G6" s="249"/>
      <c r="H6" s="250">
        <f t="shared" si="1"/>
        <v>127.9166667</v>
      </c>
      <c r="I6" s="257">
        <f t="shared" si="2"/>
        <v>127.9166667</v>
      </c>
      <c r="J6" s="69"/>
    </row>
    <row r="7">
      <c r="A7" s="87" t="s">
        <v>150</v>
      </c>
      <c r="B7" s="258"/>
      <c r="C7" s="258"/>
      <c r="D7" s="258"/>
      <c r="E7" s="177">
        <v>0.0</v>
      </c>
      <c r="F7" s="256">
        <v>12.0</v>
      </c>
      <c r="G7" s="249"/>
      <c r="H7" s="250">
        <f t="shared" si="1"/>
        <v>0</v>
      </c>
      <c r="I7" s="257">
        <f t="shared" si="2"/>
        <v>0</v>
      </c>
      <c r="J7" s="69"/>
    </row>
    <row r="8">
      <c r="A8" s="87" t="s">
        <v>149</v>
      </c>
      <c r="B8" s="258"/>
      <c r="C8" s="258"/>
      <c r="D8" s="258"/>
      <c r="E8" s="177">
        <v>0.0</v>
      </c>
      <c r="F8" s="256">
        <v>12.0</v>
      </c>
      <c r="G8" s="249"/>
      <c r="H8" s="250">
        <f t="shared" si="1"/>
        <v>0</v>
      </c>
      <c r="I8" s="257">
        <f t="shared" si="2"/>
        <v>0</v>
      </c>
      <c r="J8" s="69"/>
    </row>
    <row r="9">
      <c r="A9" s="87" t="s">
        <v>203</v>
      </c>
      <c r="B9" s="258"/>
      <c r="C9" s="258"/>
      <c r="D9" s="258"/>
      <c r="E9" s="177"/>
      <c r="F9" s="256">
        <v>12.0</v>
      </c>
      <c r="G9" s="249"/>
      <c r="H9" s="250">
        <f t="shared" si="1"/>
        <v>0</v>
      </c>
      <c r="I9" s="257">
        <f t="shared" si="2"/>
        <v>0</v>
      </c>
      <c r="J9" s="69"/>
    </row>
    <row r="10">
      <c r="A10" s="87" t="s">
        <v>204</v>
      </c>
      <c r="B10" s="258"/>
      <c r="C10" s="258"/>
      <c r="D10" s="258"/>
      <c r="E10" s="177"/>
      <c r="F10" s="256">
        <v>12.0</v>
      </c>
      <c r="G10" s="249"/>
      <c r="H10" s="250">
        <f t="shared" si="1"/>
        <v>0</v>
      </c>
      <c r="I10" s="257">
        <f t="shared" si="2"/>
        <v>0</v>
      </c>
      <c r="J10" s="69"/>
    </row>
    <row r="11">
      <c r="A11" s="68" t="s">
        <v>155</v>
      </c>
      <c r="B11" s="72"/>
      <c r="C11" s="71"/>
      <c r="D11" s="71"/>
      <c r="E11" s="72"/>
      <c r="F11" s="249"/>
      <c r="G11" s="259"/>
      <c r="H11" s="250">
        <f>D28</f>
        <v>0</v>
      </c>
      <c r="I11" s="257">
        <f t="shared" si="2"/>
        <v>0</v>
      </c>
      <c r="J11" s="69"/>
    </row>
    <row r="12">
      <c r="A12" s="68" t="s">
        <v>152</v>
      </c>
      <c r="B12" s="72"/>
      <c r="C12" s="71"/>
      <c r="D12" s="260">
        <f>B17+B18</f>
        <v>288</v>
      </c>
      <c r="E12" s="72"/>
      <c r="F12" s="249"/>
      <c r="G12" s="259">
        <f>'Общие расходы ГЭ'!G16</f>
        <v>9.195626292</v>
      </c>
      <c r="H12" s="249"/>
      <c r="I12" s="257">
        <f t="shared" ref="I12:I14" si="3">D12*G12</f>
        <v>2648.340372</v>
      </c>
      <c r="J12" s="69"/>
    </row>
    <row r="13">
      <c r="A13" s="68" t="s">
        <v>153</v>
      </c>
      <c r="B13" s="72"/>
      <c r="C13" s="71"/>
      <c r="D13" s="260">
        <f>B17+B18</f>
        <v>288</v>
      </c>
      <c r="E13" s="72"/>
      <c r="F13" s="249"/>
      <c r="G13" s="259">
        <f>'Общие расходы г. Тюмень'!F4</f>
        <v>0.2743933235</v>
      </c>
      <c r="H13" s="249"/>
      <c r="I13" s="257">
        <f t="shared" si="3"/>
        <v>79.02527716</v>
      </c>
      <c r="J13" s="69"/>
    </row>
    <row r="14">
      <c r="A14" s="68" t="s">
        <v>156</v>
      </c>
      <c r="B14" s="72"/>
      <c r="C14" s="71"/>
      <c r="D14" s="260">
        <f>B17+B18</f>
        <v>288</v>
      </c>
      <c r="E14" s="72"/>
      <c r="F14" s="249"/>
      <c r="G14" s="250">
        <f>'Общие расходы г. Тюмень'!F30</f>
        <v>0.7480139342</v>
      </c>
      <c r="H14" s="249"/>
      <c r="I14" s="261">
        <f t="shared" si="3"/>
        <v>215.4280131</v>
      </c>
      <c r="J14" s="69"/>
    </row>
    <row r="15">
      <c r="A15" s="262" t="s">
        <v>62</v>
      </c>
      <c r="B15" s="263"/>
      <c r="C15" s="263"/>
      <c r="D15" s="263"/>
      <c r="E15" s="263"/>
      <c r="F15" s="263"/>
      <c r="G15" s="185"/>
      <c r="H15" s="264"/>
      <c r="I15" s="261">
        <f>SUM(I3:I14)</f>
        <v>4567.345843</v>
      </c>
    </row>
    <row r="16">
      <c r="A16" s="251"/>
      <c r="B16" s="179"/>
      <c r="C16" s="179"/>
      <c r="D16" s="179"/>
      <c r="E16" s="179"/>
      <c r="F16" s="235"/>
      <c r="G16" s="235"/>
      <c r="H16" s="235"/>
      <c r="I16" s="179"/>
    </row>
    <row r="17">
      <c r="A17" s="68" t="s">
        <v>205</v>
      </c>
      <c r="B17" s="265">
        <f>'Исходные данные'!B33</f>
        <v>288</v>
      </c>
      <c r="C17" s="179"/>
      <c r="D17" s="179"/>
      <c r="E17" s="179"/>
      <c r="F17" s="235"/>
      <c r="G17" s="235"/>
      <c r="H17" s="235"/>
      <c r="I17" s="179"/>
    </row>
    <row r="18">
      <c r="A18" s="68" t="s">
        <v>206</v>
      </c>
      <c r="B18" s="265" t="str">
        <f>'Исходные данные'!C33</f>
        <v/>
      </c>
      <c r="C18" s="179"/>
      <c r="D18" s="179"/>
      <c r="E18" s="179"/>
      <c r="F18" s="235"/>
      <c r="G18" s="235"/>
      <c r="H18" s="235"/>
      <c r="I18" s="179"/>
    </row>
    <row r="19">
      <c r="A19" s="68" t="s">
        <v>207</v>
      </c>
      <c r="B19" s="265" t="str">
        <f>'Исходные данные'!D25</f>
        <v/>
      </c>
      <c r="C19" s="179"/>
      <c r="D19" s="179"/>
      <c r="E19" s="179"/>
      <c r="F19" s="235"/>
      <c r="G19" s="235"/>
      <c r="H19" s="235"/>
      <c r="I19" s="179"/>
    </row>
    <row r="20">
      <c r="A20" s="251"/>
      <c r="B20" s="179"/>
      <c r="C20" s="179"/>
      <c r="D20" s="179"/>
      <c r="E20" s="179"/>
      <c r="F20" s="235"/>
      <c r="G20" s="235"/>
      <c r="H20" s="235"/>
      <c r="I20" s="74"/>
    </row>
    <row r="21">
      <c r="A21" s="266" t="s">
        <v>208</v>
      </c>
      <c r="B21" s="263"/>
      <c r="C21" s="263"/>
      <c r="D21" s="185"/>
      <c r="E21" s="267"/>
      <c r="F21" s="69"/>
      <c r="G21" s="69"/>
      <c r="H21" s="69"/>
      <c r="I21" s="69"/>
    </row>
    <row r="22">
      <c r="A22" s="268" t="s">
        <v>209</v>
      </c>
      <c r="B22" s="269" t="s">
        <v>210</v>
      </c>
      <c r="C22" s="93" t="s">
        <v>5</v>
      </c>
      <c r="D22" s="269" t="s">
        <v>211</v>
      </c>
      <c r="E22" s="270"/>
    </row>
    <row r="23">
      <c r="A23" s="272" t="s">
        <v>212</v>
      </c>
      <c r="B23" s="271"/>
      <c r="C23" s="134">
        <v>12.0</v>
      </c>
      <c r="D23" s="271">
        <f t="shared" ref="D23:D24" si="4">B23/C23</f>
        <v>0</v>
      </c>
      <c r="E23" s="74"/>
    </row>
    <row r="24">
      <c r="A24" s="272" t="s">
        <v>217</v>
      </c>
      <c r="B24" s="271"/>
      <c r="C24" s="134">
        <v>12.0</v>
      </c>
      <c r="D24" s="271">
        <f t="shared" si="4"/>
        <v>0</v>
      </c>
      <c r="E24" s="74"/>
    </row>
    <row r="25">
      <c r="A25" s="272"/>
      <c r="B25" s="271"/>
      <c r="C25" s="134"/>
      <c r="D25" s="271"/>
      <c r="E25" s="74"/>
    </row>
    <row r="26">
      <c r="A26" s="272"/>
      <c r="B26" s="271"/>
      <c r="C26" s="134"/>
      <c r="D26" s="271"/>
      <c r="E26" s="74"/>
    </row>
    <row r="27">
      <c r="A27" s="272"/>
      <c r="B27" s="271"/>
      <c r="C27" s="134"/>
      <c r="D27" s="271"/>
      <c r="E27" s="74"/>
    </row>
    <row r="28">
      <c r="A28" s="273"/>
      <c r="B28" s="274">
        <f>SUM(B23:B27)</f>
        <v>0</v>
      </c>
      <c r="C28" s="275">
        <v>12.0</v>
      </c>
      <c r="D28" s="274">
        <f>B28/C28</f>
        <v>0</v>
      </c>
      <c r="E28" s="276"/>
      <c r="F28" s="169"/>
      <c r="G28" s="168"/>
    </row>
    <row r="29">
      <c r="A29" s="251"/>
    </row>
    <row r="30">
      <c r="A30" s="251"/>
    </row>
    <row r="31">
      <c r="A31" s="251"/>
    </row>
    <row r="32">
      <c r="A32" s="251"/>
    </row>
    <row r="33">
      <c r="A33" s="251"/>
    </row>
    <row r="34">
      <c r="A34" s="251"/>
    </row>
    <row r="35">
      <c r="A35" s="251"/>
    </row>
    <row r="36">
      <c r="A36" s="251"/>
    </row>
    <row r="37">
      <c r="A37" s="251"/>
    </row>
    <row r="38">
      <c r="A38" s="251"/>
    </row>
    <row r="39">
      <c r="A39" s="251"/>
    </row>
    <row r="40">
      <c r="A40" s="251"/>
    </row>
    <row r="41">
      <c r="A41" s="251"/>
    </row>
    <row r="42">
      <c r="A42" s="251"/>
    </row>
    <row r="43">
      <c r="A43" s="251"/>
    </row>
    <row r="44">
      <c r="A44" s="251"/>
    </row>
    <row r="45">
      <c r="A45" s="251"/>
    </row>
    <row r="46">
      <c r="A46" s="251"/>
    </row>
    <row r="47">
      <c r="A47" s="251"/>
    </row>
    <row r="48">
      <c r="A48" s="251"/>
    </row>
    <row r="49">
      <c r="A49" s="251"/>
    </row>
    <row r="50">
      <c r="A50" s="251"/>
    </row>
    <row r="51">
      <c r="A51" s="251"/>
    </row>
    <row r="52">
      <c r="A52" s="251"/>
    </row>
    <row r="53">
      <c r="A53" s="251"/>
    </row>
    <row r="54">
      <c r="A54" s="251"/>
    </row>
    <row r="55">
      <c r="A55" s="251"/>
    </row>
    <row r="56">
      <c r="A56" s="251"/>
    </row>
    <row r="57">
      <c r="A57" s="251"/>
    </row>
    <row r="58">
      <c r="A58" s="251"/>
    </row>
    <row r="59">
      <c r="A59" s="251"/>
    </row>
    <row r="60">
      <c r="A60" s="251"/>
    </row>
    <row r="61">
      <c r="A61" s="251"/>
    </row>
    <row r="62">
      <c r="A62" s="251"/>
    </row>
    <row r="63">
      <c r="A63" s="251"/>
    </row>
    <row r="64">
      <c r="A64" s="251"/>
    </row>
    <row r="65">
      <c r="A65" s="251"/>
    </row>
    <row r="66">
      <c r="A66" s="251"/>
    </row>
    <row r="67">
      <c r="A67" s="251"/>
    </row>
    <row r="68">
      <c r="A68" s="251"/>
    </row>
    <row r="69">
      <c r="A69" s="251"/>
    </row>
    <row r="70">
      <c r="A70" s="251"/>
    </row>
    <row r="71">
      <c r="A71" s="251"/>
    </row>
    <row r="72">
      <c r="A72" s="251"/>
    </row>
    <row r="73">
      <c r="A73" s="251"/>
    </row>
    <row r="74">
      <c r="A74" s="251"/>
    </row>
    <row r="75">
      <c r="A75" s="251"/>
    </row>
    <row r="76">
      <c r="A76" s="251"/>
    </row>
    <row r="77">
      <c r="A77" s="251"/>
    </row>
    <row r="78">
      <c r="A78" s="251"/>
    </row>
    <row r="79">
      <c r="A79" s="251"/>
    </row>
    <row r="80">
      <c r="A80" s="251"/>
    </row>
    <row r="81">
      <c r="A81" s="251"/>
    </row>
    <row r="82">
      <c r="A82" s="251"/>
    </row>
    <row r="83">
      <c r="A83" s="251"/>
    </row>
    <row r="84">
      <c r="A84" s="251"/>
    </row>
    <row r="85">
      <c r="A85" s="251"/>
    </row>
    <row r="86">
      <c r="A86" s="251"/>
    </row>
    <row r="87">
      <c r="A87" s="251"/>
    </row>
    <row r="88">
      <c r="A88" s="251"/>
    </row>
    <row r="89">
      <c r="A89" s="251"/>
    </row>
    <row r="90">
      <c r="A90" s="251"/>
    </row>
    <row r="91">
      <c r="A91" s="251"/>
    </row>
    <row r="92">
      <c r="A92" s="251"/>
    </row>
    <row r="93">
      <c r="A93" s="251"/>
    </row>
    <row r="94">
      <c r="A94" s="251"/>
    </row>
    <row r="95">
      <c r="A95" s="251"/>
    </row>
    <row r="96">
      <c r="A96" s="251"/>
    </row>
    <row r="97">
      <c r="A97" s="251"/>
    </row>
    <row r="98">
      <c r="A98" s="251"/>
    </row>
    <row r="99">
      <c r="A99" s="251"/>
    </row>
    <row r="100">
      <c r="A100" s="251"/>
    </row>
    <row r="101">
      <c r="A101" s="251"/>
    </row>
    <row r="102">
      <c r="A102" s="251"/>
    </row>
    <row r="103">
      <c r="A103" s="251"/>
    </row>
    <row r="104">
      <c r="A104" s="251"/>
    </row>
    <row r="105">
      <c r="A105" s="251"/>
    </row>
    <row r="106">
      <c r="A106" s="251"/>
    </row>
    <row r="107">
      <c r="A107" s="251"/>
    </row>
    <row r="108">
      <c r="A108" s="251"/>
    </row>
    <row r="109">
      <c r="A109" s="251"/>
    </row>
    <row r="110">
      <c r="A110" s="251"/>
    </row>
    <row r="111">
      <c r="A111" s="251"/>
    </row>
    <row r="112">
      <c r="A112" s="251"/>
    </row>
    <row r="113">
      <c r="A113" s="251"/>
    </row>
    <row r="114">
      <c r="A114" s="251"/>
    </row>
    <row r="115">
      <c r="A115" s="251"/>
    </row>
    <row r="116">
      <c r="A116" s="251"/>
    </row>
    <row r="117">
      <c r="A117" s="251"/>
    </row>
    <row r="118">
      <c r="A118" s="251"/>
    </row>
    <row r="119">
      <c r="A119" s="251"/>
    </row>
    <row r="120">
      <c r="A120" s="251"/>
    </row>
    <row r="121">
      <c r="A121" s="251"/>
    </row>
    <row r="122">
      <c r="A122" s="251"/>
    </row>
    <row r="123">
      <c r="A123" s="251"/>
    </row>
    <row r="124">
      <c r="A124" s="251"/>
    </row>
    <row r="125">
      <c r="A125" s="251"/>
    </row>
    <row r="126">
      <c r="A126" s="251"/>
    </row>
    <row r="127">
      <c r="A127" s="251"/>
    </row>
    <row r="128">
      <c r="A128" s="251"/>
    </row>
    <row r="129">
      <c r="A129" s="251"/>
    </row>
    <row r="130">
      <c r="A130" s="251"/>
    </row>
    <row r="131">
      <c r="A131" s="251"/>
    </row>
    <row r="132">
      <c r="A132" s="251"/>
    </row>
    <row r="133">
      <c r="A133" s="251"/>
    </row>
    <row r="134">
      <c r="A134" s="251"/>
    </row>
    <row r="135">
      <c r="A135" s="251"/>
    </row>
    <row r="136">
      <c r="A136" s="251"/>
    </row>
    <row r="137">
      <c r="A137" s="251"/>
    </row>
    <row r="138">
      <c r="A138" s="251"/>
    </row>
    <row r="139">
      <c r="A139" s="251"/>
    </row>
    <row r="140">
      <c r="A140" s="251"/>
    </row>
    <row r="141">
      <c r="A141" s="251"/>
    </row>
    <row r="142">
      <c r="A142" s="251"/>
    </row>
    <row r="143">
      <c r="A143" s="251"/>
    </row>
    <row r="144">
      <c r="A144" s="251"/>
    </row>
    <row r="145">
      <c r="A145" s="251"/>
    </row>
    <row r="146">
      <c r="A146" s="251"/>
    </row>
    <row r="147">
      <c r="A147" s="251"/>
    </row>
    <row r="148">
      <c r="A148" s="251"/>
    </row>
    <row r="149">
      <c r="A149" s="251"/>
    </row>
    <row r="150">
      <c r="A150" s="251"/>
    </row>
    <row r="151">
      <c r="A151" s="251"/>
    </row>
    <row r="152">
      <c r="A152" s="251"/>
    </row>
    <row r="153">
      <c r="A153" s="251"/>
    </row>
    <row r="154">
      <c r="A154" s="251"/>
    </row>
    <row r="155">
      <c r="A155" s="251"/>
    </row>
    <row r="156">
      <c r="A156" s="251"/>
    </row>
    <row r="157">
      <c r="A157" s="251"/>
    </row>
    <row r="158">
      <c r="A158" s="251"/>
    </row>
    <row r="159">
      <c r="A159" s="251"/>
    </row>
    <row r="160">
      <c r="A160" s="251"/>
    </row>
    <row r="161">
      <c r="A161" s="251"/>
    </row>
    <row r="162">
      <c r="A162" s="251"/>
    </row>
    <row r="163">
      <c r="A163" s="251"/>
    </row>
    <row r="164">
      <c r="A164" s="251"/>
    </row>
    <row r="165">
      <c r="A165" s="251"/>
    </row>
    <row r="166">
      <c r="A166" s="251"/>
    </row>
    <row r="167">
      <c r="A167" s="251"/>
    </row>
    <row r="168">
      <c r="A168" s="251"/>
    </row>
    <row r="169">
      <c r="A169" s="251"/>
    </row>
    <row r="170">
      <c r="A170" s="251"/>
    </row>
    <row r="171">
      <c r="A171" s="251"/>
    </row>
    <row r="172">
      <c r="A172" s="251"/>
    </row>
    <row r="173">
      <c r="A173" s="251"/>
    </row>
    <row r="174">
      <c r="A174" s="251"/>
    </row>
    <row r="175">
      <c r="A175" s="251"/>
    </row>
    <row r="176">
      <c r="A176" s="251"/>
    </row>
    <row r="177">
      <c r="A177" s="251"/>
    </row>
    <row r="178">
      <c r="A178" s="251"/>
    </row>
    <row r="179">
      <c r="A179" s="251"/>
    </row>
    <row r="180">
      <c r="A180" s="251"/>
    </row>
    <row r="181">
      <c r="A181" s="251"/>
    </row>
    <row r="182">
      <c r="A182" s="251"/>
    </row>
    <row r="183">
      <c r="A183" s="251"/>
    </row>
    <row r="184">
      <c r="A184" s="251"/>
    </row>
    <row r="185">
      <c r="A185" s="251"/>
    </row>
    <row r="186">
      <c r="A186" s="251"/>
    </row>
    <row r="187">
      <c r="A187" s="251"/>
    </row>
    <row r="188">
      <c r="A188" s="251"/>
    </row>
    <row r="189">
      <c r="A189" s="251"/>
    </row>
    <row r="190">
      <c r="A190" s="251"/>
    </row>
    <row r="191">
      <c r="A191" s="251"/>
    </row>
    <row r="192">
      <c r="A192" s="251"/>
    </row>
    <row r="193">
      <c r="A193" s="251"/>
    </row>
    <row r="194">
      <c r="A194" s="251"/>
    </row>
    <row r="195">
      <c r="A195" s="251"/>
    </row>
    <row r="196">
      <c r="A196" s="251"/>
    </row>
    <row r="197">
      <c r="A197" s="251"/>
    </row>
    <row r="198">
      <c r="A198" s="251"/>
    </row>
    <row r="199">
      <c r="A199" s="251"/>
    </row>
    <row r="200">
      <c r="A200" s="251"/>
    </row>
    <row r="201">
      <c r="A201" s="251"/>
    </row>
    <row r="202">
      <c r="A202" s="251"/>
    </row>
    <row r="203">
      <c r="A203" s="251"/>
    </row>
    <row r="204">
      <c r="A204" s="251"/>
    </row>
    <row r="205">
      <c r="A205" s="251"/>
    </row>
    <row r="206">
      <c r="A206" s="251"/>
    </row>
    <row r="207">
      <c r="A207" s="251"/>
    </row>
    <row r="208">
      <c r="A208" s="251"/>
    </row>
    <row r="209">
      <c r="A209" s="251"/>
    </row>
    <row r="210">
      <c r="A210" s="251"/>
    </row>
    <row r="211">
      <c r="A211" s="251"/>
    </row>
    <row r="212">
      <c r="A212" s="251"/>
    </row>
    <row r="213">
      <c r="A213" s="251"/>
    </row>
    <row r="214">
      <c r="A214" s="251"/>
    </row>
    <row r="215">
      <c r="A215" s="251"/>
    </row>
    <row r="216">
      <c r="A216" s="251"/>
    </row>
    <row r="217">
      <c r="A217" s="251"/>
    </row>
    <row r="218">
      <c r="A218" s="251"/>
    </row>
    <row r="219">
      <c r="A219" s="251"/>
    </row>
    <row r="220">
      <c r="A220" s="251"/>
    </row>
    <row r="221">
      <c r="A221" s="251"/>
    </row>
    <row r="222">
      <c r="A222" s="251"/>
    </row>
    <row r="223">
      <c r="A223" s="251"/>
    </row>
    <row r="224">
      <c r="A224" s="251"/>
    </row>
    <row r="225">
      <c r="A225" s="251"/>
    </row>
    <row r="226">
      <c r="A226" s="251"/>
    </row>
    <row r="227">
      <c r="A227" s="251"/>
    </row>
    <row r="228">
      <c r="A228" s="251"/>
    </row>
    <row r="229">
      <c r="A229" s="251"/>
    </row>
    <row r="230">
      <c r="A230" s="251"/>
    </row>
    <row r="231">
      <c r="A231" s="251"/>
    </row>
    <row r="232">
      <c r="A232" s="251"/>
    </row>
    <row r="233">
      <c r="A233" s="251"/>
    </row>
    <row r="234">
      <c r="A234" s="251"/>
    </row>
    <row r="235">
      <c r="A235" s="251"/>
    </row>
    <row r="236">
      <c r="A236" s="251"/>
    </row>
    <row r="237">
      <c r="A237" s="251"/>
    </row>
    <row r="238">
      <c r="A238" s="251"/>
    </row>
    <row r="239">
      <c r="A239" s="251"/>
    </row>
    <row r="240">
      <c r="A240" s="251"/>
    </row>
    <row r="241">
      <c r="A241" s="251"/>
    </row>
    <row r="242">
      <c r="A242" s="251"/>
    </row>
    <row r="243">
      <c r="A243" s="251"/>
    </row>
    <row r="244">
      <c r="A244" s="251"/>
    </row>
    <row r="245">
      <c r="A245" s="251"/>
    </row>
    <row r="246">
      <c r="A246" s="251"/>
    </row>
    <row r="247">
      <c r="A247" s="251"/>
    </row>
    <row r="248">
      <c r="A248" s="251"/>
    </row>
    <row r="249">
      <c r="A249" s="251"/>
    </row>
    <row r="250">
      <c r="A250" s="251"/>
    </row>
    <row r="251">
      <c r="A251" s="251"/>
    </row>
    <row r="252">
      <c r="A252" s="251"/>
    </row>
    <row r="253">
      <c r="A253" s="251"/>
    </row>
    <row r="254">
      <c r="A254" s="251"/>
    </row>
    <row r="255">
      <c r="A255" s="251"/>
    </row>
    <row r="256">
      <c r="A256" s="251"/>
    </row>
    <row r="257">
      <c r="A257" s="251"/>
    </row>
    <row r="258">
      <c r="A258" s="251"/>
    </row>
    <row r="259">
      <c r="A259" s="251"/>
    </row>
    <row r="260">
      <c r="A260" s="251"/>
    </row>
    <row r="261">
      <c r="A261" s="251"/>
    </row>
    <row r="262">
      <c r="A262" s="251"/>
    </row>
    <row r="263">
      <c r="A263" s="251"/>
    </row>
    <row r="264">
      <c r="A264" s="251"/>
    </row>
    <row r="265">
      <c r="A265" s="251"/>
    </row>
    <row r="266">
      <c r="A266" s="251"/>
    </row>
    <row r="267">
      <c r="A267" s="251"/>
    </row>
    <row r="268">
      <c r="A268" s="251"/>
    </row>
    <row r="269">
      <c r="A269" s="251"/>
    </row>
    <row r="270">
      <c r="A270" s="251"/>
    </row>
    <row r="271">
      <c r="A271" s="251"/>
    </row>
    <row r="272">
      <c r="A272" s="251"/>
    </row>
    <row r="273">
      <c r="A273" s="251"/>
    </row>
    <row r="274">
      <c r="A274" s="251"/>
    </row>
    <row r="275">
      <c r="A275" s="251"/>
    </row>
    <row r="276">
      <c r="A276" s="251"/>
    </row>
    <row r="277">
      <c r="A277" s="251"/>
    </row>
    <row r="278">
      <c r="A278" s="251"/>
    </row>
    <row r="279">
      <c r="A279" s="251"/>
    </row>
    <row r="280">
      <c r="A280" s="251"/>
    </row>
    <row r="281">
      <c r="A281" s="251"/>
    </row>
    <row r="282">
      <c r="A282" s="251"/>
    </row>
    <row r="283">
      <c r="A283" s="251"/>
    </row>
    <row r="284">
      <c r="A284" s="251"/>
    </row>
    <row r="285">
      <c r="A285" s="251"/>
    </row>
    <row r="286">
      <c r="A286" s="251"/>
    </row>
    <row r="287">
      <c r="A287" s="251"/>
    </row>
    <row r="288">
      <c r="A288" s="251"/>
    </row>
    <row r="289">
      <c r="A289" s="251"/>
    </row>
    <row r="290">
      <c r="A290" s="251"/>
    </row>
    <row r="291">
      <c r="A291" s="251"/>
    </row>
    <row r="292">
      <c r="A292" s="251"/>
    </row>
    <row r="293">
      <c r="A293" s="251"/>
    </row>
    <row r="294">
      <c r="A294" s="251"/>
    </row>
    <row r="295">
      <c r="A295" s="251"/>
    </row>
    <row r="296">
      <c r="A296" s="251"/>
    </row>
    <row r="297">
      <c r="A297" s="251"/>
    </row>
    <row r="298">
      <c r="A298" s="251"/>
    </row>
    <row r="299">
      <c r="A299" s="251"/>
    </row>
    <row r="300">
      <c r="A300" s="251"/>
    </row>
    <row r="301">
      <c r="A301" s="251"/>
    </row>
    <row r="302">
      <c r="A302" s="251"/>
    </row>
    <row r="303">
      <c r="A303" s="251"/>
    </row>
    <row r="304">
      <c r="A304" s="251"/>
    </row>
    <row r="305">
      <c r="A305" s="251"/>
    </row>
    <row r="306">
      <c r="A306" s="251"/>
    </row>
    <row r="307">
      <c r="A307" s="251"/>
    </row>
    <row r="308">
      <c r="A308" s="251"/>
    </row>
    <row r="309">
      <c r="A309" s="251"/>
    </row>
    <row r="310">
      <c r="A310" s="251"/>
    </row>
    <row r="311">
      <c r="A311" s="251"/>
    </row>
    <row r="312">
      <c r="A312" s="251"/>
    </row>
    <row r="313">
      <c r="A313" s="251"/>
    </row>
    <row r="314">
      <c r="A314" s="251"/>
    </row>
    <row r="315">
      <c r="A315" s="251"/>
    </row>
    <row r="316">
      <c r="A316" s="251"/>
    </row>
    <row r="317">
      <c r="A317" s="251"/>
    </row>
    <row r="318">
      <c r="A318" s="251"/>
    </row>
    <row r="319">
      <c r="A319" s="251"/>
    </row>
    <row r="320">
      <c r="A320" s="251"/>
    </row>
    <row r="321">
      <c r="A321" s="251"/>
    </row>
    <row r="322">
      <c r="A322" s="251"/>
    </row>
    <row r="323">
      <c r="A323" s="251"/>
    </row>
    <row r="324">
      <c r="A324" s="251"/>
    </row>
    <row r="325">
      <c r="A325" s="251"/>
    </row>
    <row r="326">
      <c r="A326" s="251"/>
    </row>
    <row r="327">
      <c r="A327" s="251"/>
    </row>
    <row r="328">
      <c r="A328" s="251"/>
    </row>
    <row r="329">
      <c r="A329" s="251"/>
    </row>
    <row r="330">
      <c r="A330" s="251"/>
    </row>
    <row r="331">
      <c r="A331" s="251"/>
    </row>
    <row r="332">
      <c r="A332" s="251"/>
    </row>
    <row r="333">
      <c r="A333" s="251"/>
    </row>
    <row r="334">
      <c r="A334" s="251"/>
    </row>
    <row r="335">
      <c r="A335" s="251"/>
    </row>
    <row r="336">
      <c r="A336" s="251"/>
    </row>
    <row r="337">
      <c r="A337" s="251"/>
    </row>
    <row r="338">
      <c r="A338" s="251"/>
    </row>
    <row r="339">
      <c r="A339" s="251"/>
    </row>
    <row r="340">
      <c r="A340" s="251"/>
    </row>
    <row r="341">
      <c r="A341" s="251"/>
    </row>
    <row r="342">
      <c r="A342" s="251"/>
    </row>
    <row r="343">
      <c r="A343" s="251"/>
    </row>
    <row r="344">
      <c r="A344" s="251"/>
    </row>
    <row r="345">
      <c r="A345" s="251"/>
    </row>
    <row r="346">
      <c r="A346" s="251"/>
    </row>
    <row r="347">
      <c r="A347" s="251"/>
    </row>
    <row r="348">
      <c r="A348" s="251"/>
    </row>
    <row r="349">
      <c r="A349" s="251"/>
    </row>
    <row r="350">
      <c r="A350" s="251"/>
    </row>
    <row r="351">
      <c r="A351" s="251"/>
    </row>
    <row r="352">
      <c r="A352" s="251"/>
    </row>
    <row r="353">
      <c r="A353" s="251"/>
    </row>
    <row r="354">
      <c r="A354" s="251"/>
    </row>
    <row r="355">
      <c r="A355" s="251"/>
    </row>
    <row r="356">
      <c r="A356" s="251"/>
    </row>
    <row r="357">
      <c r="A357" s="251"/>
    </row>
    <row r="358">
      <c r="A358" s="251"/>
    </row>
    <row r="359">
      <c r="A359" s="251"/>
    </row>
    <row r="360">
      <c r="A360" s="251"/>
    </row>
    <row r="361">
      <c r="A361" s="251"/>
    </row>
    <row r="362">
      <c r="A362" s="251"/>
    </row>
    <row r="363">
      <c r="A363" s="251"/>
    </row>
    <row r="364">
      <c r="A364" s="251"/>
    </row>
    <row r="365">
      <c r="A365" s="251"/>
    </row>
    <row r="366">
      <c r="A366" s="251"/>
    </row>
    <row r="367">
      <c r="A367" s="251"/>
    </row>
    <row r="368">
      <c r="A368" s="251"/>
    </row>
    <row r="369">
      <c r="A369" s="251"/>
    </row>
    <row r="370">
      <c r="A370" s="251"/>
    </row>
    <row r="371">
      <c r="A371" s="251"/>
    </row>
    <row r="372">
      <c r="A372" s="251"/>
    </row>
    <row r="373">
      <c r="A373" s="251"/>
    </row>
    <row r="374">
      <c r="A374" s="251"/>
    </row>
    <row r="375">
      <c r="A375" s="251"/>
    </row>
    <row r="376">
      <c r="A376" s="251"/>
    </row>
    <row r="377">
      <c r="A377" s="251"/>
    </row>
    <row r="378">
      <c r="A378" s="251"/>
    </row>
    <row r="379">
      <c r="A379" s="251"/>
    </row>
    <row r="380">
      <c r="A380" s="251"/>
    </row>
    <row r="381">
      <c r="A381" s="251"/>
    </row>
    <row r="382">
      <c r="A382" s="251"/>
    </row>
    <row r="383">
      <c r="A383" s="251"/>
    </row>
    <row r="384">
      <c r="A384" s="251"/>
    </row>
    <row r="385">
      <c r="A385" s="251"/>
    </row>
    <row r="386">
      <c r="A386" s="251"/>
    </row>
    <row r="387">
      <c r="A387" s="251"/>
    </row>
    <row r="388">
      <c r="A388" s="251"/>
    </row>
    <row r="389">
      <c r="A389" s="251"/>
    </row>
    <row r="390">
      <c r="A390" s="251"/>
    </row>
    <row r="391">
      <c r="A391" s="251"/>
    </row>
    <row r="392">
      <c r="A392" s="251"/>
    </row>
    <row r="393">
      <c r="A393" s="251"/>
    </row>
    <row r="394">
      <c r="A394" s="251"/>
    </row>
    <row r="395">
      <c r="A395" s="251"/>
    </row>
    <row r="396">
      <c r="A396" s="251"/>
    </row>
    <row r="397">
      <c r="A397" s="251"/>
    </row>
    <row r="398">
      <c r="A398" s="251"/>
    </row>
    <row r="399">
      <c r="A399" s="251"/>
    </row>
    <row r="400">
      <c r="A400" s="251"/>
    </row>
    <row r="401">
      <c r="A401" s="251"/>
    </row>
    <row r="402">
      <c r="A402" s="251"/>
    </row>
    <row r="403">
      <c r="A403" s="251"/>
    </row>
    <row r="404">
      <c r="A404" s="251"/>
    </row>
    <row r="405">
      <c r="A405" s="251"/>
    </row>
    <row r="406">
      <c r="A406" s="251"/>
    </row>
    <row r="407">
      <c r="A407" s="251"/>
    </row>
    <row r="408">
      <c r="A408" s="251"/>
    </row>
    <row r="409">
      <c r="A409" s="251"/>
    </row>
    <row r="410">
      <c r="A410" s="251"/>
    </row>
    <row r="411">
      <c r="A411" s="251"/>
    </row>
    <row r="412">
      <c r="A412" s="251"/>
    </row>
    <row r="413">
      <c r="A413" s="251"/>
    </row>
    <row r="414">
      <c r="A414" s="251"/>
    </row>
    <row r="415">
      <c r="A415" s="251"/>
    </row>
    <row r="416">
      <c r="A416" s="251"/>
    </row>
    <row r="417">
      <c r="A417" s="251"/>
    </row>
    <row r="418">
      <c r="A418" s="251"/>
    </row>
    <row r="419">
      <c r="A419" s="251"/>
    </row>
    <row r="420">
      <c r="A420" s="251"/>
    </row>
    <row r="421">
      <c r="A421" s="251"/>
    </row>
    <row r="422">
      <c r="A422" s="251"/>
    </row>
    <row r="423">
      <c r="A423" s="251"/>
    </row>
    <row r="424">
      <c r="A424" s="251"/>
    </row>
    <row r="425">
      <c r="A425" s="251"/>
    </row>
    <row r="426">
      <c r="A426" s="251"/>
    </row>
    <row r="427">
      <c r="A427" s="251"/>
    </row>
    <row r="428">
      <c r="A428" s="251"/>
    </row>
    <row r="429">
      <c r="A429" s="251"/>
    </row>
    <row r="430">
      <c r="A430" s="251"/>
    </row>
    <row r="431">
      <c r="A431" s="251"/>
    </row>
    <row r="432">
      <c r="A432" s="251"/>
    </row>
    <row r="433">
      <c r="A433" s="251"/>
    </row>
    <row r="434">
      <c r="A434" s="251"/>
    </row>
    <row r="435">
      <c r="A435" s="251"/>
    </row>
    <row r="436">
      <c r="A436" s="251"/>
    </row>
    <row r="437">
      <c r="A437" s="251"/>
    </row>
    <row r="438">
      <c r="A438" s="251"/>
    </row>
    <row r="439">
      <c r="A439" s="251"/>
    </row>
    <row r="440">
      <c r="A440" s="251"/>
    </row>
    <row r="441">
      <c r="A441" s="251"/>
    </row>
    <row r="442">
      <c r="A442" s="251"/>
    </row>
    <row r="443">
      <c r="A443" s="251"/>
    </row>
    <row r="444">
      <c r="A444" s="251"/>
    </row>
    <row r="445">
      <c r="A445" s="251"/>
    </row>
    <row r="446">
      <c r="A446" s="251"/>
    </row>
    <row r="447">
      <c r="A447" s="251"/>
    </row>
    <row r="448">
      <c r="A448" s="251"/>
    </row>
    <row r="449">
      <c r="A449" s="251"/>
    </row>
    <row r="450">
      <c r="A450" s="251"/>
    </row>
    <row r="451">
      <c r="A451" s="251"/>
    </row>
    <row r="452">
      <c r="A452" s="251"/>
    </row>
    <row r="453">
      <c r="A453" s="251"/>
    </row>
    <row r="454">
      <c r="A454" s="251"/>
    </row>
    <row r="455">
      <c r="A455" s="251"/>
    </row>
    <row r="456">
      <c r="A456" s="251"/>
    </row>
    <row r="457">
      <c r="A457" s="251"/>
    </row>
    <row r="458">
      <c r="A458" s="251"/>
    </row>
    <row r="459">
      <c r="A459" s="251"/>
    </row>
    <row r="460">
      <c r="A460" s="251"/>
    </row>
    <row r="461">
      <c r="A461" s="251"/>
    </row>
    <row r="462">
      <c r="A462" s="251"/>
    </row>
    <row r="463">
      <c r="A463" s="251"/>
    </row>
    <row r="464">
      <c r="A464" s="251"/>
    </row>
    <row r="465">
      <c r="A465" s="251"/>
    </row>
    <row r="466">
      <c r="A466" s="251"/>
    </row>
    <row r="467">
      <c r="A467" s="251"/>
    </row>
    <row r="468">
      <c r="A468" s="251"/>
    </row>
    <row r="469">
      <c r="A469" s="251"/>
    </row>
    <row r="470">
      <c r="A470" s="251"/>
    </row>
    <row r="471">
      <c r="A471" s="251"/>
    </row>
    <row r="472">
      <c r="A472" s="251"/>
    </row>
    <row r="473">
      <c r="A473" s="251"/>
    </row>
    <row r="474">
      <c r="A474" s="251"/>
    </row>
    <row r="475">
      <c r="A475" s="251"/>
    </row>
    <row r="476">
      <c r="A476" s="251"/>
    </row>
    <row r="477">
      <c r="A477" s="251"/>
    </row>
    <row r="478">
      <c r="A478" s="251"/>
    </row>
    <row r="479">
      <c r="A479" s="251"/>
    </row>
    <row r="480">
      <c r="A480" s="251"/>
    </row>
    <row r="481">
      <c r="A481" s="251"/>
    </row>
    <row r="482">
      <c r="A482" s="251"/>
    </row>
    <row r="483">
      <c r="A483" s="251"/>
    </row>
    <row r="484">
      <c r="A484" s="251"/>
    </row>
    <row r="485">
      <c r="A485" s="251"/>
    </row>
    <row r="486">
      <c r="A486" s="251"/>
    </row>
    <row r="487">
      <c r="A487" s="251"/>
    </row>
    <row r="488">
      <c r="A488" s="251"/>
    </row>
    <row r="489">
      <c r="A489" s="251"/>
    </row>
    <row r="490">
      <c r="A490" s="251"/>
    </row>
    <row r="491">
      <c r="A491" s="251"/>
    </row>
    <row r="492">
      <c r="A492" s="251"/>
    </row>
    <row r="493">
      <c r="A493" s="251"/>
    </row>
    <row r="494">
      <c r="A494" s="251"/>
    </row>
    <row r="495">
      <c r="A495" s="251"/>
    </row>
    <row r="496">
      <c r="A496" s="251"/>
    </row>
    <row r="497">
      <c r="A497" s="251"/>
    </row>
    <row r="498">
      <c r="A498" s="251"/>
    </row>
    <row r="499">
      <c r="A499" s="251"/>
    </row>
    <row r="500">
      <c r="A500" s="251"/>
    </row>
    <row r="501">
      <c r="A501" s="251"/>
    </row>
    <row r="502">
      <c r="A502" s="251"/>
    </row>
    <row r="503">
      <c r="A503" s="251"/>
    </row>
    <row r="504">
      <c r="A504" s="251"/>
    </row>
    <row r="505">
      <c r="A505" s="251"/>
    </row>
    <row r="506">
      <c r="A506" s="251"/>
    </row>
    <row r="507">
      <c r="A507" s="251"/>
    </row>
    <row r="508">
      <c r="A508" s="251"/>
    </row>
    <row r="509">
      <c r="A509" s="251"/>
    </row>
    <row r="510">
      <c r="A510" s="251"/>
    </row>
    <row r="511">
      <c r="A511" s="251"/>
    </row>
    <row r="512">
      <c r="A512" s="251"/>
    </row>
    <row r="513">
      <c r="A513" s="251"/>
    </row>
    <row r="514">
      <c r="A514" s="251"/>
    </row>
    <row r="515">
      <c r="A515" s="251"/>
    </row>
    <row r="516">
      <c r="A516" s="251"/>
    </row>
    <row r="517">
      <c r="A517" s="251"/>
    </row>
    <row r="518">
      <c r="A518" s="251"/>
    </row>
    <row r="519">
      <c r="A519" s="251"/>
    </row>
    <row r="520">
      <c r="A520" s="251"/>
    </row>
    <row r="521">
      <c r="A521" s="251"/>
    </row>
    <row r="522">
      <c r="A522" s="251"/>
    </row>
    <row r="523">
      <c r="A523" s="251"/>
    </row>
    <row r="524">
      <c r="A524" s="251"/>
    </row>
    <row r="525">
      <c r="A525" s="251"/>
    </row>
    <row r="526">
      <c r="A526" s="251"/>
    </row>
    <row r="527">
      <c r="A527" s="251"/>
    </row>
    <row r="528">
      <c r="A528" s="251"/>
    </row>
    <row r="529">
      <c r="A529" s="251"/>
    </row>
    <row r="530">
      <c r="A530" s="251"/>
    </row>
    <row r="531">
      <c r="A531" s="251"/>
    </row>
    <row r="532">
      <c r="A532" s="251"/>
    </row>
    <row r="533">
      <c r="A533" s="251"/>
    </row>
    <row r="534">
      <c r="A534" s="251"/>
    </row>
    <row r="535">
      <c r="A535" s="251"/>
    </row>
    <row r="536">
      <c r="A536" s="251"/>
    </row>
    <row r="537">
      <c r="A537" s="251"/>
    </row>
    <row r="538">
      <c r="A538" s="251"/>
    </row>
    <row r="539">
      <c r="A539" s="251"/>
    </row>
    <row r="540">
      <c r="A540" s="251"/>
    </row>
    <row r="541">
      <c r="A541" s="251"/>
    </row>
    <row r="542">
      <c r="A542" s="251"/>
    </row>
    <row r="543">
      <c r="A543" s="251"/>
    </row>
    <row r="544">
      <c r="A544" s="251"/>
    </row>
    <row r="545">
      <c r="A545" s="251"/>
    </row>
    <row r="546">
      <c r="A546" s="251"/>
    </row>
    <row r="547">
      <c r="A547" s="251"/>
    </row>
    <row r="548">
      <c r="A548" s="251"/>
    </row>
    <row r="549">
      <c r="A549" s="251"/>
    </row>
    <row r="550">
      <c r="A550" s="251"/>
    </row>
    <row r="551">
      <c r="A551" s="251"/>
    </row>
    <row r="552">
      <c r="A552" s="251"/>
    </row>
    <row r="553">
      <c r="A553" s="251"/>
    </row>
    <row r="554">
      <c r="A554" s="251"/>
    </row>
    <row r="555">
      <c r="A555" s="251"/>
    </row>
    <row r="556">
      <c r="A556" s="251"/>
    </row>
    <row r="557">
      <c r="A557" s="251"/>
    </row>
    <row r="558">
      <c r="A558" s="251"/>
    </row>
    <row r="559">
      <c r="A559" s="251"/>
    </row>
    <row r="560">
      <c r="A560" s="251"/>
    </row>
    <row r="561">
      <c r="A561" s="251"/>
    </row>
    <row r="562">
      <c r="A562" s="251"/>
    </row>
    <row r="563">
      <c r="A563" s="251"/>
    </row>
    <row r="564">
      <c r="A564" s="251"/>
    </row>
    <row r="565">
      <c r="A565" s="251"/>
    </row>
    <row r="566">
      <c r="A566" s="251"/>
    </row>
    <row r="567">
      <c r="A567" s="251"/>
    </row>
    <row r="568">
      <c r="A568" s="251"/>
    </row>
    <row r="569">
      <c r="A569" s="251"/>
    </row>
    <row r="570">
      <c r="A570" s="251"/>
    </row>
    <row r="571">
      <c r="A571" s="251"/>
    </row>
    <row r="572">
      <c r="A572" s="251"/>
    </row>
    <row r="573">
      <c r="A573" s="251"/>
    </row>
    <row r="574">
      <c r="A574" s="251"/>
    </row>
    <row r="575">
      <c r="A575" s="251"/>
    </row>
    <row r="576">
      <c r="A576" s="251"/>
    </row>
    <row r="577">
      <c r="A577" s="251"/>
    </row>
    <row r="578">
      <c r="A578" s="251"/>
    </row>
    <row r="579">
      <c r="A579" s="251"/>
    </row>
    <row r="580">
      <c r="A580" s="251"/>
    </row>
    <row r="581">
      <c r="A581" s="251"/>
    </row>
    <row r="582">
      <c r="A582" s="251"/>
    </row>
    <row r="583">
      <c r="A583" s="251"/>
    </row>
    <row r="584">
      <c r="A584" s="251"/>
    </row>
    <row r="585">
      <c r="A585" s="251"/>
    </row>
    <row r="586">
      <c r="A586" s="251"/>
    </row>
    <row r="587">
      <c r="A587" s="251"/>
    </row>
    <row r="588">
      <c r="A588" s="251"/>
    </row>
    <row r="589">
      <c r="A589" s="251"/>
    </row>
    <row r="590">
      <c r="A590" s="251"/>
    </row>
    <row r="591">
      <c r="A591" s="251"/>
    </row>
    <row r="592">
      <c r="A592" s="251"/>
    </row>
    <row r="593">
      <c r="A593" s="251"/>
    </row>
    <row r="594">
      <c r="A594" s="251"/>
    </row>
    <row r="595">
      <c r="A595" s="251"/>
    </row>
    <row r="596">
      <c r="A596" s="251"/>
    </row>
    <row r="597">
      <c r="A597" s="251"/>
    </row>
    <row r="598">
      <c r="A598" s="251"/>
    </row>
    <row r="599">
      <c r="A599" s="251"/>
    </row>
    <row r="600">
      <c r="A600" s="251"/>
    </row>
    <row r="601">
      <c r="A601" s="251"/>
    </row>
    <row r="602">
      <c r="A602" s="251"/>
    </row>
    <row r="603">
      <c r="A603" s="251"/>
    </row>
    <row r="604">
      <c r="A604" s="251"/>
    </row>
    <row r="605">
      <c r="A605" s="251"/>
    </row>
    <row r="606">
      <c r="A606" s="251"/>
    </row>
    <row r="607">
      <c r="A607" s="251"/>
    </row>
    <row r="608">
      <c r="A608" s="251"/>
    </row>
    <row r="609">
      <c r="A609" s="251"/>
    </row>
    <row r="610">
      <c r="A610" s="251"/>
    </row>
    <row r="611">
      <c r="A611" s="251"/>
    </row>
    <row r="612">
      <c r="A612" s="251"/>
    </row>
    <row r="613">
      <c r="A613" s="251"/>
    </row>
    <row r="614">
      <c r="A614" s="251"/>
    </row>
    <row r="615">
      <c r="A615" s="251"/>
    </row>
    <row r="616">
      <c r="A616" s="251"/>
    </row>
    <row r="617">
      <c r="A617" s="251"/>
    </row>
    <row r="618">
      <c r="A618" s="251"/>
    </row>
    <row r="619">
      <c r="A619" s="251"/>
    </row>
    <row r="620">
      <c r="A620" s="251"/>
    </row>
    <row r="621">
      <c r="A621" s="251"/>
    </row>
    <row r="622">
      <c r="A622" s="251"/>
    </row>
    <row r="623">
      <c r="A623" s="251"/>
    </row>
    <row r="624">
      <c r="A624" s="251"/>
    </row>
    <row r="625">
      <c r="A625" s="251"/>
    </row>
    <row r="626">
      <c r="A626" s="251"/>
    </row>
    <row r="627">
      <c r="A627" s="251"/>
    </row>
    <row r="628">
      <c r="A628" s="251"/>
    </row>
    <row r="629">
      <c r="A629" s="251"/>
    </row>
    <row r="630">
      <c r="A630" s="251"/>
    </row>
    <row r="631">
      <c r="A631" s="251"/>
    </row>
    <row r="632">
      <c r="A632" s="251"/>
    </row>
    <row r="633">
      <c r="A633" s="251"/>
    </row>
    <row r="634">
      <c r="A634" s="251"/>
    </row>
    <row r="635">
      <c r="A635" s="251"/>
    </row>
    <row r="636">
      <c r="A636" s="251"/>
    </row>
    <row r="637">
      <c r="A637" s="251"/>
    </row>
    <row r="638">
      <c r="A638" s="251"/>
    </row>
    <row r="639">
      <c r="A639" s="251"/>
    </row>
    <row r="640">
      <c r="A640" s="251"/>
    </row>
    <row r="641">
      <c r="A641" s="251"/>
    </row>
    <row r="642">
      <c r="A642" s="251"/>
    </row>
    <row r="643">
      <c r="A643" s="251"/>
    </row>
    <row r="644">
      <c r="A644" s="251"/>
    </row>
    <row r="645">
      <c r="A645" s="251"/>
    </row>
    <row r="646">
      <c r="A646" s="251"/>
    </row>
    <row r="647">
      <c r="A647" s="251"/>
    </row>
    <row r="648">
      <c r="A648" s="251"/>
    </row>
    <row r="649">
      <c r="A649" s="251"/>
    </row>
    <row r="650">
      <c r="A650" s="251"/>
    </row>
    <row r="651">
      <c r="A651" s="251"/>
    </row>
    <row r="652">
      <c r="A652" s="251"/>
    </row>
    <row r="653">
      <c r="A653" s="251"/>
    </row>
    <row r="654">
      <c r="A654" s="251"/>
    </row>
    <row r="655">
      <c r="A655" s="251"/>
    </row>
    <row r="656">
      <c r="A656" s="251"/>
    </row>
    <row r="657">
      <c r="A657" s="251"/>
    </row>
    <row r="658">
      <c r="A658" s="251"/>
    </row>
    <row r="659">
      <c r="A659" s="251"/>
    </row>
    <row r="660">
      <c r="A660" s="251"/>
    </row>
    <row r="661">
      <c r="A661" s="251"/>
    </row>
    <row r="662">
      <c r="A662" s="251"/>
    </row>
    <row r="663">
      <c r="A663" s="251"/>
    </row>
    <row r="664">
      <c r="A664" s="251"/>
    </row>
    <row r="665">
      <c r="A665" s="251"/>
    </row>
    <row r="666">
      <c r="A666" s="251"/>
    </row>
    <row r="667">
      <c r="A667" s="251"/>
    </row>
    <row r="668">
      <c r="A668" s="251"/>
    </row>
    <row r="669">
      <c r="A669" s="251"/>
    </row>
    <row r="670">
      <c r="A670" s="251"/>
    </row>
    <row r="671">
      <c r="A671" s="251"/>
    </row>
    <row r="672">
      <c r="A672" s="251"/>
    </row>
    <row r="673">
      <c r="A673" s="251"/>
    </row>
    <row r="674">
      <c r="A674" s="251"/>
    </row>
    <row r="675">
      <c r="A675" s="251"/>
    </row>
    <row r="676">
      <c r="A676" s="251"/>
    </row>
    <row r="677">
      <c r="A677" s="251"/>
    </row>
    <row r="678">
      <c r="A678" s="251"/>
    </row>
    <row r="679">
      <c r="A679" s="251"/>
    </row>
    <row r="680">
      <c r="A680" s="251"/>
    </row>
    <row r="681">
      <c r="A681" s="251"/>
    </row>
    <row r="682">
      <c r="A682" s="251"/>
    </row>
    <row r="683">
      <c r="A683" s="251"/>
    </row>
    <row r="684">
      <c r="A684" s="251"/>
    </row>
    <row r="685">
      <c r="A685" s="251"/>
    </row>
    <row r="686">
      <c r="A686" s="251"/>
    </row>
    <row r="687">
      <c r="A687" s="251"/>
    </row>
    <row r="688">
      <c r="A688" s="251"/>
    </row>
    <row r="689">
      <c r="A689" s="251"/>
    </row>
    <row r="690">
      <c r="A690" s="251"/>
    </row>
    <row r="691">
      <c r="A691" s="251"/>
    </row>
    <row r="692">
      <c r="A692" s="251"/>
    </row>
    <row r="693">
      <c r="A693" s="251"/>
    </row>
    <row r="694">
      <c r="A694" s="251"/>
    </row>
    <row r="695">
      <c r="A695" s="251"/>
    </row>
    <row r="696">
      <c r="A696" s="251"/>
    </row>
    <row r="697">
      <c r="A697" s="251"/>
    </row>
    <row r="698">
      <c r="A698" s="251"/>
    </row>
    <row r="699">
      <c r="A699" s="251"/>
    </row>
    <row r="700">
      <c r="A700" s="251"/>
    </row>
    <row r="701">
      <c r="A701" s="251"/>
    </row>
    <row r="702">
      <c r="A702" s="251"/>
    </row>
    <row r="703">
      <c r="A703" s="251"/>
    </row>
    <row r="704">
      <c r="A704" s="251"/>
    </row>
    <row r="705">
      <c r="A705" s="251"/>
    </row>
    <row r="706">
      <c r="A706" s="251"/>
    </row>
    <row r="707">
      <c r="A707" s="251"/>
    </row>
    <row r="708">
      <c r="A708" s="251"/>
    </row>
    <row r="709">
      <c r="A709" s="251"/>
    </row>
    <row r="710">
      <c r="A710" s="251"/>
    </row>
    <row r="711">
      <c r="A711" s="251"/>
    </row>
    <row r="712">
      <c r="A712" s="251"/>
    </row>
    <row r="713">
      <c r="A713" s="251"/>
    </row>
    <row r="714">
      <c r="A714" s="251"/>
    </row>
    <row r="715">
      <c r="A715" s="251"/>
    </row>
    <row r="716">
      <c r="A716" s="251"/>
    </row>
    <row r="717">
      <c r="A717" s="251"/>
    </row>
    <row r="718">
      <c r="A718" s="251"/>
    </row>
    <row r="719">
      <c r="A719" s="251"/>
    </row>
    <row r="720">
      <c r="A720" s="251"/>
    </row>
    <row r="721">
      <c r="A721" s="251"/>
    </row>
    <row r="722">
      <c r="A722" s="251"/>
    </row>
    <row r="723">
      <c r="A723" s="251"/>
    </row>
    <row r="724">
      <c r="A724" s="251"/>
    </row>
    <row r="725">
      <c r="A725" s="251"/>
    </row>
    <row r="726">
      <c r="A726" s="251"/>
    </row>
    <row r="727">
      <c r="A727" s="251"/>
    </row>
    <row r="728">
      <c r="A728" s="251"/>
    </row>
    <row r="729">
      <c r="A729" s="251"/>
    </row>
    <row r="730">
      <c r="A730" s="251"/>
    </row>
    <row r="731">
      <c r="A731" s="251"/>
    </row>
    <row r="732">
      <c r="A732" s="251"/>
    </row>
    <row r="733">
      <c r="A733" s="251"/>
    </row>
    <row r="734">
      <c r="A734" s="251"/>
    </row>
    <row r="735">
      <c r="A735" s="251"/>
    </row>
    <row r="736">
      <c r="A736" s="251"/>
    </row>
    <row r="737">
      <c r="A737" s="251"/>
    </row>
    <row r="738">
      <c r="A738" s="251"/>
    </row>
    <row r="739">
      <c r="A739" s="251"/>
    </row>
    <row r="740">
      <c r="A740" s="251"/>
    </row>
    <row r="741">
      <c r="A741" s="251"/>
    </row>
    <row r="742">
      <c r="A742" s="251"/>
    </row>
    <row r="743">
      <c r="A743" s="251"/>
    </row>
    <row r="744">
      <c r="A744" s="251"/>
    </row>
    <row r="745">
      <c r="A745" s="251"/>
    </row>
    <row r="746">
      <c r="A746" s="251"/>
    </row>
    <row r="747">
      <c r="A747" s="251"/>
    </row>
    <row r="748">
      <c r="A748" s="251"/>
    </row>
    <row r="749">
      <c r="A749" s="251"/>
    </row>
    <row r="750">
      <c r="A750" s="251"/>
    </row>
    <row r="751">
      <c r="A751" s="251"/>
    </row>
    <row r="752">
      <c r="A752" s="251"/>
    </row>
    <row r="753">
      <c r="A753" s="251"/>
    </row>
    <row r="754">
      <c r="A754" s="251"/>
    </row>
    <row r="755">
      <c r="A755" s="251"/>
    </row>
    <row r="756">
      <c r="A756" s="251"/>
    </row>
    <row r="757">
      <c r="A757" s="251"/>
    </row>
    <row r="758">
      <c r="A758" s="251"/>
    </row>
    <row r="759">
      <c r="A759" s="251"/>
    </row>
    <row r="760">
      <c r="A760" s="251"/>
    </row>
    <row r="761">
      <c r="A761" s="251"/>
    </row>
    <row r="762">
      <c r="A762" s="251"/>
    </row>
    <row r="763">
      <c r="A763" s="251"/>
    </row>
    <row r="764">
      <c r="A764" s="251"/>
    </row>
    <row r="765">
      <c r="A765" s="251"/>
    </row>
    <row r="766">
      <c r="A766" s="251"/>
    </row>
    <row r="767">
      <c r="A767" s="251"/>
    </row>
    <row r="768">
      <c r="A768" s="251"/>
    </row>
    <row r="769">
      <c r="A769" s="251"/>
    </row>
    <row r="770">
      <c r="A770" s="251"/>
    </row>
    <row r="771">
      <c r="A771" s="251"/>
    </row>
    <row r="772">
      <c r="A772" s="251"/>
    </row>
    <row r="773">
      <c r="A773" s="251"/>
    </row>
    <row r="774">
      <c r="A774" s="251"/>
    </row>
    <row r="775">
      <c r="A775" s="251"/>
    </row>
    <row r="776">
      <c r="A776" s="251"/>
    </row>
    <row r="777">
      <c r="A777" s="251"/>
    </row>
    <row r="778">
      <c r="A778" s="251"/>
    </row>
    <row r="779">
      <c r="A779" s="251"/>
    </row>
    <row r="780">
      <c r="A780" s="251"/>
    </row>
    <row r="781">
      <c r="A781" s="251"/>
    </row>
    <row r="782">
      <c r="A782" s="251"/>
    </row>
    <row r="783">
      <c r="A783" s="251"/>
    </row>
    <row r="784">
      <c r="A784" s="251"/>
    </row>
    <row r="785">
      <c r="A785" s="251"/>
    </row>
    <row r="786">
      <c r="A786" s="251"/>
    </row>
    <row r="787">
      <c r="A787" s="251"/>
    </row>
    <row r="788">
      <c r="A788" s="251"/>
    </row>
    <row r="789">
      <c r="A789" s="251"/>
    </row>
    <row r="790">
      <c r="A790" s="251"/>
    </row>
    <row r="791">
      <c r="A791" s="251"/>
    </row>
    <row r="792">
      <c r="A792" s="251"/>
    </row>
    <row r="793">
      <c r="A793" s="251"/>
    </row>
    <row r="794">
      <c r="A794" s="251"/>
    </row>
    <row r="795">
      <c r="A795" s="251"/>
    </row>
    <row r="796">
      <c r="A796" s="251"/>
    </row>
    <row r="797">
      <c r="A797" s="251"/>
    </row>
    <row r="798">
      <c r="A798" s="251"/>
    </row>
    <row r="799">
      <c r="A799" s="251"/>
    </row>
    <row r="800">
      <c r="A800" s="251"/>
    </row>
    <row r="801">
      <c r="A801" s="251"/>
    </row>
    <row r="802">
      <c r="A802" s="251"/>
    </row>
    <row r="803">
      <c r="A803" s="251"/>
    </row>
    <row r="804">
      <c r="A804" s="251"/>
    </row>
    <row r="805">
      <c r="A805" s="251"/>
    </row>
    <row r="806">
      <c r="A806" s="251"/>
    </row>
    <row r="807">
      <c r="A807" s="251"/>
    </row>
    <row r="808">
      <c r="A808" s="251"/>
    </row>
    <row r="809">
      <c r="A809" s="251"/>
    </row>
    <row r="810">
      <c r="A810" s="251"/>
    </row>
    <row r="811">
      <c r="A811" s="251"/>
    </row>
    <row r="812">
      <c r="A812" s="251"/>
    </row>
    <row r="813">
      <c r="A813" s="251"/>
    </row>
    <row r="814">
      <c r="A814" s="251"/>
    </row>
    <row r="815">
      <c r="A815" s="251"/>
    </row>
    <row r="816">
      <c r="A816" s="251"/>
    </row>
    <row r="817">
      <c r="A817" s="251"/>
    </row>
    <row r="818">
      <c r="A818" s="251"/>
    </row>
    <row r="819">
      <c r="A819" s="251"/>
    </row>
    <row r="820">
      <c r="A820" s="251"/>
    </row>
    <row r="821">
      <c r="A821" s="251"/>
    </row>
    <row r="822">
      <c r="A822" s="251"/>
    </row>
    <row r="823">
      <c r="A823" s="251"/>
    </row>
    <row r="824">
      <c r="A824" s="251"/>
    </row>
    <row r="825">
      <c r="A825" s="251"/>
    </row>
    <row r="826">
      <c r="A826" s="251"/>
    </row>
    <row r="827">
      <c r="A827" s="251"/>
    </row>
    <row r="828">
      <c r="A828" s="251"/>
    </row>
    <row r="829">
      <c r="A829" s="251"/>
    </row>
    <row r="830">
      <c r="A830" s="251"/>
    </row>
    <row r="831">
      <c r="A831" s="251"/>
    </row>
    <row r="832">
      <c r="A832" s="251"/>
    </row>
    <row r="833">
      <c r="A833" s="251"/>
    </row>
    <row r="834">
      <c r="A834" s="251"/>
    </row>
    <row r="835">
      <c r="A835" s="251"/>
    </row>
    <row r="836">
      <c r="A836" s="251"/>
    </row>
    <row r="837">
      <c r="A837" s="251"/>
    </row>
    <row r="838">
      <c r="A838" s="251"/>
    </row>
    <row r="839">
      <c r="A839" s="251"/>
    </row>
    <row r="840">
      <c r="A840" s="251"/>
    </row>
    <row r="841">
      <c r="A841" s="251"/>
    </row>
    <row r="842">
      <c r="A842" s="251"/>
    </row>
    <row r="843">
      <c r="A843" s="251"/>
    </row>
    <row r="844">
      <c r="A844" s="251"/>
    </row>
    <row r="845">
      <c r="A845" s="251"/>
    </row>
    <row r="846">
      <c r="A846" s="251"/>
    </row>
    <row r="847">
      <c r="A847" s="251"/>
    </row>
    <row r="848">
      <c r="A848" s="251"/>
    </row>
    <row r="849">
      <c r="A849" s="251"/>
    </row>
    <row r="850">
      <c r="A850" s="251"/>
    </row>
    <row r="851">
      <c r="A851" s="251"/>
    </row>
    <row r="852">
      <c r="A852" s="251"/>
    </row>
    <row r="853">
      <c r="A853" s="251"/>
    </row>
    <row r="854">
      <c r="A854" s="251"/>
    </row>
    <row r="855">
      <c r="A855" s="251"/>
    </row>
    <row r="856">
      <c r="A856" s="251"/>
    </row>
    <row r="857">
      <c r="A857" s="251"/>
    </row>
    <row r="858">
      <c r="A858" s="251"/>
    </row>
    <row r="859">
      <c r="A859" s="251"/>
    </row>
    <row r="860">
      <c r="A860" s="251"/>
    </row>
    <row r="861">
      <c r="A861" s="251"/>
    </row>
    <row r="862">
      <c r="A862" s="251"/>
    </row>
    <row r="863">
      <c r="A863" s="251"/>
    </row>
    <row r="864">
      <c r="A864" s="251"/>
    </row>
    <row r="865">
      <c r="A865" s="251"/>
    </row>
    <row r="866">
      <c r="A866" s="251"/>
    </row>
    <row r="867">
      <c r="A867" s="251"/>
    </row>
    <row r="868">
      <c r="A868" s="251"/>
    </row>
    <row r="869">
      <c r="A869" s="251"/>
    </row>
    <row r="870">
      <c r="A870" s="251"/>
    </row>
    <row r="871">
      <c r="A871" s="251"/>
    </row>
    <row r="872">
      <c r="A872" s="251"/>
    </row>
    <row r="873">
      <c r="A873" s="251"/>
    </row>
    <row r="874">
      <c r="A874" s="251"/>
    </row>
    <row r="875">
      <c r="A875" s="251"/>
    </row>
    <row r="876">
      <c r="A876" s="251"/>
    </row>
    <row r="877">
      <c r="A877" s="251"/>
    </row>
    <row r="878">
      <c r="A878" s="251"/>
    </row>
    <row r="879">
      <c r="A879" s="251"/>
    </row>
    <row r="880">
      <c r="A880" s="251"/>
    </row>
    <row r="881">
      <c r="A881" s="251"/>
    </row>
    <row r="882">
      <c r="A882" s="251"/>
    </row>
    <row r="883">
      <c r="A883" s="251"/>
    </row>
    <row r="884">
      <c r="A884" s="251"/>
    </row>
    <row r="885">
      <c r="A885" s="251"/>
    </row>
    <row r="886">
      <c r="A886" s="251"/>
    </row>
    <row r="887">
      <c r="A887" s="251"/>
    </row>
    <row r="888">
      <c r="A888" s="251"/>
    </row>
    <row r="889">
      <c r="A889" s="251"/>
    </row>
    <row r="890">
      <c r="A890" s="251"/>
    </row>
    <row r="891">
      <c r="A891" s="251"/>
    </row>
    <row r="892">
      <c r="A892" s="251"/>
    </row>
    <row r="893">
      <c r="A893" s="251"/>
    </row>
    <row r="894">
      <c r="A894" s="251"/>
    </row>
    <row r="895">
      <c r="A895" s="251"/>
    </row>
    <row r="896">
      <c r="A896" s="251"/>
    </row>
    <row r="897">
      <c r="A897" s="251"/>
    </row>
    <row r="898">
      <c r="A898" s="251"/>
    </row>
    <row r="899">
      <c r="A899" s="251"/>
    </row>
    <row r="900">
      <c r="A900" s="251"/>
    </row>
    <row r="901">
      <c r="A901" s="251"/>
    </row>
    <row r="902">
      <c r="A902" s="251"/>
    </row>
    <row r="903">
      <c r="A903" s="251"/>
    </row>
    <row r="904">
      <c r="A904" s="251"/>
    </row>
    <row r="905">
      <c r="A905" s="251"/>
    </row>
    <row r="906">
      <c r="A906" s="251"/>
    </row>
    <row r="907">
      <c r="A907" s="251"/>
    </row>
    <row r="908">
      <c r="A908" s="251"/>
    </row>
    <row r="909">
      <c r="A909" s="251"/>
    </row>
    <row r="910">
      <c r="A910" s="251"/>
    </row>
    <row r="911">
      <c r="A911" s="251"/>
    </row>
    <row r="912">
      <c r="A912" s="251"/>
    </row>
    <row r="913">
      <c r="A913" s="251"/>
    </row>
    <row r="914">
      <c r="A914" s="251"/>
    </row>
    <row r="915">
      <c r="A915" s="251"/>
    </row>
    <row r="916">
      <c r="A916" s="251"/>
    </row>
    <row r="917">
      <c r="A917" s="251"/>
    </row>
    <row r="918">
      <c r="A918" s="251"/>
    </row>
    <row r="919">
      <c r="A919" s="251"/>
    </row>
    <row r="920">
      <c r="A920" s="251"/>
    </row>
    <row r="921">
      <c r="A921" s="251"/>
    </row>
    <row r="922">
      <c r="A922" s="251"/>
    </row>
    <row r="923">
      <c r="A923" s="251"/>
    </row>
    <row r="924">
      <c r="A924" s="251"/>
    </row>
    <row r="925">
      <c r="A925" s="251"/>
    </row>
    <row r="926">
      <c r="A926" s="251"/>
    </row>
    <row r="927">
      <c r="A927" s="251"/>
    </row>
    <row r="928">
      <c r="A928" s="251"/>
    </row>
    <row r="929">
      <c r="A929" s="251"/>
    </row>
    <row r="930">
      <c r="A930" s="251"/>
    </row>
    <row r="931">
      <c r="A931" s="251"/>
    </row>
    <row r="932">
      <c r="A932" s="251"/>
    </row>
    <row r="933">
      <c r="A933" s="251"/>
    </row>
    <row r="934">
      <c r="A934" s="251"/>
    </row>
    <row r="935">
      <c r="A935" s="251"/>
    </row>
    <row r="936">
      <c r="A936" s="251"/>
    </row>
    <row r="937">
      <c r="A937" s="251"/>
    </row>
    <row r="938">
      <c r="A938" s="251"/>
    </row>
    <row r="939">
      <c r="A939" s="251"/>
    </row>
    <row r="940">
      <c r="A940" s="251"/>
    </row>
    <row r="941">
      <c r="A941" s="251"/>
    </row>
    <row r="942">
      <c r="A942" s="251"/>
    </row>
    <row r="943">
      <c r="A943" s="251"/>
    </row>
    <row r="944">
      <c r="A944" s="251"/>
    </row>
    <row r="945">
      <c r="A945" s="251"/>
    </row>
    <row r="946">
      <c r="A946" s="251"/>
    </row>
    <row r="947">
      <c r="A947" s="251"/>
    </row>
    <row r="948">
      <c r="A948" s="251"/>
    </row>
    <row r="949">
      <c r="A949" s="251"/>
    </row>
    <row r="950">
      <c r="A950" s="251"/>
    </row>
    <row r="951">
      <c r="A951" s="251"/>
    </row>
    <row r="952">
      <c r="A952" s="251"/>
    </row>
    <row r="953">
      <c r="A953" s="251"/>
    </row>
    <row r="954">
      <c r="A954" s="251"/>
    </row>
    <row r="955">
      <c r="A955" s="251"/>
    </row>
    <row r="956">
      <c r="A956" s="251"/>
    </row>
    <row r="957">
      <c r="A957" s="251"/>
    </row>
    <row r="958">
      <c r="A958" s="251"/>
    </row>
    <row r="959">
      <c r="A959" s="251"/>
    </row>
    <row r="960">
      <c r="A960" s="251"/>
    </row>
    <row r="961">
      <c r="A961" s="251"/>
    </row>
    <row r="962">
      <c r="A962" s="251"/>
    </row>
    <row r="963">
      <c r="A963" s="251"/>
    </row>
    <row r="964">
      <c r="A964" s="251"/>
    </row>
    <row r="965">
      <c r="A965" s="251"/>
    </row>
    <row r="966">
      <c r="A966" s="251"/>
    </row>
    <row r="967">
      <c r="A967" s="251"/>
    </row>
    <row r="968">
      <c r="A968" s="251"/>
    </row>
    <row r="969">
      <c r="A969" s="251"/>
    </row>
    <row r="970">
      <c r="A970" s="251"/>
    </row>
    <row r="971">
      <c r="A971" s="251"/>
    </row>
    <row r="972">
      <c r="A972" s="251"/>
    </row>
    <row r="973">
      <c r="A973" s="251"/>
    </row>
    <row r="974">
      <c r="A974" s="251"/>
    </row>
    <row r="975">
      <c r="A975" s="251"/>
    </row>
    <row r="976">
      <c r="A976" s="251"/>
    </row>
    <row r="977">
      <c r="A977" s="251"/>
    </row>
    <row r="978">
      <c r="A978" s="251"/>
    </row>
    <row r="979">
      <c r="A979" s="251"/>
    </row>
    <row r="980">
      <c r="A980" s="251"/>
    </row>
    <row r="981">
      <c r="A981" s="251"/>
    </row>
  </sheetData>
  <mergeCells count="2">
    <mergeCell ref="A15:G15"/>
    <mergeCell ref="A21:D21"/>
  </mergeCell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13"/>
    <col customWidth="1" min="4" max="4" width="11.63"/>
    <col customWidth="1" min="6" max="6" width="9.63"/>
    <col customWidth="1" min="7" max="7" width="7.38"/>
    <col customWidth="1" min="8" max="8" width="12.25"/>
    <col customWidth="1" min="9" max="9" width="15.5"/>
  </cols>
  <sheetData>
    <row r="1">
      <c r="A1" s="251"/>
      <c r="B1" s="179"/>
      <c r="C1" s="179"/>
      <c r="D1" s="179"/>
      <c r="E1" s="179"/>
      <c r="F1" s="235"/>
      <c r="G1" s="235"/>
      <c r="H1" s="235"/>
      <c r="I1" s="179"/>
    </row>
    <row r="2">
      <c r="A2" s="252" t="s">
        <v>121</v>
      </c>
      <c r="B2" s="253" t="s">
        <v>195</v>
      </c>
      <c r="C2" s="253" t="s">
        <v>196</v>
      </c>
      <c r="D2" s="253" t="s">
        <v>197</v>
      </c>
      <c r="E2" s="253" t="s">
        <v>4</v>
      </c>
      <c r="F2" s="249" t="s">
        <v>5</v>
      </c>
      <c r="G2" s="249" t="s">
        <v>9</v>
      </c>
      <c r="H2" s="253" t="s">
        <v>6</v>
      </c>
      <c r="I2" s="254" t="s">
        <v>198</v>
      </c>
      <c r="J2" s="69"/>
    </row>
    <row r="3">
      <c r="A3" s="87" t="s">
        <v>216</v>
      </c>
      <c r="B3" s="98">
        <f>'Исходные данные'!D11</f>
        <v>214</v>
      </c>
      <c r="C3" s="134">
        <f>'Исходные данные'!F32</f>
        <v>8</v>
      </c>
      <c r="D3" s="134"/>
      <c r="E3" s="134">
        <v>480420.0</v>
      </c>
      <c r="F3" s="256">
        <v>12.0</v>
      </c>
      <c r="G3" s="249"/>
      <c r="H3" s="250">
        <f t="shared" ref="H3:H11" si="1">E3/F3</f>
        <v>40035</v>
      </c>
      <c r="I3" s="257">
        <f t="shared" ref="I3:I4" si="2">H3/B3*C3</f>
        <v>1496.635514</v>
      </c>
      <c r="J3" s="69"/>
    </row>
    <row r="4">
      <c r="A4" s="87" t="s">
        <v>201</v>
      </c>
      <c r="B4" s="98">
        <f>'Исходные данные'!E13</f>
        <v>30</v>
      </c>
      <c r="C4" s="134">
        <f>'Исходные данные'!H32</f>
        <v>1</v>
      </c>
      <c r="D4" s="134"/>
      <c r="E4" s="177">
        <v>305868.0</v>
      </c>
      <c r="F4" s="256">
        <v>12.0</v>
      </c>
      <c r="G4" s="249"/>
      <c r="H4" s="250">
        <f t="shared" si="1"/>
        <v>25489</v>
      </c>
      <c r="I4" s="257">
        <f t="shared" si="2"/>
        <v>849.6333333</v>
      </c>
      <c r="J4" s="69"/>
    </row>
    <row r="5">
      <c r="A5" s="87" t="s">
        <v>154</v>
      </c>
      <c r="B5" s="134"/>
      <c r="C5" s="134"/>
      <c r="D5" s="134"/>
      <c r="E5" s="134"/>
      <c r="F5" s="256">
        <v>12.0</v>
      </c>
      <c r="G5" s="249"/>
      <c r="H5" s="250">
        <f t="shared" si="1"/>
        <v>0</v>
      </c>
      <c r="I5" s="257">
        <f t="shared" ref="I5:I12" si="3">H5</f>
        <v>0</v>
      </c>
      <c r="J5" s="69"/>
    </row>
    <row r="6">
      <c r="A6" s="87" t="s">
        <v>202</v>
      </c>
      <c r="B6" s="163"/>
      <c r="C6" s="163"/>
      <c r="D6" s="163"/>
      <c r="E6" s="134"/>
      <c r="F6" s="256">
        <v>12.0</v>
      </c>
      <c r="G6" s="249"/>
      <c r="H6" s="250">
        <f t="shared" si="1"/>
        <v>0</v>
      </c>
      <c r="I6" s="257">
        <f t="shared" si="3"/>
        <v>0</v>
      </c>
      <c r="J6" s="69"/>
    </row>
    <row r="7">
      <c r="A7" s="87" t="s">
        <v>148</v>
      </c>
      <c r="B7" s="258"/>
      <c r="C7" s="258"/>
      <c r="D7" s="258"/>
      <c r="E7" s="177">
        <v>2190.0</v>
      </c>
      <c r="F7" s="256">
        <v>12.0</v>
      </c>
      <c r="G7" s="249"/>
      <c r="H7" s="250">
        <f t="shared" si="1"/>
        <v>182.5</v>
      </c>
      <c r="I7" s="257">
        <f t="shared" si="3"/>
        <v>182.5</v>
      </c>
      <c r="J7" s="69"/>
    </row>
    <row r="8">
      <c r="A8" s="87" t="s">
        <v>150</v>
      </c>
      <c r="B8" s="258"/>
      <c r="C8" s="258"/>
      <c r="D8" s="258"/>
      <c r="E8" s="177">
        <v>0.0</v>
      </c>
      <c r="F8" s="256">
        <v>12.0</v>
      </c>
      <c r="G8" s="249"/>
      <c r="H8" s="250">
        <f t="shared" si="1"/>
        <v>0</v>
      </c>
      <c r="I8" s="257">
        <f t="shared" si="3"/>
        <v>0</v>
      </c>
      <c r="J8" s="69"/>
    </row>
    <row r="9">
      <c r="A9" s="87" t="s">
        <v>149</v>
      </c>
      <c r="B9" s="258"/>
      <c r="C9" s="258"/>
      <c r="D9" s="258"/>
      <c r="E9" s="177">
        <v>0.0</v>
      </c>
      <c r="F9" s="256">
        <v>12.0</v>
      </c>
      <c r="G9" s="249"/>
      <c r="H9" s="250">
        <f t="shared" si="1"/>
        <v>0</v>
      </c>
      <c r="I9" s="257">
        <f t="shared" si="3"/>
        <v>0</v>
      </c>
      <c r="J9" s="69"/>
    </row>
    <row r="10">
      <c r="A10" s="87" t="s">
        <v>203</v>
      </c>
      <c r="B10" s="258"/>
      <c r="C10" s="258"/>
      <c r="D10" s="258"/>
      <c r="E10" s="177"/>
      <c r="F10" s="256">
        <v>12.0</v>
      </c>
      <c r="G10" s="249"/>
      <c r="H10" s="250">
        <f t="shared" si="1"/>
        <v>0</v>
      </c>
      <c r="I10" s="257">
        <f t="shared" si="3"/>
        <v>0</v>
      </c>
      <c r="J10" s="69"/>
    </row>
    <row r="11">
      <c r="A11" s="87" t="s">
        <v>204</v>
      </c>
      <c r="B11" s="258"/>
      <c r="C11" s="258"/>
      <c r="D11" s="258"/>
      <c r="E11" s="177"/>
      <c r="F11" s="256">
        <v>12.0</v>
      </c>
      <c r="G11" s="249"/>
      <c r="H11" s="250">
        <f t="shared" si="1"/>
        <v>0</v>
      </c>
      <c r="I11" s="257">
        <f t="shared" si="3"/>
        <v>0</v>
      </c>
      <c r="J11" s="69"/>
    </row>
    <row r="12">
      <c r="A12" s="68" t="s">
        <v>155</v>
      </c>
      <c r="B12" s="72"/>
      <c r="C12" s="71"/>
      <c r="D12" s="71"/>
      <c r="E12" s="72"/>
      <c r="F12" s="249"/>
      <c r="G12" s="259"/>
      <c r="H12" s="250">
        <f>D29</f>
        <v>0</v>
      </c>
      <c r="I12" s="257">
        <f t="shared" si="3"/>
        <v>0</v>
      </c>
      <c r="J12" s="69"/>
    </row>
    <row r="13">
      <c r="A13" s="68" t="s">
        <v>152</v>
      </c>
      <c r="B13" s="72"/>
      <c r="C13" s="71"/>
      <c r="D13" s="260">
        <f>B18+B19</f>
        <v>176</v>
      </c>
      <c r="E13" s="72"/>
      <c r="F13" s="249"/>
      <c r="G13" s="259">
        <f>'Общие расходы ГЭ'!G16</f>
        <v>9.195626292</v>
      </c>
      <c r="H13" s="249"/>
      <c r="I13" s="257">
        <f t="shared" ref="I13:I15" si="4">D13*G13</f>
        <v>1618.430227</v>
      </c>
      <c r="J13" s="69"/>
    </row>
    <row r="14">
      <c r="A14" s="68" t="s">
        <v>153</v>
      </c>
      <c r="B14" s="72"/>
      <c r="C14" s="71"/>
      <c r="D14" s="260">
        <f>B18+B19</f>
        <v>176</v>
      </c>
      <c r="E14" s="72"/>
      <c r="F14" s="249"/>
      <c r="G14" s="259">
        <f>'Общие расходы г. Тюмень'!F4</f>
        <v>0.2743933235</v>
      </c>
      <c r="H14" s="249"/>
      <c r="I14" s="257">
        <f t="shared" si="4"/>
        <v>48.29322493</v>
      </c>
      <c r="J14" s="69"/>
    </row>
    <row r="15">
      <c r="A15" s="68" t="s">
        <v>156</v>
      </c>
      <c r="B15" s="72"/>
      <c r="C15" s="71"/>
      <c r="D15" s="260">
        <f>B18+B19</f>
        <v>176</v>
      </c>
      <c r="E15" s="72"/>
      <c r="F15" s="249"/>
      <c r="G15" s="250">
        <f>'Общие расходы г. Тюмень'!F30</f>
        <v>0.7480139342</v>
      </c>
      <c r="H15" s="249"/>
      <c r="I15" s="261">
        <f t="shared" si="4"/>
        <v>131.6504524</v>
      </c>
      <c r="J15" s="69"/>
    </row>
    <row r="16">
      <c r="A16" s="262" t="s">
        <v>62</v>
      </c>
      <c r="B16" s="263"/>
      <c r="C16" s="263"/>
      <c r="D16" s="263"/>
      <c r="E16" s="263"/>
      <c r="F16" s="263"/>
      <c r="G16" s="185"/>
      <c r="H16" s="264"/>
      <c r="I16" s="261">
        <f>SUM(I3:I15)</f>
        <v>4327.142752</v>
      </c>
    </row>
    <row r="17">
      <c r="A17" s="251"/>
      <c r="B17" s="179"/>
      <c r="C17" s="179"/>
      <c r="D17" s="179"/>
      <c r="E17" s="179"/>
      <c r="F17" s="235"/>
      <c r="G17" s="235"/>
      <c r="H17" s="235"/>
      <c r="I17" s="179"/>
    </row>
    <row r="18">
      <c r="A18" s="68" t="s">
        <v>205</v>
      </c>
      <c r="B18" s="265">
        <f>'Исходные данные'!B32</f>
        <v>88</v>
      </c>
      <c r="C18" s="179"/>
      <c r="D18" s="179"/>
      <c r="E18" s="179"/>
      <c r="F18" s="235"/>
      <c r="G18" s="235"/>
      <c r="H18" s="235"/>
      <c r="I18" s="179"/>
    </row>
    <row r="19">
      <c r="A19" s="68" t="s">
        <v>206</v>
      </c>
      <c r="B19" s="265">
        <f>'Исходные данные'!C32</f>
        <v>88</v>
      </c>
      <c r="C19" s="179"/>
      <c r="D19" s="179"/>
      <c r="E19" s="179"/>
      <c r="F19" s="235"/>
      <c r="G19" s="235"/>
      <c r="H19" s="235"/>
      <c r="I19" s="179"/>
    </row>
    <row r="20">
      <c r="A20" s="68" t="s">
        <v>207</v>
      </c>
      <c r="B20" s="265" t="str">
        <f>'Исходные данные'!D25</f>
        <v/>
      </c>
      <c r="C20" s="179"/>
      <c r="D20" s="179"/>
      <c r="E20" s="179"/>
      <c r="F20" s="235"/>
      <c r="G20" s="235"/>
      <c r="H20" s="235"/>
      <c r="I20" s="179"/>
    </row>
    <row r="21">
      <c r="A21" s="251"/>
      <c r="B21" s="179"/>
      <c r="C21" s="179"/>
      <c r="D21" s="179"/>
      <c r="E21" s="179"/>
      <c r="F21" s="235"/>
      <c r="G21" s="235"/>
      <c r="H21" s="235"/>
      <c r="I21" s="74"/>
    </row>
    <row r="22">
      <c r="A22" s="266" t="s">
        <v>208</v>
      </c>
      <c r="B22" s="263"/>
      <c r="C22" s="263"/>
      <c r="D22" s="185"/>
      <c r="E22" s="267"/>
      <c r="F22" s="69"/>
      <c r="G22" s="69"/>
      <c r="H22" s="69"/>
      <c r="I22" s="69"/>
    </row>
    <row r="23">
      <c r="A23" s="268" t="s">
        <v>209</v>
      </c>
      <c r="B23" s="269" t="s">
        <v>210</v>
      </c>
      <c r="C23" s="93" t="s">
        <v>5</v>
      </c>
      <c r="D23" s="269" t="s">
        <v>211</v>
      </c>
      <c r="E23" s="270"/>
    </row>
    <row r="24">
      <c r="A24" s="272" t="s">
        <v>212</v>
      </c>
      <c r="B24" s="271"/>
      <c r="C24" s="134">
        <v>12.0</v>
      </c>
      <c r="D24" s="271">
        <f t="shared" ref="D24:D25" si="5">B24/C24</f>
        <v>0</v>
      </c>
      <c r="E24" s="74"/>
    </row>
    <row r="25">
      <c r="A25" s="272" t="s">
        <v>217</v>
      </c>
      <c r="B25" s="271"/>
      <c r="C25" s="134">
        <v>12.0</v>
      </c>
      <c r="D25" s="271">
        <f t="shared" si="5"/>
        <v>0</v>
      </c>
      <c r="E25" s="74"/>
    </row>
    <row r="26">
      <c r="A26" s="272"/>
      <c r="B26" s="271"/>
      <c r="C26" s="134"/>
      <c r="D26" s="271"/>
      <c r="E26" s="74"/>
    </row>
    <row r="27">
      <c r="A27" s="272"/>
      <c r="B27" s="271"/>
      <c r="C27" s="134"/>
      <c r="D27" s="271"/>
      <c r="E27" s="74"/>
    </row>
    <row r="28">
      <c r="A28" s="272"/>
      <c r="B28" s="271"/>
      <c r="C28" s="134"/>
      <c r="D28" s="271"/>
      <c r="E28" s="74"/>
    </row>
    <row r="29">
      <c r="A29" s="273"/>
      <c r="B29" s="274">
        <f>SUM(B24:B28)</f>
        <v>0</v>
      </c>
      <c r="C29" s="275">
        <v>12.0</v>
      </c>
      <c r="D29" s="274">
        <f>B29/C29</f>
        <v>0</v>
      </c>
      <c r="E29" s="276"/>
      <c r="F29" s="169"/>
      <c r="G29" s="168"/>
    </row>
    <row r="30">
      <c r="A30" s="251"/>
    </row>
    <row r="31">
      <c r="A31" s="251"/>
    </row>
    <row r="32">
      <c r="A32" s="251"/>
    </row>
    <row r="33">
      <c r="A33" s="251"/>
    </row>
    <row r="34">
      <c r="A34" s="251"/>
    </row>
    <row r="35">
      <c r="A35" s="251"/>
    </row>
    <row r="36">
      <c r="A36" s="251"/>
    </row>
    <row r="37">
      <c r="A37" s="251"/>
    </row>
    <row r="38">
      <c r="A38" s="251"/>
    </row>
    <row r="39">
      <c r="A39" s="251"/>
    </row>
    <row r="40">
      <c r="A40" s="251"/>
    </row>
    <row r="41">
      <c r="A41" s="251"/>
    </row>
    <row r="42">
      <c r="A42" s="251"/>
    </row>
    <row r="43">
      <c r="A43" s="251"/>
    </row>
    <row r="44">
      <c r="A44" s="251"/>
    </row>
    <row r="45">
      <c r="A45" s="251"/>
    </row>
    <row r="46">
      <c r="A46" s="251"/>
    </row>
    <row r="47">
      <c r="A47" s="251"/>
    </row>
    <row r="48">
      <c r="A48" s="251"/>
    </row>
    <row r="49">
      <c r="A49" s="251"/>
    </row>
    <row r="50">
      <c r="A50" s="251"/>
    </row>
    <row r="51">
      <c r="A51" s="251"/>
    </row>
    <row r="52">
      <c r="A52" s="251"/>
    </row>
    <row r="53">
      <c r="A53" s="251"/>
    </row>
    <row r="54">
      <c r="A54" s="251"/>
    </row>
    <row r="55">
      <c r="A55" s="251"/>
    </row>
    <row r="56">
      <c r="A56" s="251"/>
    </row>
    <row r="57">
      <c r="A57" s="251"/>
    </row>
    <row r="58">
      <c r="A58" s="251"/>
    </row>
    <row r="59">
      <c r="A59" s="251"/>
    </row>
    <row r="60">
      <c r="A60" s="251"/>
    </row>
    <row r="61">
      <c r="A61" s="251"/>
    </row>
    <row r="62">
      <c r="A62" s="251"/>
    </row>
    <row r="63">
      <c r="A63" s="251"/>
    </row>
    <row r="64">
      <c r="A64" s="251"/>
    </row>
    <row r="65">
      <c r="A65" s="251"/>
    </row>
    <row r="66">
      <c r="A66" s="251"/>
    </row>
    <row r="67">
      <c r="A67" s="251"/>
    </row>
    <row r="68">
      <c r="A68" s="251"/>
    </row>
    <row r="69">
      <c r="A69" s="251"/>
    </row>
    <row r="70">
      <c r="A70" s="251"/>
    </row>
    <row r="71">
      <c r="A71" s="251"/>
    </row>
    <row r="72">
      <c r="A72" s="251"/>
    </row>
    <row r="73">
      <c r="A73" s="251"/>
    </row>
    <row r="74">
      <c r="A74" s="251"/>
    </row>
    <row r="75">
      <c r="A75" s="251"/>
    </row>
    <row r="76">
      <c r="A76" s="251"/>
    </row>
    <row r="77">
      <c r="A77" s="251"/>
    </row>
    <row r="78">
      <c r="A78" s="251"/>
    </row>
    <row r="79">
      <c r="A79" s="251"/>
    </row>
    <row r="80">
      <c r="A80" s="251"/>
    </row>
    <row r="81">
      <c r="A81" s="251"/>
    </row>
    <row r="82">
      <c r="A82" s="251"/>
    </row>
    <row r="83">
      <c r="A83" s="251"/>
    </row>
    <row r="84">
      <c r="A84" s="251"/>
    </row>
    <row r="85">
      <c r="A85" s="251"/>
    </row>
    <row r="86">
      <c r="A86" s="251"/>
    </row>
    <row r="87">
      <c r="A87" s="251"/>
    </row>
    <row r="88">
      <c r="A88" s="251"/>
    </row>
    <row r="89">
      <c r="A89" s="251"/>
    </row>
    <row r="90">
      <c r="A90" s="251"/>
    </row>
    <row r="91">
      <c r="A91" s="251"/>
    </row>
    <row r="92">
      <c r="A92" s="251"/>
    </row>
    <row r="93">
      <c r="A93" s="251"/>
    </row>
    <row r="94">
      <c r="A94" s="251"/>
    </row>
    <row r="95">
      <c r="A95" s="251"/>
    </row>
    <row r="96">
      <c r="A96" s="251"/>
    </row>
    <row r="97">
      <c r="A97" s="251"/>
    </row>
    <row r="98">
      <c r="A98" s="251"/>
    </row>
    <row r="99">
      <c r="A99" s="251"/>
    </row>
    <row r="100">
      <c r="A100" s="251"/>
    </row>
    <row r="101">
      <c r="A101" s="251"/>
    </row>
    <row r="102">
      <c r="A102" s="251"/>
    </row>
    <row r="103">
      <c r="A103" s="251"/>
    </row>
    <row r="104">
      <c r="A104" s="251"/>
    </row>
    <row r="105">
      <c r="A105" s="251"/>
    </row>
    <row r="106">
      <c r="A106" s="251"/>
    </row>
    <row r="107">
      <c r="A107" s="251"/>
    </row>
    <row r="108">
      <c r="A108" s="251"/>
    </row>
    <row r="109">
      <c r="A109" s="251"/>
    </row>
    <row r="110">
      <c r="A110" s="251"/>
    </row>
    <row r="111">
      <c r="A111" s="251"/>
    </row>
    <row r="112">
      <c r="A112" s="251"/>
    </row>
    <row r="113">
      <c r="A113" s="251"/>
    </row>
    <row r="114">
      <c r="A114" s="251"/>
    </row>
    <row r="115">
      <c r="A115" s="251"/>
    </row>
    <row r="116">
      <c r="A116" s="251"/>
    </row>
    <row r="117">
      <c r="A117" s="251"/>
    </row>
    <row r="118">
      <c r="A118" s="251"/>
    </row>
    <row r="119">
      <c r="A119" s="251"/>
    </row>
    <row r="120">
      <c r="A120" s="251"/>
    </row>
    <row r="121">
      <c r="A121" s="251"/>
    </row>
    <row r="122">
      <c r="A122" s="251"/>
    </row>
    <row r="123">
      <c r="A123" s="251"/>
    </row>
    <row r="124">
      <c r="A124" s="251"/>
    </row>
    <row r="125">
      <c r="A125" s="251"/>
    </row>
    <row r="126">
      <c r="A126" s="251"/>
    </row>
    <row r="127">
      <c r="A127" s="251"/>
    </row>
    <row r="128">
      <c r="A128" s="251"/>
    </row>
    <row r="129">
      <c r="A129" s="251"/>
    </row>
    <row r="130">
      <c r="A130" s="251"/>
    </row>
    <row r="131">
      <c r="A131" s="251"/>
    </row>
    <row r="132">
      <c r="A132" s="251"/>
    </row>
    <row r="133">
      <c r="A133" s="251"/>
    </row>
    <row r="134">
      <c r="A134" s="251"/>
    </row>
    <row r="135">
      <c r="A135" s="251"/>
    </row>
    <row r="136">
      <c r="A136" s="251"/>
    </row>
    <row r="137">
      <c r="A137" s="251"/>
    </row>
    <row r="138">
      <c r="A138" s="251"/>
    </row>
    <row r="139">
      <c r="A139" s="251"/>
    </row>
    <row r="140">
      <c r="A140" s="251"/>
    </row>
    <row r="141">
      <c r="A141" s="251"/>
    </row>
    <row r="142">
      <c r="A142" s="251"/>
    </row>
    <row r="143">
      <c r="A143" s="251"/>
    </row>
    <row r="144">
      <c r="A144" s="251"/>
    </row>
    <row r="145">
      <c r="A145" s="251"/>
    </row>
    <row r="146">
      <c r="A146" s="251"/>
    </row>
    <row r="147">
      <c r="A147" s="251"/>
    </row>
    <row r="148">
      <c r="A148" s="251"/>
    </row>
    <row r="149">
      <c r="A149" s="251"/>
    </row>
    <row r="150">
      <c r="A150" s="251"/>
    </row>
    <row r="151">
      <c r="A151" s="251"/>
    </row>
    <row r="152">
      <c r="A152" s="251"/>
    </row>
    <row r="153">
      <c r="A153" s="251"/>
    </row>
    <row r="154">
      <c r="A154" s="251"/>
    </row>
    <row r="155">
      <c r="A155" s="251"/>
    </row>
    <row r="156">
      <c r="A156" s="251"/>
    </row>
    <row r="157">
      <c r="A157" s="251"/>
    </row>
    <row r="158">
      <c r="A158" s="251"/>
    </row>
    <row r="159">
      <c r="A159" s="251"/>
    </row>
    <row r="160">
      <c r="A160" s="251"/>
    </row>
    <row r="161">
      <c r="A161" s="251"/>
    </row>
    <row r="162">
      <c r="A162" s="251"/>
    </row>
    <row r="163">
      <c r="A163" s="251"/>
    </row>
    <row r="164">
      <c r="A164" s="251"/>
    </row>
    <row r="165">
      <c r="A165" s="251"/>
    </row>
    <row r="166">
      <c r="A166" s="251"/>
    </row>
    <row r="167">
      <c r="A167" s="251"/>
    </row>
    <row r="168">
      <c r="A168" s="251"/>
    </row>
    <row r="169">
      <c r="A169" s="251"/>
    </row>
    <row r="170">
      <c r="A170" s="251"/>
    </row>
    <row r="171">
      <c r="A171" s="251"/>
    </row>
    <row r="172">
      <c r="A172" s="251"/>
    </row>
    <row r="173">
      <c r="A173" s="251"/>
    </row>
    <row r="174">
      <c r="A174" s="251"/>
    </row>
    <row r="175">
      <c r="A175" s="251"/>
    </row>
    <row r="176">
      <c r="A176" s="251"/>
    </row>
    <row r="177">
      <c r="A177" s="251"/>
    </row>
    <row r="178">
      <c r="A178" s="251"/>
    </row>
    <row r="179">
      <c r="A179" s="251"/>
    </row>
    <row r="180">
      <c r="A180" s="251"/>
    </row>
    <row r="181">
      <c r="A181" s="251"/>
    </row>
    <row r="182">
      <c r="A182" s="251"/>
    </row>
    <row r="183">
      <c r="A183" s="251"/>
    </row>
    <row r="184">
      <c r="A184" s="251"/>
    </row>
    <row r="185">
      <c r="A185" s="251"/>
    </row>
    <row r="186">
      <c r="A186" s="251"/>
    </row>
    <row r="187">
      <c r="A187" s="251"/>
    </row>
    <row r="188">
      <c r="A188" s="251"/>
    </row>
    <row r="189">
      <c r="A189" s="251"/>
    </row>
    <row r="190">
      <c r="A190" s="251"/>
    </row>
    <row r="191">
      <c r="A191" s="251"/>
    </row>
    <row r="192">
      <c r="A192" s="251"/>
    </row>
    <row r="193">
      <c r="A193" s="251"/>
    </row>
    <row r="194">
      <c r="A194" s="251"/>
    </row>
    <row r="195">
      <c r="A195" s="251"/>
    </row>
    <row r="196">
      <c r="A196" s="251"/>
    </row>
    <row r="197">
      <c r="A197" s="251"/>
    </row>
    <row r="198">
      <c r="A198" s="251"/>
    </row>
    <row r="199">
      <c r="A199" s="251"/>
    </row>
    <row r="200">
      <c r="A200" s="251"/>
    </row>
    <row r="201">
      <c r="A201" s="251"/>
    </row>
    <row r="202">
      <c r="A202" s="251"/>
    </row>
    <row r="203">
      <c r="A203" s="251"/>
    </row>
    <row r="204">
      <c r="A204" s="251"/>
    </row>
    <row r="205">
      <c r="A205" s="251"/>
    </row>
    <row r="206">
      <c r="A206" s="251"/>
    </row>
    <row r="207">
      <c r="A207" s="251"/>
    </row>
    <row r="208">
      <c r="A208" s="251"/>
    </row>
    <row r="209">
      <c r="A209" s="251"/>
    </row>
    <row r="210">
      <c r="A210" s="251"/>
    </row>
    <row r="211">
      <c r="A211" s="251"/>
    </row>
    <row r="212">
      <c r="A212" s="251"/>
    </row>
    <row r="213">
      <c r="A213" s="251"/>
    </row>
    <row r="214">
      <c r="A214" s="251"/>
    </row>
    <row r="215">
      <c r="A215" s="251"/>
    </row>
    <row r="216">
      <c r="A216" s="251"/>
    </row>
    <row r="217">
      <c r="A217" s="251"/>
    </row>
    <row r="218">
      <c r="A218" s="251"/>
    </row>
    <row r="219">
      <c r="A219" s="251"/>
    </row>
    <row r="220">
      <c r="A220" s="251"/>
    </row>
    <row r="221">
      <c r="A221" s="251"/>
    </row>
    <row r="222">
      <c r="A222" s="251"/>
    </row>
    <row r="223">
      <c r="A223" s="251"/>
    </row>
    <row r="224">
      <c r="A224" s="251"/>
    </row>
    <row r="225">
      <c r="A225" s="251"/>
    </row>
    <row r="226">
      <c r="A226" s="251"/>
    </row>
    <row r="227">
      <c r="A227" s="251"/>
    </row>
    <row r="228">
      <c r="A228" s="251"/>
    </row>
    <row r="229">
      <c r="A229" s="251"/>
    </row>
    <row r="230">
      <c r="A230" s="251"/>
    </row>
    <row r="231">
      <c r="A231" s="251"/>
    </row>
    <row r="232">
      <c r="A232" s="251"/>
    </row>
    <row r="233">
      <c r="A233" s="251"/>
    </row>
    <row r="234">
      <c r="A234" s="251"/>
    </row>
    <row r="235">
      <c r="A235" s="251"/>
    </row>
    <row r="236">
      <c r="A236" s="251"/>
    </row>
    <row r="237">
      <c r="A237" s="251"/>
    </row>
    <row r="238">
      <c r="A238" s="251"/>
    </row>
    <row r="239">
      <c r="A239" s="251"/>
    </row>
    <row r="240">
      <c r="A240" s="251"/>
    </row>
    <row r="241">
      <c r="A241" s="251"/>
    </row>
    <row r="242">
      <c r="A242" s="251"/>
    </row>
    <row r="243">
      <c r="A243" s="251"/>
    </row>
    <row r="244">
      <c r="A244" s="251"/>
    </row>
    <row r="245">
      <c r="A245" s="251"/>
    </row>
    <row r="246">
      <c r="A246" s="251"/>
    </row>
    <row r="247">
      <c r="A247" s="251"/>
    </row>
    <row r="248">
      <c r="A248" s="251"/>
    </row>
    <row r="249">
      <c r="A249" s="251"/>
    </row>
    <row r="250">
      <c r="A250" s="251"/>
    </row>
    <row r="251">
      <c r="A251" s="251"/>
    </row>
    <row r="252">
      <c r="A252" s="251"/>
    </row>
    <row r="253">
      <c r="A253" s="251"/>
    </row>
    <row r="254">
      <c r="A254" s="251"/>
    </row>
    <row r="255">
      <c r="A255" s="251"/>
    </row>
    <row r="256">
      <c r="A256" s="251"/>
    </row>
    <row r="257">
      <c r="A257" s="251"/>
    </row>
    <row r="258">
      <c r="A258" s="251"/>
    </row>
    <row r="259">
      <c r="A259" s="251"/>
    </row>
    <row r="260">
      <c r="A260" s="251"/>
    </row>
    <row r="261">
      <c r="A261" s="251"/>
    </row>
    <row r="262">
      <c r="A262" s="251"/>
    </row>
    <row r="263">
      <c r="A263" s="251"/>
    </row>
    <row r="264">
      <c r="A264" s="251"/>
    </row>
    <row r="265">
      <c r="A265" s="251"/>
    </row>
    <row r="266">
      <c r="A266" s="251"/>
    </row>
    <row r="267">
      <c r="A267" s="251"/>
    </row>
    <row r="268">
      <c r="A268" s="251"/>
    </row>
    <row r="269">
      <c r="A269" s="251"/>
    </row>
    <row r="270">
      <c r="A270" s="251"/>
    </row>
    <row r="271">
      <c r="A271" s="251"/>
    </row>
    <row r="272">
      <c r="A272" s="251"/>
    </row>
    <row r="273">
      <c r="A273" s="251"/>
    </row>
    <row r="274">
      <c r="A274" s="251"/>
    </row>
    <row r="275">
      <c r="A275" s="251"/>
    </row>
    <row r="276">
      <c r="A276" s="251"/>
    </row>
    <row r="277">
      <c r="A277" s="251"/>
    </row>
    <row r="278">
      <c r="A278" s="251"/>
    </row>
    <row r="279">
      <c r="A279" s="251"/>
    </row>
    <row r="280">
      <c r="A280" s="251"/>
    </row>
    <row r="281">
      <c r="A281" s="251"/>
    </row>
    <row r="282">
      <c r="A282" s="251"/>
    </row>
    <row r="283">
      <c r="A283" s="251"/>
    </row>
    <row r="284">
      <c r="A284" s="251"/>
    </row>
    <row r="285">
      <c r="A285" s="251"/>
    </row>
    <row r="286">
      <c r="A286" s="251"/>
    </row>
    <row r="287">
      <c r="A287" s="251"/>
    </row>
    <row r="288">
      <c r="A288" s="251"/>
    </row>
    <row r="289">
      <c r="A289" s="251"/>
    </row>
    <row r="290">
      <c r="A290" s="251"/>
    </row>
    <row r="291">
      <c r="A291" s="251"/>
    </row>
    <row r="292">
      <c r="A292" s="251"/>
    </row>
    <row r="293">
      <c r="A293" s="251"/>
    </row>
    <row r="294">
      <c r="A294" s="251"/>
    </row>
    <row r="295">
      <c r="A295" s="251"/>
    </row>
    <row r="296">
      <c r="A296" s="251"/>
    </row>
    <row r="297">
      <c r="A297" s="251"/>
    </row>
    <row r="298">
      <c r="A298" s="251"/>
    </row>
    <row r="299">
      <c r="A299" s="251"/>
    </row>
    <row r="300">
      <c r="A300" s="251"/>
    </row>
    <row r="301">
      <c r="A301" s="251"/>
    </row>
    <row r="302">
      <c r="A302" s="251"/>
    </row>
    <row r="303">
      <c r="A303" s="251"/>
    </row>
    <row r="304">
      <c r="A304" s="251"/>
    </row>
    <row r="305">
      <c r="A305" s="251"/>
    </row>
    <row r="306">
      <c r="A306" s="251"/>
    </row>
    <row r="307">
      <c r="A307" s="251"/>
    </row>
    <row r="308">
      <c r="A308" s="251"/>
    </row>
    <row r="309">
      <c r="A309" s="251"/>
    </row>
    <row r="310">
      <c r="A310" s="251"/>
    </row>
    <row r="311">
      <c r="A311" s="251"/>
    </row>
    <row r="312">
      <c r="A312" s="251"/>
    </row>
    <row r="313">
      <c r="A313" s="251"/>
    </row>
    <row r="314">
      <c r="A314" s="251"/>
    </row>
    <row r="315">
      <c r="A315" s="251"/>
    </row>
    <row r="316">
      <c r="A316" s="251"/>
    </row>
    <row r="317">
      <c r="A317" s="251"/>
    </row>
    <row r="318">
      <c r="A318" s="251"/>
    </row>
    <row r="319">
      <c r="A319" s="251"/>
    </row>
    <row r="320">
      <c r="A320" s="251"/>
    </row>
    <row r="321">
      <c r="A321" s="251"/>
    </row>
    <row r="322">
      <c r="A322" s="251"/>
    </row>
    <row r="323">
      <c r="A323" s="251"/>
    </row>
    <row r="324">
      <c r="A324" s="251"/>
    </row>
    <row r="325">
      <c r="A325" s="251"/>
    </row>
    <row r="326">
      <c r="A326" s="251"/>
    </row>
    <row r="327">
      <c r="A327" s="251"/>
    </row>
    <row r="328">
      <c r="A328" s="251"/>
    </row>
    <row r="329">
      <c r="A329" s="251"/>
    </row>
    <row r="330">
      <c r="A330" s="251"/>
    </row>
    <row r="331">
      <c r="A331" s="251"/>
    </row>
    <row r="332">
      <c r="A332" s="251"/>
    </row>
    <row r="333">
      <c r="A333" s="251"/>
    </row>
    <row r="334">
      <c r="A334" s="251"/>
    </row>
    <row r="335">
      <c r="A335" s="251"/>
    </row>
    <row r="336">
      <c r="A336" s="251"/>
    </row>
    <row r="337">
      <c r="A337" s="251"/>
    </row>
    <row r="338">
      <c r="A338" s="251"/>
    </row>
    <row r="339">
      <c r="A339" s="251"/>
    </row>
    <row r="340">
      <c r="A340" s="251"/>
    </row>
    <row r="341">
      <c r="A341" s="251"/>
    </row>
    <row r="342">
      <c r="A342" s="251"/>
    </row>
    <row r="343">
      <c r="A343" s="251"/>
    </row>
    <row r="344">
      <c r="A344" s="251"/>
    </row>
    <row r="345">
      <c r="A345" s="251"/>
    </row>
    <row r="346">
      <c r="A346" s="251"/>
    </row>
    <row r="347">
      <c r="A347" s="251"/>
    </row>
    <row r="348">
      <c r="A348" s="251"/>
    </row>
    <row r="349">
      <c r="A349" s="251"/>
    </row>
    <row r="350">
      <c r="A350" s="251"/>
    </row>
    <row r="351">
      <c r="A351" s="251"/>
    </row>
    <row r="352">
      <c r="A352" s="251"/>
    </row>
    <row r="353">
      <c r="A353" s="251"/>
    </row>
    <row r="354">
      <c r="A354" s="251"/>
    </row>
    <row r="355">
      <c r="A355" s="251"/>
    </row>
    <row r="356">
      <c r="A356" s="251"/>
    </row>
    <row r="357">
      <c r="A357" s="251"/>
    </row>
    <row r="358">
      <c r="A358" s="251"/>
    </row>
    <row r="359">
      <c r="A359" s="251"/>
    </row>
    <row r="360">
      <c r="A360" s="251"/>
    </row>
    <row r="361">
      <c r="A361" s="251"/>
    </row>
    <row r="362">
      <c r="A362" s="251"/>
    </row>
    <row r="363">
      <c r="A363" s="251"/>
    </row>
    <row r="364">
      <c r="A364" s="251"/>
    </row>
    <row r="365">
      <c r="A365" s="251"/>
    </row>
    <row r="366">
      <c r="A366" s="251"/>
    </row>
    <row r="367">
      <c r="A367" s="251"/>
    </row>
    <row r="368">
      <c r="A368" s="251"/>
    </row>
    <row r="369">
      <c r="A369" s="251"/>
    </row>
    <row r="370">
      <c r="A370" s="251"/>
    </row>
    <row r="371">
      <c r="A371" s="251"/>
    </row>
    <row r="372">
      <c r="A372" s="251"/>
    </row>
    <row r="373">
      <c r="A373" s="251"/>
    </row>
    <row r="374">
      <c r="A374" s="251"/>
    </row>
    <row r="375">
      <c r="A375" s="251"/>
    </row>
    <row r="376">
      <c r="A376" s="251"/>
    </row>
    <row r="377">
      <c r="A377" s="251"/>
    </row>
    <row r="378">
      <c r="A378" s="251"/>
    </row>
    <row r="379">
      <c r="A379" s="251"/>
    </row>
    <row r="380">
      <c r="A380" s="251"/>
    </row>
    <row r="381">
      <c r="A381" s="251"/>
    </row>
    <row r="382">
      <c r="A382" s="251"/>
    </row>
    <row r="383">
      <c r="A383" s="251"/>
    </row>
    <row r="384">
      <c r="A384" s="251"/>
    </row>
    <row r="385">
      <c r="A385" s="251"/>
    </row>
    <row r="386">
      <c r="A386" s="251"/>
    </row>
    <row r="387">
      <c r="A387" s="251"/>
    </row>
    <row r="388">
      <c r="A388" s="251"/>
    </row>
    <row r="389">
      <c r="A389" s="251"/>
    </row>
    <row r="390">
      <c r="A390" s="251"/>
    </row>
    <row r="391">
      <c r="A391" s="251"/>
    </row>
    <row r="392">
      <c r="A392" s="251"/>
    </row>
    <row r="393">
      <c r="A393" s="251"/>
    </row>
    <row r="394">
      <c r="A394" s="251"/>
    </row>
    <row r="395">
      <c r="A395" s="251"/>
    </row>
    <row r="396">
      <c r="A396" s="251"/>
    </row>
    <row r="397">
      <c r="A397" s="251"/>
    </row>
    <row r="398">
      <c r="A398" s="251"/>
    </row>
    <row r="399">
      <c r="A399" s="251"/>
    </row>
    <row r="400">
      <c r="A400" s="251"/>
    </row>
    <row r="401">
      <c r="A401" s="251"/>
    </row>
    <row r="402">
      <c r="A402" s="251"/>
    </row>
    <row r="403">
      <c r="A403" s="251"/>
    </row>
    <row r="404">
      <c r="A404" s="251"/>
    </row>
    <row r="405">
      <c r="A405" s="251"/>
    </row>
    <row r="406">
      <c r="A406" s="251"/>
    </row>
    <row r="407">
      <c r="A407" s="251"/>
    </row>
    <row r="408">
      <c r="A408" s="251"/>
    </row>
    <row r="409">
      <c r="A409" s="251"/>
    </row>
    <row r="410">
      <c r="A410" s="251"/>
    </row>
    <row r="411">
      <c r="A411" s="251"/>
    </row>
    <row r="412">
      <c r="A412" s="251"/>
    </row>
    <row r="413">
      <c r="A413" s="251"/>
    </row>
    <row r="414">
      <c r="A414" s="251"/>
    </row>
    <row r="415">
      <c r="A415" s="251"/>
    </row>
    <row r="416">
      <c r="A416" s="251"/>
    </row>
    <row r="417">
      <c r="A417" s="251"/>
    </row>
    <row r="418">
      <c r="A418" s="251"/>
    </row>
    <row r="419">
      <c r="A419" s="251"/>
    </row>
    <row r="420">
      <c r="A420" s="251"/>
    </row>
    <row r="421">
      <c r="A421" s="251"/>
    </row>
    <row r="422">
      <c r="A422" s="251"/>
    </row>
    <row r="423">
      <c r="A423" s="251"/>
    </row>
    <row r="424">
      <c r="A424" s="251"/>
    </row>
    <row r="425">
      <c r="A425" s="251"/>
    </row>
    <row r="426">
      <c r="A426" s="251"/>
    </row>
    <row r="427">
      <c r="A427" s="251"/>
    </row>
    <row r="428">
      <c r="A428" s="251"/>
    </row>
    <row r="429">
      <c r="A429" s="251"/>
    </row>
    <row r="430">
      <c r="A430" s="251"/>
    </row>
    <row r="431">
      <c r="A431" s="251"/>
    </row>
    <row r="432">
      <c r="A432" s="251"/>
    </row>
    <row r="433">
      <c r="A433" s="251"/>
    </row>
    <row r="434">
      <c r="A434" s="251"/>
    </row>
    <row r="435">
      <c r="A435" s="251"/>
    </row>
    <row r="436">
      <c r="A436" s="251"/>
    </row>
    <row r="437">
      <c r="A437" s="251"/>
    </row>
    <row r="438">
      <c r="A438" s="251"/>
    </row>
    <row r="439">
      <c r="A439" s="251"/>
    </row>
    <row r="440">
      <c r="A440" s="251"/>
    </row>
    <row r="441">
      <c r="A441" s="251"/>
    </row>
    <row r="442">
      <c r="A442" s="251"/>
    </row>
    <row r="443">
      <c r="A443" s="251"/>
    </row>
    <row r="444">
      <c r="A444" s="251"/>
    </row>
    <row r="445">
      <c r="A445" s="251"/>
    </row>
    <row r="446">
      <c r="A446" s="251"/>
    </row>
    <row r="447">
      <c r="A447" s="251"/>
    </row>
    <row r="448">
      <c r="A448" s="251"/>
    </row>
    <row r="449">
      <c r="A449" s="251"/>
    </row>
    <row r="450">
      <c r="A450" s="251"/>
    </row>
    <row r="451">
      <c r="A451" s="251"/>
    </row>
    <row r="452">
      <c r="A452" s="251"/>
    </row>
    <row r="453">
      <c r="A453" s="251"/>
    </row>
    <row r="454">
      <c r="A454" s="251"/>
    </row>
    <row r="455">
      <c r="A455" s="251"/>
    </row>
    <row r="456">
      <c r="A456" s="251"/>
    </row>
    <row r="457">
      <c r="A457" s="251"/>
    </row>
    <row r="458">
      <c r="A458" s="251"/>
    </row>
    <row r="459">
      <c r="A459" s="251"/>
    </row>
    <row r="460">
      <c r="A460" s="251"/>
    </row>
    <row r="461">
      <c r="A461" s="251"/>
    </row>
    <row r="462">
      <c r="A462" s="251"/>
    </row>
    <row r="463">
      <c r="A463" s="251"/>
    </row>
    <row r="464">
      <c r="A464" s="251"/>
    </row>
    <row r="465">
      <c r="A465" s="251"/>
    </row>
    <row r="466">
      <c r="A466" s="251"/>
    </row>
    <row r="467">
      <c r="A467" s="251"/>
    </row>
    <row r="468">
      <c r="A468" s="251"/>
    </row>
    <row r="469">
      <c r="A469" s="251"/>
    </row>
    <row r="470">
      <c r="A470" s="251"/>
    </row>
    <row r="471">
      <c r="A471" s="251"/>
    </row>
    <row r="472">
      <c r="A472" s="251"/>
    </row>
    <row r="473">
      <c r="A473" s="251"/>
    </row>
    <row r="474">
      <c r="A474" s="251"/>
    </row>
    <row r="475">
      <c r="A475" s="251"/>
    </row>
    <row r="476">
      <c r="A476" s="251"/>
    </row>
    <row r="477">
      <c r="A477" s="251"/>
    </row>
    <row r="478">
      <c r="A478" s="251"/>
    </row>
    <row r="479">
      <c r="A479" s="251"/>
    </row>
    <row r="480">
      <c r="A480" s="251"/>
    </row>
    <row r="481">
      <c r="A481" s="251"/>
    </row>
    <row r="482">
      <c r="A482" s="251"/>
    </row>
    <row r="483">
      <c r="A483" s="251"/>
    </row>
    <row r="484">
      <c r="A484" s="251"/>
    </row>
    <row r="485">
      <c r="A485" s="251"/>
    </row>
    <row r="486">
      <c r="A486" s="251"/>
    </row>
    <row r="487">
      <c r="A487" s="251"/>
    </row>
    <row r="488">
      <c r="A488" s="251"/>
    </row>
    <row r="489">
      <c r="A489" s="251"/>
    </row>
    <row r="490">
      <c r="A490" s="251"/>
    </row>
    <row r="491">
      <c r="A491" s="251"/>
    </row>
    <row r="492">
      <c r="A492" s="251"/>
    </row>
    <row r="493">
      <c r="A493" s="251"/>
    </row>
    <row r="494">
      <c r="A494" s="251"/>
    </row>
    <row r="495">
      <c r="A495" s="251"/>
    </row>
    <row r="496">
      <c r="A496" s="251"/>
    </row>
    <row r="497">
      <c r="A497" s="251"/>
    </row>
    <row r="498">
      <c r="A498" s="251"/>
    </row>
    <row r="499">
      <c r="A499" s="251"/>
    </row>
    <row r="500">
      <c r="A500" s="251"/>
    </row>
    <row r="501">
      <c r="A501" s="251"/>
    </row>
    <row r="502">
      <c r="A502" s="251"/>
    </row>
    <row r="503">
      <c r="A503" s="251"/>
    </row>
    <row r="504">
      <c r="A504" s="251"/>
    </row>
    <row r="505">
      <c r="A505" s="251"/>
    </row>
    <row r="506">
      <c r="A506" s="251"/>
    </row>
    <row r="507">
      <c r="A507" s="251"/>
    </row>
    <row r="508">
      <c r="A508" s="251"/>
    </row>
    <row r="509">
      <c r="A509" s="251"/>
    </row>
    <row r="510">
      <c r="A510" s="251"/>
    </row>
    <row r="511">
      <c r="A511" s="251"/>
    </row>
    <row r="512">
      <c r="A512" s="251"/>
    </row>
    <row r="513">
      <c r="A513" s="251"/>
    </row>
    <row r="514">
      <c r="A514" s="251"/>
    </row>
    <row r="515">
      <c r="A515" s="251"/>
    </row>
    <row r="516">
      <c r="A516" s="251"/>
    </row>
    <row r="517">
      <c r="A517" s="251"/>
    </row>
    <row r="518">
      <c r="A518" s="251"/>
    </row>
    <row r="519">
      <c r="A519" s="251"/>
    </row>
    <row r="520">
      <c r="A520" s="251"/>
    </row>
    <row r="521">
      <c r="A521" s="251"/>
    </row>
    <row r="522">
      <c r="A522" s="251"/>
    </row>
    <row r="523">
      <c r="A523" s="251"/>
    </row>
    <row r="524">
      <c r="A524" s="251"/>
    </row>
    <row r="525">
      <c r="A525" s="251"/>
    </row>
    <row r="526">
      <c r="A526" s="251"/>
    </row>
    <row r="527">
      <c r="A527" s="251"/>
    </row>
    <row r="528">
      <c r="A528" s="251"/>
    </row>
    <row r="529">
      <c r="A529" s="251"/>
    </row>
    <row r="530">
      <c r="A530" s="251"/>
    </row>
    <row r="531">
      <c r="A531" s="251"/>
    </row>
    <row r="532">
      <c r="A532" s="251"/>
    </row>
    <row r="533">
      <c r="A533" s="251"/>
    </row>
    <row r="534">
      <c r="A534" s="251"/>
    </row>
    <row r="535">
      <c r="A535" s="251"/>
    </row>
    <row r="536">
      <c r="A536" s="251"/>
    </row>
    <row r="537">
      <c r="A537" s="251"/>
    </row>
    <row r="538">
      <c r="A538" s="251"/>
    </row>
    <row r="539">
      <c r="A539" s="251"/>
    </row>
    <row r="540">
      <c r="A540" s="251"/>
    </row>
    <row r="541">
      <c r="A541" s="251"/>
    </row>
    <row r="542">
      <c r="A542" s="251"/>
    </row>
    <row r="543">
      <c r="A543" s="251"/>
    </row>
    <row r="544">
      <c r="A544" s="251"/>
    </row>
    <row r="545">
      <c r="A545" s="251"/>
    </row>
    <row r="546">
      <c r="A546" s="251"/>
    </row>
    <row r="547">
      <c r="A547" s="251"/>
    </row>
    <row r="548">
      <c r="A548" s="251"/>
    </row>
    <row r="549">
      <c r="A549" s="251"/>
    </row>
    <row r="550">
      <c r="A550" s="251"/>
    </row>
    <row r="551">
      <c r="A551" s="251"/>
    </row>
    <row r="552">
      <c r="A552" s="251"/>
    </row>
    <row r="553">
      <c r="A553" s="251"/>
    </row>
    <row r="554">
      <c r="A554" s="251"/>
    </row>
    <row r="555">
      <c r="A555" s="251"/>
    </row>
    <row r="556">
      <c r="A556" s="251"/>
    </row>
    <row r="557">
      <c r="A557" s="251"/>
    </row>
    <row r="558">
      <c r="A558" s="251"/>
    </row>
    <row r="559">
      <c r="A559" s="251"/>
    </row>
    <row r="560">
      <c r="A560" s="251"/>
    </row>
    <row r="561">
      <c r="A561" s="251"/>
    </row>
    <row r="562">
      <c r="A562" s="251"/>
    </row>
    <row r="563">
      <c r="A563" s="251"/>
    </row>
    <row r="564">
      <c r="A564" s="251"/>
    </row>
    <row r="565">
      <c r="A565" s="251"/>
    </row>
    <row r="566">
      <c r="A566" s="251"/>
    </row>
    <row r="567">
      <c r="A567" s="251"/>
    </row>
    <row r="568">
      <c r="A568" s="251"/>
    </row>
    <row r="569">
      <c r="A569" s="251"/>
    </row>
    <row r="570">
      <c r="A570" s="251"/>
    </row>
    <row r="571">
      <c r="A571" s="251"/>
    </row>
    <row r="572">
      <c r="A572" s="251"/>
    </row>
    <row r="573">
      <c r="A573" s="251"/>
    </row>
    <row r="574">
      <c r="A574" s="251"/>
    </row>
    <row r="575">
      <c r="A575" s="251"/>
    </row>
    <row r="576">
      <c r="A576" s="251"/>
    </row>
    <row r="577">
      <c r="A577" s="251"/>
    </row>
    <row r="578">
      <c r="A578" s="251"/>
    </row>
    <row r="579">
      <c r="A579" s="251"/>
    </row>
    <row r="580">
      <c r="A580" s="251"/>
    </row>
    <row r="581">
      <c r="A581" s="251"/>
    </row>
    <row r="582">
      <c r="A582" s="251"/>
    </row>
    <row r="583">
      <c r="A583" s="251"/>
    </row>
    <row r="584">
      <c r="A584" s="251"/>
    </row>
    <row r="585">
      <c r="A585" s="251"/>
    </row>
    <row r="586">
      <c r="A586" s="251"/>
    </row>
    <row r="587">
      <c r="A587" s="251"/>
    </row>
    <row r="588">
      <c r="A588" s="251"/>
    </row>
    <row r="589">
      <c r="A589" s="251"/>
    </row>
    <row r="590">
      <c r="A590" s="251"/>
    </row>
    <row r="591">
      <c r="A591" s="251"/>
    </row>
    <row r="592">
      <c r="A592" s="251"/>
    </row>
    <row r="593">
      <c r="A593" s="251"/>
    </row>
    <row r="594">
      <c r="A594" s="251"/>
    </row>
    <row r="595">
      <c r="A595" s="251"/>
    </row>
    <row r="596">
      <c r="A596" s="251"/>
    </row>
    <row r="597">
      <c r="A597" s="251"/>
    </row>
    <row r="598">
      <c r="A598" s="251"/>
    </row>
    <row r="599">
      <c r="A599" s="251"/>
    </row>
    <row r="600">
      <c r="A600" s="251"/>
    </row>
    <row r="601">
      <c r="A601" s="251"/>
    </row>
    <row r="602">
      <c r="A602" s="251"/>
    </row>
    <row r="603">
      <c r="A603" s="251"/>
    </row>
    <row r="604">
      <c r="A604" s="251"/>
    </row>
    <row r="605">
      <c r="A605" s="251"/>
    </row>
    <row r="606">
      <c r="A606" s="251"/>
    </row>
    <row r="607">
      <c r="A607" s="251"/>
    </row>
    <row r="608">
      <c r="A608" s="251"/>
    </row>
    <row r="609">
      <c r="A609" s="251"/>
    </row>
    <row r="610">
      <c r="A610" s="251"/>
    </row>
    <row r="611">
      <c r="A611" s="251"/>
    </row>
    <row r="612">
      <c r="A612" s="251"/>
    </row>
    <row r="613">
      <c r="A613" s="251"/>
    </row>
    <row r="614">
      <c r="A614" s="251"/>
    </row>
    <row r="615">
      <c r="A615" s="251"/>
    </row>
    <row r="616">
      <c r="A616" s="251"/>
    </row>
    <row r="617">
      <c r="A617" s="251"/>
    </row>
    <row r="618">
      <c r="A618" s="251"/>
    </row>
    <row r="619">
      <c r="A619" s="251"/>
    </row>
    <row r="620">
      <c r="A620" s="251"/>
    </row>
    <row r="621">
      <c r="A621" s="251"/>
    </row>
    <row r="622">
      <c r="A622" s="251"/>
    </row>
    <row r="623">
      <c r="A623" s="251"/>
    </row>
    <row r="624">
      <c r="A624" s="251"/>
    </row>
    <row r="625">
      <c r="A625" s="251"/>
    </row>
    <row r="626">
      <c r="A626" s="251"/>
    </row>
    <row r="627">
      <c r="A627" s="251"/>
    </row>
    <row r="628">
      <c r="A628" s="251"/>
    </row>
    <row r="629">
      <c r="A629" s="251"/>
    </row>
    <row r="630">
      <c r="A630" s="251"/>
    </row>
    <row r="631">
      <c r="A631" s="251"/>
    </row>
    <row r="632">
      <c r="A632" s="251"/>
    </row>
    <row r="633">
      <c r="A633" s="251"/>
    </row>
    <row r="634">
      <c r="A634" s="251"/>
    </row>
    <row r="635">
      <c r="A635" s="251"/>
    </row>
    <row r="636">
      <c r="A636" s="251"/>
    </row>
    <row r="637">
      <c r="A637" s="251"/>
    </row>
    <row r="638">
      <c r="A638" s="251"/>
    </row>
    <row r="639">
      <c r="A639" s="251"/>
    </row>
    <row r="640">
      <c r="A640" s="251"/>
    </row>
    <row r="641">
      <c r="A641" s="251"/>
    </row>
    <row r="642">
      <c r="A642" s="251"/>
    </row>
    <row r="643">
      <c r="A643" s="251"/>
    </row>
    <row r="644">
      <c r="A644" s="251"/>
    </row>
    <row r="645">
      <c r="A645" s="251"/>
    </row>
    <row r="646">
      <c r="A646" s="251"/>
    </row>
    <row r="647">
      <c r="A647" s="251"/>
    </row>
    <row r="648">
      <c r="A648" s="251"/>
    </row>
    <row r="649">
      <c r="A649" s="251"/>
    </row>
    <row r="650">
      <c r="A650" s="251"/>
    </row>
    <row r="651">
      <c r="A651" s="251"/>
    </row>
    <row r="652">
      <c r="A652" s="251"/>
    </row>
    <row r="653">
      <c r="A653" s="251"/>
    </row>
    <row r="654">
      <c r="A654" s="251"/>
    </row>
    <row r="655">
      <c r="A655" s="251"/>
    </row>
    <row r="656">
      <c r="A656" s="251"/>
    </row>
    <row r="657">
      <c r="A657" s="251"/>
    </row>
    <row r="658">
      <c r="A658" s="251"/>
    </row>
    <row r="659">
      <c r="A659" s="251"/>
    </row>
    <row r="660">
      <c r="A660" s="251"/>
    </row>
    <row r="661">
      <c r="A661" s="251"/>
    </row>
    <row r="662">
      <c r="A662" s="251"/>
    </row>
    <row r="663">
      <c r="A663" s="251"/>
    </row>
    <row r="664">
      <c r="A664" s="251"/>
    </row>
    <row r="665">
      <c r="A665" s="251"/>
    </row>
    <row r="666">
      <c r="A666" s="251"/>
    </row>
    <row r="667">
      <c r="A667" s="251"/>
    </row>
    <row r="668">
      <c r="A668" s="251"/>
    </row>
    <row r="669">
      <c r="A669" s="251"/>
    </row>
    <row r="670">
      <c r="A670" s="251"/>
    </row>
    <row r="671">
      <c r="A671" s="251"/>
    </row>
    <row r="672">
      <c r="A672" s="251"/>
    </row>
    <row r="673">
      <c r="A673" s="251"/>
    </row>
    <row r="674">
      <c r="A674" s="251"/>
    </row>
    <row r="675">
      <c r="A675" s="251"/>
    </row>
    <row r="676">
      <c r="A676" s="251"/>
    </row>
    <row r="677">
      <c r="A677" s="251"/>
    </row>
    <row r="678">
      <c r="A678" s="251"/>
    </row>
    <row r="679">
      <c r="A679" s="251"/>
    </row>
    <row r="680">
      <c r="A680" s="251"/>
    </row>
    <row r="681">
      <c r="A681" s="251"/>
    </row>
    <row r="682">
      <c r="A682" s="251"/>
    </row>
    <row r="683">
      <c r="A683" s="251"/>
    </row>
    <row r="684">
      <c r="A684" s="251"/>
    </row>
    <row r="685">
      <c r="A685" s="251"/>
    </row>
    <row r="686">
      <c r="A686" s="251"/>
    </row>
    <row r="687">
      <c r="A687" s="251"/>
    </row>
    <row r="688">
      <c r="A688" s="251"/>
    </row>
    <row r="689">
      <c r="A689" s="251"/>
    </row>
    <row r="690">
      <c r="A690" s="251"/>
    </row>
    <row r="691">
      <c r="A691" s="251"/>
    </row>
    <row r="692">
      <c r="A692" s="251"/>
    </row>
    <row r="693">
      <c r="A693" s="251"/>
    </row>
    <row r="694">
      <c r="A694" s="251"/>
    </row>
    <row r="695">
      <c r="A695" s="251"/>
    </row>
    <row r="696">
      <c r="A696" s="251"/>
    </row>
    <row r="697">
      <c r="A697" s="251"/>
    </row>
    <row r="698">
      <c r="A698" s="251"/>
    </row>
    <row r="699">
      <c r="A699" s="251"/>
    </row>
    <row r="700">
      <c r="A700" s="251"/>
    </row>
    <row r="701">
      <c r="A701" s="251"/>
    </row>
    <row r="702">
      <c r="A702" s="251"/>
    </row>
    <row r="703">
      <c r="A703" s="251"/>
    </row>
    <row r="704">
      <c r="A704" s="251"/>
    </row>
    <row r="705">
      <c r="A705" s="251"/>
    </row>
    <row r="706">
      <c r="A706" s="251"/>
    </row>
    <row r="707">
      <c r="A707" s="251"/>
    </row>
    <row r="708">
      <c r="A708" s="251"/>
    </row>
    <row r="709">
      <c r="A709" s="251"/>
    </row>
    <row r="710">
      <c r="A710" s="251"/>
    </row>
    <row r="711">
      <c r="A711" s="251"/>
    </row>
    <row r="712">
      <c r="A712" s="251"/>
    </row>
    <row r="713">
      <c r="A713" s="251"/>
    </row>
    <row r="714">
      <c r="A714" s="251"/>
    </row>
    <row r="715">
      <c r="A715" s="251"/>
    </row>
    <row r="716">
      <c r="A716" s="251"/>
    </row>
    <row r="717">
      <c r="A717" s="251"/>
    </row>
    <row r="718">
      <c r="A718" s="251"/>
    </row>
    <row r="719">
      <c r="A719" s="251"/>
    </row>
    <row r="720">
      <c r="A720" s="251"/>
    </row>
    <row r="721">
      <c r="A721" s="251"/>
    </row>
    <row r="722">
      <c r="A722" s="251"/>
    </row>
    <row r="723">
      <c r="A723" s="251"/>
    </row>
    <row r="724">
      <c r="A724" s="251"/>
    </row>
    <row r="725">
      <c r="A725" s="251"/>
    </row>
    <row r="726">
      <c r="A726" s="251"/>
    </row>
    <row r="727">
      <c r="A727" s="251"/>
    </row>
    <row r="728">
      <c r="A728" s="251"/>
    </row>
    <row r="729">
      <c r="A729" s="251"/>
    </row>
    <row r="730">
      <c r="A730" s="251"/>
    </row>
    <row r="731">
      <c r="A731" s="251"/>
    </row>
    <row r="732">
      <c r="A732" s="251"/>
    </row>
    <row r="733">
      <c r="A733" s="251"/>
    </row>
    <row r="734">
      <c r="A734" s="251"/>
    </row>
    <row r="735">
      <c r="A735" s="251"/>
    </row>
    <row r="736">
      <c r="A736" s="251"/>
    </row>
    <row r="737">
      <c r="A737" s="251"/>
    </row>
    <row r="738">
      <c r="A738" s="251"/>
    </row>
    <row r="739">
      <c r="A739" s="251"/>
    </row>
    <row r="740">
      <c r="A740" s="251"/>
    </row>
    <row r="741">
      <c r="A741" s="251"/>
    </row>
    <row r="742">
      <c r="A742" s="251"/>
    </row>
    <row r="743">
      <c r="A743" s="251"/>
    </row>
    <row r="744">
      <c r="A744" s="251"/>
    </row>
    <row r="745">
      <c r="A745" s="251"/>
    </row>
    <row r="746">
      <c r="A746" s="251"/>
    </row>
    <row r="747">
      <c r="A747" s="251"/>
    </row>
    <row r="748">
      <c r="A748" s="251"/>
    </row>
    <row r="749">
      <c r="A749" s="251"/>
    </row>
    <row r="750">
      <c r="A750" s="251"/>
    </row>
    <row r="751">
      <c r="A751" s="251"/>
    </row>
    <row r="752">
      <c r="A752" s="251"/>
    </row>
    <row r="753">
      <c r="A753" s="251"/>
    </row>
    <row r="754">
      <c r="A754" s="251"/>
    </row>
    <row r="755">
      <c r="A755" s="251"/>
    </row>
    <row r="756">
      <c r="A756" s="251"/>
    </row>
    <row r="757">
      <c r="A757" s="251"/>
    </row>
    <row r="758">
      <c r="A758" s="251"/>
    </row>
    <row r="759">
      <c r="A759" s="251"/>
    </row>
    <row r="760">
      <c r="A760" s="251"/>
    </row>
    <row r="761">
      <c r="A761" s="251"/>
    </row>
    <row r="762">
      <c r="A762" s="251"/>
    </row>
    <row r="763">
      <c r="A763" s="251"/>
    </row>
    <row r="764">
      <c r="A764" s="251"/>
    </row>
    <row r="765">
      <c r="A765" s="251"/>
    </row>
    <row r="766">
      <c r="A766" s="251"/>
    </row>
    <row r="767">
      <c r="A767" s="251"/>
    </row>
    <row r="768">
      <c r="A768" s="251"/>
    </row>
    <row r="769">
      <c r="A769" s="251"/>
    </row>
    <row r="770">
      <c r="A770" s="251"/>
    </row>
    <row r="771">
      <c r="A771" s="251"/>
    </row>
    <row r="772">
      <c r="A772" s="251"/>
    </row>
    <row r="773">
      <c r="A773" s="251"/>
    </row>
    <row r="774">
      <c r="A774" s="251"/>
    </row>
    <row r="775">
      <c r="A775" s="251"/>
    </row>
    <row r="776">
      <c r="A776" s="251"/>
    </row>
    <row r="777">
      <c r="A777" s="251"/>
    </row>
    <row r="778">
      <c r="A778" s="251"/>
    </row>
    <row r="779">
      <c r="A779" s="251"/>
    </row>
    <row r="780">
      <c r="A780" s="251"/>
    </row>
    <row r="781">
      <c r="A781" s="251"/>
    </row>
    <row r="782">
      <c r="A782" s="251"/>
    </row>
    <row r="783">
      <c r="A783" s="251"/>
    </row>
    <row r="784">
      <c r="A784" s="251"/>
    </row>
    <row r="785">
      <c r="A785" s="251"/>
    </row>
    <row r="786">
      <c r="A786" s="251"/>
    </row>
    <row r="787">
      <c r="A787" s="251"/>
    </row>
    <row r="788">
      <c r="A788" s="251"/>
    </row>
    <row r="789">
      <c r="A789" s="251"/>
    </row>
    <row r="790">
      <c r="A790" s="251"/>
    </row>
    <row r="791">
      <c r="A791" s="251"/>
    </row>
    <row r="792">
      <c r="A792" s="251"/>
    </row>
    <row r="793">
      <c r="A793" s="251"/>
    </row>
    <row r="794">
      <c r="A794" s="251"/>
    </row>
    <row r="795">
      <c r="A795" s="251"/>
    </row>
    <row r="796">
      <c r="A796" s="251"/>
    </row>
    <row r="797">
      <c r="A797" s="251"/>
    </row>
    <row r="798">
      <c r="A798" s="251"/>
    </row>
    <row r="799">
      <c r="A799" s="251"/>
    </row>
    <row r="800">
      <c r="A800" s="251"/>
    </row>
    <row r="801">
      <c r="A801" s="251"/>
    </row>
    <row r="802">
      <c r="A802" s="251"/>
    </row>
    <row r="803">
      <c r="A803" s="251"/>
    </row>
    <row r="804">
      <c r="A804" s="251"/>
    </row>
    <row r="805">
      <c r="A805" s="251"/>
    </row>
    <row r="806">
      <c r="A806" s="251"/>
    </row>
    <row r="807">
      <c r="A807" s="251"/>
    </row>
    <row r="808">
      <c r="A808" s="251"/>
    </row>
    <row r="809">
      <c r="A809" s="251"/>
    </row>
    <row r="810">
      <c r="A810" s="251"/>
    </row>
    <row r="811">
      <c r="A811" s="251"/>
    </row>
    <row r="812">
      <c r="A812" s="251"/>
    </row>
    <row r="813">
      <c r="A813" s="251"/>
    </row>
    <row r="814">
      <c r="A814" s="251"/>
    </row>
    <row r="815">
      <c r="A815" s="251"/>
    </row>
    <row r="816">
      <c r="A816" s="251"/>
    </row>
    <row r="817">
      <c r="A817" s="251"/>
    </row>
    <row r="818">
      <c r="A818" s="251"/>
    </row>
    <row r="819">
      <c r="A819" s="251"/>
    </row>
    <row r="820">
      <c r="A820" s="251"/>
    </row>
    <row r="821">
      <c r="A821" s="251"/>
    </row>
    <row r="822">
      <c r="A822" s="251"/>
    </row>
    <row r="823">
      <c r="A823" s="251"/>
    </row>
    <row r="824">
      <c r="A824" s="251"/>
    </row>
    <row r="825">
      <c r="A825" s="251"/>
    </row>
    <row r="826">
      <c r="A826" s="251"/>
    </row>
    <row r="827">
      <c r="A827" s="251"/>
    </row>
    <row r="828">
      <c r="A828" s="251"/>
    </row>
    <row r="829">
      <c r="A829" s="251"/>
    </row>
    <row r="830">
      <c r="A830" s="251"/>
    </row>
    <row r="831">
      <c r="A831" s="251"/>
    </row>
    <row r="832">
      <c r="A832" s="251"/>
    </row>
    <row r="833">
      <c r="A833" s="251"/>
    </row>
    <row r="834">
      <c r="A834" s="251"/>
    </row>
    <row r="835">
      <c r="A835" s="251"/>
    </row>
    <row r="836">
      <c r="A836" s="251"/>
    </row>
    <row r="837">
      <c r="A837" s="251"/>
    </row>
    <row r="838">
      <c r="A838" s="251"/>
    </row>
    <row r="839">
      <c r="A839" s="251"/>
    </row>
    <row r="840">
      <c r="A840" s="251"/>
    </row>
    <row r="841">
      <c r="A841" s="251"/>
    </row>
    <row r="842">
      <c r="A842" s="251"/>
    </row>
    <row r="843">
      <c r="A843" s="251"/>
    </row>
    <row r="844">
      <c r="A844" s="251"/>
    </row>
    <row r="845">
      <c r="A845" s="251"/>
    </row>
    <row r="846">
      <c r="A846" s="251"/>
    </row>
    <row r="847">
      <c r="A847" s="251"/>
    </row>
    <row r="848">
      <c r="A848" s="251"/>
    </row>
    <row r="849">
      <c r="A849" s="251"/>
    </row>
    <row r="850">
      <c r="A850" s="251"/>
    </row>
    <row r="851">
      <c r="A851" s="251"/>
    </row>
    <row r="852">
      <c r="A852" s="251"/>
    </row>
    <row r="853">
      <c r="A853" s="251"/>
    </row>
    <row r="854">
      <c r="A854" s="251"/>
    </row>
    <row r="855">
      <c r="A855" s="251"/>
    </row>
    <row r="856">
      <c r="A856" s="251"/>
    </row>
    <row r="857">
      <c r="A857" s="251"/>
    </row>
    <row r="858">
      <c r="A858" s="251"/>
    </row>
    <row r="859">
      <c r="A859" s="251"/>
    </row>
    <row r="860">
      <c r="A860" s="251"/>
    </row>
    <row r="861">
      <c r="A861" s="251"/>
    </row>
    <row r="862">
      <c r="A862" s="251"/>
    </row>
    <row r="863">
      <c r="A863" s="251"/>
    </row>
    <row r="864">
      <c r="A864" s="251"/>
    </row>
    <row r="865">
      <c r="A865" s="251"/>
    </row>
    <row r="866">
      <c r="A866" s="251"/>
    </row>
    <row r="867">
      <c r="A867" s="251"/>
    </row>
    <row r="868">
      <c r="A868" s="251"/>
    </row>
    <row r="869">
      <c r="A869" s="251"/>
    </row>
    <row r="870">
      <c r="A870" s="251"/>
    </row>
    <row r="871">
      <c r="A871" s="251"/>
    </row>
    <row r="872">
      <c r="A872" s="251"/>
    </row>
    <row r="873">
      <c r="A873" s="251"/>
    </row>
    <row r="874">
      <c r="A874" s="251"/>
    </row>
    <row r="875">
      <c r="A875" s="251"/>
    </row>
    <row r="876">
      <c r="A876" s="251"/>
    </row>
    <row r="877">
      <c r="A877" s="251"/>
    </row>
    <row r="878">
      <c r="A878" s="251"/>
    </row>
    <row r="879">
      <c r="A879" s="251"/>
    </row>
    <row r="880">
      <c r="A880" s="251"/>
    </row>
    <row r="881">
      <c r="A881" s="251"/>
    </row>
    <row r="882">
      <c r="A882" s="251"/>
    </row>
    <row r="883">
      <c r="A883" s="251"/>
    </row>
    <row r="884">
      <c r="A884" s="251"/>
    </row>
    <row r="885">
      <c r="A885" s="251"/>
    </row>
    <row r="886">
      <c r="A886" s="251"/>
    </row>
    <row r="887">
      <c r="A887" s="251"/>
    </row>
    <row r="888">
      <c r="A888" s="251"/>
    </row>
    <row r="889">
      <c r="A889" s="251"/>
    </row>
    <row r="890">
      <c r="A890" s="251"/>
    </row>
    <row r="891">
      <c r="A891" s="251"/>
    </row>
    <row r="892">
      <c r="A892" s="251"/>
    </row>
    <row r="893">
      <c r="A893" s="251"/>
    </row>
    <row r="894">
      <c r="A894" s="251"/>
    </row>
    <row r="895">
      <c r="A895" s="251"/>
    </row>
    <row r="896">
      <c r="A896" s="251"/>
    </row>
    <row r="897">
      <c r="A897" s="251"/>
    </row>
    <row r="898">
      <c r="A898" s="251"/>
    </row>
    <row r="899">
      <c r="A899" s="251"/>
    </row>
    <row r="900">
      <c r="A900" s="251"/>
    </row>
    <row r="901">
      <c r="A901" s="251"/>
    </row>
    <row r="902">
      <c r="A902" s="251"/>
    </row>
    <row r="903">
      <c r="A903" s="251"/>
    </row>
    <row r="904">
      <c r="A904" s="251"/>
    </row>
    <row r="905">
      <c r="A905" s="251"/>
    </row>
    <row r="906">
      <c r="A906" s="251"/>
    </row>
    <row r="907">
      <c r="A907" s="251"/>
    </row>
    <row r="908">
      <c r="A908" s="251"/>
    </row>
    <row r="909">
      <c r="A909" s="251"/>
    </row>
    <row r="910">
      <c r="A910" s="251"/>
    </row>
    <row r="911">
      <c r="A911" s="251"/>
    </row>
    <row r="912">
      <c r="A912" s="251"/>
    </row>
    <row r="913">
      <c r="A913" s="251"/>
    </row>
    <row r="914">
      <c r="A914" s="251"/>
    </row>
    <row r="915">
      <c r="A915" s="251"/>
    </row>
    <row r="916">
      <c r="A916" s="251"/>
    </row>
    <row r="917">
      <c r="A917" s="251"/>
    </row>
    <row r="918">
      <c r="A918" s="251"/>
    </row>
    <row r="919">
      <c r="A919" s="251"/>
    </row>
    <row r="920">
      <c r="A920" s="251"/>
    </row>
    <row r="921">
      <c r="A921" s="251"/>
    </row>
    <row r="922">
      <c r="A922" s="251"/>
    </row>
    <row r="923">
      <c r="A923" s="251"/>
    </row>
    <row r="924">
      <c r="A924" s="251"/>
    </row>
    <row r="925">
      <c r="A925" s="251"/>
    </row>
    <row r="926">
      <c r="A926" s="251"/>
    </row>
    <row r="927">
      <c r="A927" s="251"/>
    </row>
    <row r="928">
      <c r="A928" s="251"/>
    </row>
    <row r="929">
      <c r="A929" s="251"/>
    </row>
    <row r="930">
      <c r="A930" s="251"/>
    </row>
    <row r="931">
      <c r="A931" s="251"/>
    </row>
    <row r="932">
      <c r="A932" s="251"/>
    </row>
    <row r="933">
      <c r="A933" s="251"/>
    </row>
    <row r="934">
      <c r="A934" s="251"/>
    </row>
    <row r="935">
      <c r="A935" s="251"/>
    </row>
    <row r="936">
      <c r="A936" s="251"/>
    </row>
    <row r="937">
      <c r="A937" s="251"/>
    </row>
    <row r="938">
      <c r="A938" s="251"/>
    </row>
    <row r="939">
      <c r="A939" s="251"/>
    </row>
    <row r="940">
      <c r="A940" s="251"/>
    </row>
    <row r="941">
      <c r="A941" s="251"/>
    </row>
    <row r="942">
      <c r="A942" s="251"/>
    </row>
    <row r="943">
      <c r="A943" s="251"/>
    </row>
    <row r="944">
      <c r="A944" s="251"/>
    </row>
    <row r="945">
      <c r="A945" s="251"/>
    </row>
    <row r="946">
      <c r="A946" s="251"/>
    </row>
    <row r="947">
      <c r="A947" s="251"/>
    </row>
    <row r="948">
      <c r="A948" s="251"/>
    </row>
    <row r="949">
      <c r="A949" s="251"/>
    </row>
    <row r="950">
      <c r="A950" s="251"/>
    </row>
    <row r="951">
      <c r="A951" s="251"/>
    </row>
    <row r="952">
      <c r="A952" s="251"/>
    </row>
    <row r="953">
      <c r="A953" s="251"/>
    </row>
    <row r="954">
      <c r="A954" s="251"/>
    </row>
    <row r="955">
      <c r="A955" s="251"/>
    </row>
    <row r="956">
      <c r="A956" s="251"/>
    </row>
    <row r="957">
      <c r="A957" s="251"/>
    </row>
    <row r="958">
      <c r="A958" s="251"/>
    </row>
    <row r="959">
      <c r="A959" s="251"/>
    </row>
    <row r="960">
      <c r="A960" s="251"/>
    </row>
    <row r="961">
      <c r="A961" s="251"/>
    </row>
    <row r="962">
      <c r="A962" s="251"/>
    </row>
    <row r="963">
      <c r="A963" s="251"/>
    </row>
    <row r="964">
      <c r="A964" s="251"/>
    </row>
    <row r="965">
      <c r="A965" s="251"/>
    </row>
    <row r="966">
      <c r="A966" s="251"/>
    </row>
    <row r="967">
      <c r="A967" s="251"/>
    </row>
    <row r="968">
      <c r="A968" s="251"/>
    </row>
    <row r="969">
      <c r="A969" s="251"/>
    </row>
    <row r="970">
      <c r="A970" s="251"/>
    </row>
    <row r="971">
      <c r="A971" s="251"/>
    </row>
    <row r="972">
      <c r="A972" s="251"/>
    </row>
    <row r="973">
      <c r="A973" s="251"/>
    </row>
    <row r="974">
      <c r="A974" s="251"/>
    </row>
    <row r="975">
      <c r="A975" s="251"/>
    </row>
    <row r="976">
      <c r="A976" s="251"/>
    </row>
    <row r="977">
      <c r="A977" s="251"/>
    </row>
    <row r="978">
      <c r="A978" s="251"/>
    </row>
    <row r="979">
      <c r="A979" s="251"/>
    </row>
    <row r="980">
      <c r="A980" s="251"/>
    </row>
    <row r="981">
      <c r="A981" s="251"/>
    </row>
    <row r="982">
      <c r="A982" s="251"/>
    </row>
  </sheetData>
  <mergeCells count="2">
    <mergeCell ref="A16:G16"/>
    <mergeCell ref="A22:D22"/>
  </mergeCell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13"/>
    <col customWidth="1" min="4" max="4" width="11.63"/>
    <col customWidth="1" min="6" max="6" width="9.63"/>
    <col customWidth="1" min="7" max="7" width="7.38"/>
    <col customWidth="1" min="8" max="8" width="12.25"/>
    <col customWidth="1" min="9" max="9" width="15.5"/>
  </cols>
  <sheetData>
    <row r="1">
      <c r="A1" s="251"/>
      <c r="B1" s="179"/>
      <c r="C1" s="179"/>
      <c r="D1" s="179"/>
      <c r="E1" s="179"/>
      <c r="F1" s="235"/>
      <c r="G1" s="235"/>
      <c r="H1" s="235"/>
      <c r="I1" s="179"/>
    </row>
    <row r="2">
      <c r="A2" s="252" t="s">
        <v>218</v>
      </c>
      <c r="B2" s="253" t="s">
        <v>195</v>
      </c>
      <c r="C2" s="253" t="s">
        <v>196</v>
      </c>
      <c r="D2" s="253" t="s">
        <v>197</v>
      </c>
      <c r="E2" s="253" t="s">
        <v>4</v>
      </c>
      <c r="F2" s="249" t="s">
        <v>5</v>
      </c>
      <c r="G2" s="249" t="s">
        <v>9</v>
      </c>
      <c r="H2" s="253" t="s">
        <v>6</v>
      </c>
      <c r="I2" s="254" t="s">
        <v>198</v>
      </c>
      <c r="J2" s="69"/>
    </row>
    <row r="3">
      <c r="A3" s="87" t="s">
        <v>199</v>
      </c>
      <c r="B3" s="98">
        <f>'Исходные данные'!D12</f>
        <v>402</v>
      </c>
      <c r="C3" s="134">
        <f>'Исходные данные'!G34</f>
        <v>33</v>
      </c>
      <c r="D3" s="134"/>
      <c r="E3" s="134">
        <v>637618.0</v>
      </c>
      <c r="F3" s="256">
        <v>12.0</v>
      </c>
      <c r="G3" s="249"/>
      <c r="H3" s="250">
        <f t="shared" ref="H3:H10" si="1">E3/F3</f>
        <v>53134.83333</v>
      </c>
      <c r="I3" s="257">
        <f>H3/B3*C3</f>
        <v>4361.814677</v>
      </c>
      <c r="J3" s="69"/>
    </row>
    <row r="4">
      <c r="A4" s="87" t="s">
        <v>219</v>
      </c>
      <c r="B4" s="134"/>
      <c r="C4" s="134"/>
      <c r="D4" s="134"/>
      <c r="E4" s="177">
        <f>10500+9000</f>
        <v>19500</v>
      </c>
      <c r="F4" s="256">
        <v>12.0</v>
      </c>
      <c r="G4" s="249"/>
      <c r="H4" s="250">
        <f t="shared" si="1"/>
        <v>1625</v>
      </c>
      <c r="I4" s="257">
        <f t="shared" ref="I4:I11" si="2">H4</f>
        <v>1625</v>
      </c>
      <c r="J4" s="69"/>
    </row>
    <row r="5">
      <c r="A5" s="87" t="s">
        <v>202</v>
      </c>
      <c r="B5" s="163"/>
      <c r="C5" s="163"/>
      <c r="D5" s="163"/>
      <c r="E5" s="134">
        <f>4750+1900</f>
        <v>6650</v>
      </c>
      <c r="F5" s="256">
        <v>12.0</v>
      </c>
      <c r="G5" s="249"/>
      <c r="H5" s="250">
        <f t="shared" si="1"/>
        <v>554.1666667</v>
      </c>
      <c r="I5" s="257">
        <f t="shared" si="2"/>
        <v>554.1666667</v>
      </c>
      <c r="J5" s="69"/>
    </row>
    <row r="6">
      <c r="A6" s="87" t="s">
        <v>148</v>
      </c>
      <c r="B6" s="258"/>
      <c r="C6" s="258"/>
      <c r="D6" s="258"/>
      <c r="E6" s="177">
        <v>1727.0</v>
      </c>
      <c r="F6" s="256">
        <v>12.0</v>
      </c>
      <c r="G6" s="249"/>
      <c r="H6" s="250">
        <f t="shared" si="1"/>
        <v>143.9166667</v>
      </c>
      <c r="I6" s="257">
        <f t="shared" si="2"/>
        <v>143.9166667</v>
      </c>
      <c r="J6" s="69"/>
    </row>
    <row r="7">
      <c r="A7" s="87" t="s">
        <v>150</v>
      </c>
      <c r="B7" s="258"/>
      <c r="C7" s="258"/>
      <c r="D7" s="258"/>
      <c r="E7" s="177"/>
      <c r="F7" s="256">
        <v>12.0</v>
      </c>
      <c r="G7" s="249"/>
      <c r="H7" s="250">
        <f t="shared" si="1"/>
        <v>0</v>
      </c>
      <c r="I7" s="257">
        <f t="shared" si="2"/>
        <v>0</v>
      </c>
      <c r="J7" s="69"/>
    </row>
    <row r="8">
      <c r="A8" s="87" t="s">
        <v>149</v>
      </c>
      <c r="B8" s="258"/>
      <c r="C8" s="258"/>
      <c r="D8" s="258"/>
      <c r="E8" s="177">
        <v>13287.0</v>
      </c>
      <c r="F8" s="256">
        <v>12.0</v>
      </c>
      <c r="G8" s="249"/>
      <c r="H8" s="250">
        <f t="shared" si="1"/>
        <v>1107.25</v>
      </c>
      <c r="I8" s="257">
        <f t="shared" si="2"/>
        <v>1107.25</v>
      </c>
      <c r="J8" s="69"/>
    </row>
    <row r="9">
      <c r="A9" s="87" t="s">
        <v>203</v>
      </c>
      <c r="B9" s="258"/>
      <c r="C9" s="258"/>
      <c r="D9" s="258"/>
      <c r="E9" s="177"/>
      <c r="F9" s="256">
        <v>12.0</v>
      </c>
      <c r="G9" s="249"/>
      <c r="H9" s="250">
        <f t="shared" si="1"/>
        <v>0</v>
      </c>
      <c r="I9" s="257">
        <f t="shared" si="2"/>
        <v>0</v>
      </c>
      <c r="J9" s="69"/>
    </row>
    <row r="10">
      <c r="A10" s="87" t="s">
        <v>204</v>
      </c>
      <c r="B10" s="258"/>
      <c r="C10" s="258"/>
      <c r="D10" s="258"/>
      <c r="E10" s="177">
        <v>1169.0</v>
      </c>
      <c r="F10" s="256">
        <v>12.0</v>
      </c>
      <c r="G10" s="249"/>
      <c r="H10" s="250">
        <f t="shared" si="1"/>
        <v>97.41666667</v>
      </c>
      <c r="I10" s="257">
        <f t="shared" si="2"/>
        <v>97.41666667</v>
      </c>
      <c r="J10" s="69"/>
    </row>
    <row r="11">
      <c r="A11" s="68" t="s">
        <v>155</v>
      </c>
      <c r="B11" s="72"/>
      <c r="C11" s="71"/>
      <c r="D11" s="71"/>
      <c r="E11" s="72"/>
      <c r="F11" s="249"/>
      <c r="G11" s="259"/>
      <c r="H11" s="250">
        <f>D28</f>
        <v>0</v>
      </c>
      <c r="I11" s="257">
        <f t="shared" si="2"/>
        <v>0</v>
      </c>
      <c r="J11" s="69"/>
    </row>
    <row r="12">
      <c r="A12" s="68" t="s">
        <v>152</v>
      </c>
      <c r="B12" s="72"/>
      <c r="C12" s="71"/>
      <c r="D12" s="260">
        <f>B17+B18</f>
        <v>554</v>
      </c>
      <c r="E12" s="72"/>
      <c r="F12" s="249"/>
      <c r="G12" s="259">
        <f>'Общие расходы ГЭ'!G16</f>
        <v>9.195626292</v>
      </c>
      <c r="H12" s="249"/>
      <c r="I12" s="257">
        <f t="shared" ref="I12:I14" si="3">D12*G12</f>
        <v>5094.376966</v>
      </c>
      <c r="J12" s="69"/>
    </row>
    <row r="13">
      <c r="A13" s="68" t="s">
        <v>153</v>
      </c>
      <c r="B13" s="72"/>
      <c r="C13" s="71"/>
      <c r="D13" s="260">
        <f>B17+B18</f>
        <v>554</v>
      </c>
      <c r="E13" s="72"/>
      <c r="F13" s="249"/>
      <c r="G13" s="259">
        <f>'Общие расходы г. Тюмень'!F4</f>
        <v>0.2743933235</v>
      </c>
      <c r="H13" s="249"/>
      <c r="I13" s="257">
        <f t="shared" si="3"/>
        <v>152.0139012</v>
      </c>
      <c r="J13" s="69"/>
    </row>
    <row r="14">
      <c r="A14" s="68" t="s">
        <v>156</v>
      </c>
      <c r="B14" s="72"/>
      <c r="C14" s="71"/>
      <c r="D14" s="260">
        <f>B17+B18</f>
        <v>554</v>
      </c>
      <c r="E14" s="72"/>
      <c r="F14" s="249"/>
      <c r="G14" s="250">
        <f>'Общие расходы г. Тюмень'!F30</f>
        <v>0.7480139342</v>
      </c>
      <c r="H14" s="249"/>
      <c r="I14" s="261">
        <f t="shared" si="3"/>
        <v>414.3997196</v>
      </c>
      <c r="J14" s="69"/>
    </row>
    <row r="15">
      <c r="A15" s="262" t="s">
        <v>62</v>
      </c>
      <c r="B15" s="263"/>
      <c r="C15" s="263"/>
      <c r="D15" s="263"/>
      <c r="E15" s="263"/>
      <c r="F15" s="263"/>
      <c r="G15" s="185"/>
      <c r="H15" s="264"/>
      <c r="I15" s="261">
        <f>SUM(I3:I14)</f>
        <v>13550.35526</v>
      </c>
    </row>
    <row r="16">
      <c r="A16" s="251"/>
      <c r="B16" s="179"/>
      <c r="C16" s="179"/>
      <c r="D16" s="179"/>
      <c r="E16" s="179"/>
      <c r="F16" s="235"/>
      <c r="G16" s="235"/>
      <c r="H16" s="235"/>
      <c r="I16" s="179"/>
    </row>
    <row r="17">
      <c r="A17" s="68" t="s">
        <v>205</v>
      </c>
      <c r="B17" s="265">
        <f>'Исходные данные'!B34</f>
        <v>554</v>
      </c>
      <c r="C17" s="179"/>
      <c r="D17" s="179"/>
      <c r="E17" s="179"/>
      <c r="F17" s="235"/>
      <c r="G17" s="235"/>
      <c r="H17" s="235"/>
      <c r="I17" s="179"/>
    </row>
    <row r="18">
      <c r="A18" s="68" t="s">
        <v>206</v>
      </c>
      <c r="B18" s="265" t="str">
        <f>'Исходные данные'!C34</f>
        <v/>
      </c>
      <c r="C18" s="179"/>
      <c r="D18" s="179"/>
      <c r="E18" s="179"/>
      <c r="F18" s="235"/>
      <c r="G18" s="235"/>
      <c r="H18" s="235"/>
      <c r="I18" s="179"/>
    </row>
    <row r="19">
      <c r="A19" s="68" t="s">
        <v>207</v>
      </c>
      <c r="B19" s="265" t="str">
        <f>'Исходные данные'!D25</f>
        <v/>
      </c>
      <c r="C19" s="179"/>
      <c r="D19" s="179"/>
      <c r="E19" s="179"/>
      <c r="F19" s="235"/>
      <c r="G19" s="235"/>
      <c r="H19" s="235"/>
      <c r="I19" s="179"/>
    </row>
    <row r="20">
      <c r="A20" s="251"/>
      <c r="B20" s="179"/>
      <c r="C20" s="179"/>
      <c r="D20" s="179"/>
      <c r="E20" s="179"/>
      <c r="F20" s="235"/>
      <c r="G20" s="235"/>
      <c r="H20" s="235"/>
      <c r="I20" s="74"/>
    </row>
    <row r="21">
      <c r="A21" s="266" t="s">
        <v>208</v>
      </c>
      <c r="B21" s="263"/>
      <c r="C21" s="263"/>
      <c r="D21" s="185"/>
      <c r="E21" s="267"/>
      <c r="F21" s="69"/>
      <c r="G21" s="69"/>
      <c r="H21" s="69"/>
      <c r="I21" s="69"/>
    </row>
    <row r="22">
      <c r="A22" s="268" t="s">
        <v>209</v>
      </c>
      <c r="B22" s="269" t="s">
        <v>210</v>
      </c>
      <c r="C22" s="93" t="s">
        <v>5</v>
      </c>
      <c r="D22" s="269" t="s">
        <v>211</v>
      </c>
      <c r="E22" s="270"/>
    </row>
    <row r="23">
      <c r="A23" s="272" t="s">
        <v>212</v>
      </c>
      <c r="B23" s="271"/>
      <c r="C23" s="134">
        <v>12.0</v>
      </c>
      <c r="D23" s="271">
        <f t="shared" ref="D23:D24" si="4">B23/C23</f>
        <v>0</v>
      </c>
      <c r="E23" s="74"/>
    </row>
    <row r="24">
      <c r="A24" s="272" t="s">
        <v>220</v>
      </c>
      <c r="B24" s="271"/>
      <c r="C24" s="134">
        <v>12.0</v>
      </c>
      <c r="D24" s="271">
        <f t="shared" si="4"/>
        <v>0</v>
      </c>
      <c r="E24" s="74"/>
    </row>
    <row r="25">
      <c r="A25" s="272"/>
      <c r="B25" s="271"/>
      <c r="C25" s="134"/>
      <c r="D25" s="271"/>
      <c r="E25" s="74"/>
    </row>
    <row r="26">
      <c r="A26" s="272"/>
      <c r="B26" s="271"/>
      <c r="C26" s="134"/>
      <c r="D26" s="271"/>
      <c r="E26" s="74"/>
    </row>
    <row r="27">
      <c r="A27" s="272"/>
      <c r="B27" s="271"/>
      <c r="C27" s="134"/>
      <c r="D27" s="271"/>
      <c r="E27" s="74"/>
    </row>
    <row r="28">
      <c r="A28" s="273"/>
      <c r="B28" s="274">
        <f>SUM(B23:B27)</f>
        <v>0</v>
      </c>
      <c r="C28" s="275">
        <v>12.0</v>
      </c>
      <c r="D28" s="274">
        <f>B28/C28</f>
        <v>0</v>
      </c>
      <c r="E28" s="276"/>
      <c r="F28" s="169"/>
      <c r="G28" s="168"/>
    </row>
    <row r="29">
      <c r="A29" s="251"/>
    </row>
    <row r="30">
      <c r="A30" s="251"/>
    </row>
    <row r="31">
      <c r="A31" s="251"/>
    </row>
    <row r="32">
      <c r="A32" s="251"/>
    </row>
    <row r="33">
      <c r="A33" s="251"/>
    </row>
    <row r="34">
      <c r="A34" s="251"/>
    </row>
    <row r="35">
      <c r="A35" s="251"/>
    </row>
    <row r="36">
      <c r="A36" s="251"/>
    </row>
    <row r="37">
      <c r="A37" s="251"/>
    </row>
    <row r="38">
      <c r="A38" s="251"/>
    </row>
    <row r="39">
      <c r="A39" s="251"/>
    </row>
    <row r="40">
      <c r="A40" s="251"/>
    </row>
    <row r="41">
      <c r="A41" s="251"/>
    </row>
    <row r="42">
      <c r="A42" s="251"/>
    </row>
    <row r="43">
      <c r="A43" s="251"/>
    </row>
    <row r="44">
      <c r="A44" s="251"/>
    </row>
    <row r="45">
      <c r="A45" s="251"/>
    </row>
    <row r="46">
      <c r="A46" s="251"/>
    </row>
    <row r="47">
      <c r="A47" s="251"/>
    </row>
    <row r="48">
      <c r="A48" s="251"/>
    </row>
    <row r="49">
      <c r="A49" s="251"/>
    </row>
    <row r="50">
      <c r="A50" s="251"/>
    </row>
    <row r="51">
      <c r="A51" s="251"/>
    </row>
    <row r="52">
      <c r="A52" s="251"/>
    </row>
    <row r="53">
      <c r="A53" s="251"/>
    </row>
    <row r="54">
      <c r="A54" s="251"/>
    </row>
    <row r="55">
      <c r="A55" s="251"/>
    </row>
    <row r="56">
      <c r="A56" s="251"/>
    </row>
    <row r="57">
      <c r="A57" s="251"/>
    </row>
    <row r="58">
      <c r="A58" s="251"/>
    </row>
    <row r="59">
      <c r="A59" s="251"/>
    </row>
    <row r="60">
      <c r="A60" s="251"/>
    </row>
    <row r="61">
      <c r="A61" s="251"/>
    </row>
    <row r="62">
      <c r="A62" s="251"/>
    </row>
    <row r="63">
      <c r="A63" s="251"/>
    </row>
    <row r="64">
      <c r="A64" s="251"/>
    </row>
    <row r="65">
      <c r="A65" s="251"/>
    </row>
    <row r="66">
      <c r="A66" s="251"/>
    </row>
    <row r="67">
      <c r="A67" s="251"/>
    </row>
    <row r="68">
      <c r="A68" s="251"/>
    </row>
    <row r="69">
      <c r="A69" s="251"/>
    </row>
    <row r="70">
      <c r="A70" s="251"/>
    </row>
    <row r="71">
      <c r="A71" s="251"/>
    </row>
    <row r="72">
      <c r="A72" s="251"/>
    </row>
    <row r="73">
      <c r="A73" s="251"/>
    </row>
    <row r="74">
      <c r="A74" s="251"/>
    </row>
    <row r="75">
      <c r="A75" s="251"/>
    </row>
    <row r="76">
      <c r="A76" s="251"/>
    </row>
    <row r="77">
      <c r="A77" s="251"/>
    </row>
    <row r="78">
      <c r="A78" s="251"/>
    </row>
    <row r="79">
      <c r="A79" s="251"/>
    </row>
    <row r="80">
      <c r="A80" s="251"/>
    </row>
    <row r="81">
      <c r="A81" s="251"/>
    </row>
    <row r="82">
      <c r="A82" s="251"/>
    </row>
    <row r="83">
      <c r="A83" s="251"/>
    </row>
    <row r="84">
      <c r="A84" s="251"/>
    </row>
    <row r="85">
      <c r="A85" s="251"/>
    </row>
    <row r="86">
      <c r="A86" s="251"/>
    </row>
    <row r="87">
      <c r="A87" s="251"/>
    </row>
    <row r="88">
      <c r="A88" s="251"/>
    </row>
    <row r="89">
      <c r="A89" s="251"/>
    </row>
    <row r="90">
      <c r="A90" s="251"/>
    </row>
    <row r="91">
      <c r="A91" s="251"/>
    </row>
    <row r="92">
      <c r="A92" s="251"/>
    </row>
    <row r="93">
      <c r="A93" s="251"/>
    </row>
    <row r="94">
      <c r="A94" s="251"/>
    </row>
    <row r="95">
      <c r="A95" s="251"/>
    </row>
    <row r="96">
      <c r="A96" s="251"/>
    </row>
    <row r="97">
      <c r="A97" s="251"/>
    </row>
    <row r="98">
      <c r="A98" s="251"/>
    </row>
    <row r="99">
      <c r="A99" s="251"/>
    </row>
    <row r="100">
      <c r="A100" s="251"/>
    </row>
    <row r="101">
      <c r="A101" s="251"/>
    </row>
    <row r="102">
      <c r="A102" s="251"/>
    </row>
    <row r="103">
      <c r="A103" s="251"/>
    </row>
    <row r="104">
      <c r="A104" s="251"/>
    </row>
    <row r="105">
      <c r="A105" s="251"/>
    </row>
    <row r="106">
      <c r="A106" s="251"/>
    </row>
    <row r="107">
      <c r="A107" s="251"/>
    </row>
    <row r="108">
      <c r="A108" s="251"/>
    </row>
    <row r="109">
      <c r="A109" s="251"/>
    </row>
    <row r="110">
      <c r="A110" s="251"/>
    </row>
    <row r="111">
      <c r="A111" s="251"/>
    </row>
    <row r="112">
      <c r="A112" s="251"/>
    </row>
    <row r="113">
      <c r="A113" s="251"/>
    </row>
    <row r="114">
      <c r="A114" s="251"/>
    </row>
    <row r="115">
      <c r="A115" s="251"/>
    </row>
    <row r="116">
      <c r="A116" s="251"/>
    </row>
    <row r="117">
      <c r="A117" s="251"/>
    </row>
    <row r="118">
      <c r="A118" s="251"/>
    </row>
    <row r="119">
      <c r="A119" s="251"/>
    </row>
    <row r="120">
      <c r="A120" s="251"/>
    </row>
    <row r="121">
      <c r="A121" s="251"/>
    </row>
    <row r="122">
      <c r="A122" s="251"/>
    </row>
    <row r="123">
      <c r="A123" s="251"/>
    </row>
    <row r="124">
      <c r="A124" s="251"/>
    </row>
    <row r="125">
      <c r="A125" s="251"/>
    </row>
    <row r="126">
      <c r="A126" s="251"/>
    </row>
    <row r="127">
      <c r="A127" s="251"/>
    </row>
    <row r="128">
      <c r="A128" s="251"/>
    </row>
    <row r="129">
      <c r="A129" s="251"/>
    </row>
    <row r="130">
      <c r="A130" s="251"/>
    </row>
    <row r="131">
      <c r="A131" s="251"/>
    </row>
    <row r="132">
      <c r="A132" s="251"/>
    </row>
    <row r="133">
      <c r="A133" s="251"/>
    </row>
    <row r="134">
      <c r="A134" s="251"/>
    </row>
    <row r="135">
      <c r="A135" s="251"/>
    </row>
    <row r="136">
      <c r="A136" s="251"/>
    </row>
    <row r="137">
      <c r="A137" s="251"/>
    </row>
    <row r="138">
      <c r="A138" s="251"/>
    </row>
    <row r="139">
      <c r="A139" s="251"/>
    </row>
    <row r="140">
      <c r="A140" s="251"/>
    </row>
    <row r="141">
      <c r="A141" s="251"/>
    </row>
    <row r="142">
      <c r="A142" s="251"/>
    </row>
    <row r="143">
      <c r="A143" s="251"/>
    </row>
    <row r="144">
      <c r="A144" s="251"/>
    </row>
    <row r="145">
      <c r="A145" s="251"/>
    </row>
    <row r="146">
      <c r="A146" s="251"/>
    </row>
    <row r="147">
      <c r="A147" s="251"/>
    </row>
    <row r="148">
      <c r="A148" s="251"/>
    </row>
    <row r="149">
      <c r="A149" s="251"/>
    </row>
    <row r="150">
      <c r="A150" s="251"/>
    </row>
    <row r="151">
      <c r="A151" s="251"/>
    </row>
    <row r="152">
      <c r="A152" s="251"/>
    </row>
    <row r="153">
      <c r="A153" s="251"/>
    </row>
    <row r="154">
      <c r="A154" s="251"/>
    </row>
    <row r="155">
      <c r="A155" s="251"/>
    </row>
    <row r="156">
      <c r="A156" s="251"/>
    </row>
    <row r="157">
      <c r="A157" s="251"/>
    </row>
    <row r="158">
      <c r="A158" s="251"/>
    </row>
    <row r="159">
      <c r="A159" s="251"/>
    </row>
    <row r="160">
      <c r="A160" s="251"/>
    </row>
    <row r="161">
      <c r="A161" s="251"/>
    </row>
    <row r="162">
      <c r="A162" s="251"/>
    </row>
    <row r="163">
      <c r="A163" s="251"/>
    </row>
    <row r="164">
      <c r="A164" s="251"/>
    </row>
    <row r="165">
      <c r="A165" s="251"/>
    </row>
    <row r="166">
      <c r="A166" s="251"/>
    </row>
    <row r="167">
      <c r="A167" s="251"/>
    </row>
    <row r="168">
      <c r="A168" s="251"/>
    </row>
    <row r="169">
      <c r="A169" s="251"/>
    </row>
    <row r="170">
      <c r="A170" s="251"/>
    </row>
    <row r="171">
      <c r="A171" s="251"/>
    </row>
    <row r="172">
      <c r="A172" s="251"/>
    </row>
    <row r="173">
      <c r="A173" s="251"/>
    </row>
    <row r="174">
      <c r="A174" s="251"/>
    </row>
    <row r="175">
      <c r="A175" s="251"/>
    </row>
    <row r="176">
      <c r="A176" s="251"/>
    </row>
    <row r="177">
      <c r="A177" s="251"/>
    </row>
    <row r="178">
      <c r="A178" s="251"/>
    </row>
    <row r="179">
      <c r="A179" s="251"/>
    </row>
    <row r="180">
      <c r="A180" s="251"/>
    </row>
    <row r="181">
      <c r="A181" s="251"/>
    </row>
    <row r="182">
      <c r="A182" s="251"/>
    </row>
    <row r="183">
      <c r="A183" s="251"/>
    </row>
    <row r="184">
      <c r="A184" s="251"/>
    </row>
    <row r="185">
      <c r="A185" s="251"/>
    </row>
    <row r="186">
      <c r="A186" s="251"/>
    </row>
    <row r="187">
      <c r="A187" s="251"/>
    </row>
    <row r="188">
      <c r="A188" s="251"/>
    </row>
    <row r="189">
      <c r="A189" s="251"/>
    </row>
    <row r="190">
      <c r="A190" s="251"/>
    </row>
    <row r="191">
      <c r="A191" s="251"/>
    </row>
    <row r="192">
      <c r="A192" s="251"/>
    </row>
    <row r="193">
      <c r="A193" s="251"/>
    </row>
    <row r="194">
      <c r="A194" s="251"/>
    </row>
    <row r="195">
      <c r="A195" s="251"/>
    </row>
    <row r="196">
      <c r="A196" s="251"/>
    </row>
    <row r="197">
      <c r="A197" s="251"/>
    </row>
    <row r="198">
      <c r="A198" s="251"/>
    </row>
    <row r="199">
      <c r="A199" s="251"/>
    </row>
    <row r="200">
      <c r="A200" s="251"/>
    </row>
    <row r="201">
      <c r="A201" s="251"/>
    </row>
    <row r="202">
      <c r="A202" s="251"/>
    </row>
    <row r="203">
      <c r="A203" s="251"/>
    </row>
    <row r="204">
      <c r="A204" s="251"/>
    </row>
    <row r="205">
      <c r="A205" s="251"/>
    </row>
    <row r="206">
      <c r="A206" s="251"/>
    </row>
    <row r="207">
      <c r="A207" s="251"/>
    </row>
    <row r="208">
      <c r="A208" s="251"/>
    </row>
    <row r="209">
      <c r="A209" s="251"/>
    </row>
    <row r="210">
      <c r="A210" s="251"/>
    </row>
    <row r="211">
      <c r="A211" s="251"/>
    </row>
    <row r="212">
      <c r="A212" s="251"/>
    </row>
    <row r="213">
      <c r="A213" s="251"/>
    </row>
    <row r="214">
      <c r="A214" s="251"/>
    </row>
    <row r="215">
      <c r="A215" s="251"/>
    </row>
    <row r="216">
      <c r="A216" s="251"/>
    </row>
    <row r="217">
      <c r="A217" s="251"/>
    </row>
    <row r="218">
      <c r="A218" s="251"/>
    </row>
    <row r="219">
      <c r="A219" s="251"/>
    </row>
    <row r="220">
      <c r="A220" s="251"/>
    </row>
    <row r="221">
      <c r="A221" s="251"/>
    </row>
    <row r="222">
      <c r="A222" s="251"/>
    </row>
    <row r="223">
      <c r="A223" s="251"/>
    </row>
    <row r="224">
      <c r="A224" s="251"/>
    </row>
    <row r="225">
      <c r="A225" s="251"/>
    </row>
    <row r="226">
      <c r="A226" s="251"/>
    </row>
    <row r="227">
      <c r="A227" s="251"/>
    </row>
    <row r="228">
      <c r="A228" s="251"/>
    </row>
    <row r="229">
      <c r="A229" s="251"/>
    </row>
    <row r="230">
      <c r="A230" s="251"/>
    </row>
    <row r="231">
      <c r="A231" s="251"/>
    </row>
    <row r="232">
      <c r="A232" s="251"/>
    </row>
    <row r="233">
      <c r="A233" s="251"/>
    </row>
    <row r="234">
      <c r="A234" s="251"/>
    </row>
    <row r="235">
      <c r="A235" s="251"/>
    </row>
    <row r="236">
      <c r="A236" s="251"/>
    </row>
    <row r="237">
      <c r="A237" s="251"/>
    </row>
    <row r="238">
      <c r="A238" s="251"/>
    </row>
    <row r="239">
      <c r="A239" s="251"/>
    </row>
    <row r="240">
      <c r="A240" s="251"/>
    </row>
    <row r="241">
      <c r="A241" s="251"/>
    </row>
    <row r="242">
      <c r="A242" s="251"/>
    </row>
    <row r="243">
      <c r="A243" s="251"/>
    </row>
    <row r="244">
      <c r="A244" s="251"/>
    </row>
    <row r="245">
      <c r="A245" s="251"/>
    </row>
    <row r="246">
      <c r="A246" s="251"/>
    </row>
    <row r="247">
      <c r="A247" s="251"/>
    </row>
    <row r="248">
      <c r="A248" s="251"/>
    </row>
    <row r="249">
      <c r="A249" s="251"/>
    </row>
    <row r="250">
      <c r="A250" s="251"/>
    </row>
    <row r="251">
      <c r="A251" s="251"/>
    </row>
    <row r="252">
      <c r="A252" s="251"/>
    </row>
    <row r="253">
      <c r="A253" s="251"/>
    </row>
    <row r="254">
      <c r="A254" s="251"/>
    </row>
    <row r="255">
      <c r="A255" s="251"/>
    </row>
    <row r="256">
      <c r="A256" s="251"/>
    </row>
    <row r="257">
      <c r="A257" s="251"/>
    </row>
    <row r="258">
      <c r="A258" s="251"/>
    </row>
    <row r="259">
      <c r="A259" s="251"/>
    </row>
    <row r="260">
      <c r="A260" s="251"/>
    </row>
    <row r="261">
      <c r="A261" s="251"/>
    </row>
    <row r="262">
      <c r="A262" s="251"/>
    </row>
    <row r="263">
      <c r="A263" s="251"/>
    </row>
    <row r="264">
      <c r="A264" s="251"/>
    </row>
    <row r="265">
      <c r="A265" s="251"/>
    </row>
    <row r="266">
      <c r="A266" s="251"/>
    </row>
    <row r="267">
      <c r="A267" s="251"/>
    </row>
    <row r="268">
      <c r="A268" s="251"/>
    </row>
    <row r="269">
      <c r="A269" s="251"/>
    </row>
    <row r="270">
      <c r="A270" s="251"/>
    </row>
    <row r="271">
      <c r="A271" s="251"/>
    </row>
    <row r="272">
      <c r="A272" s="251"/>
    </row>
    <row r="273">
      <c r="A273" s="251"/>
    </row>
    <row r="274">
      <c r="A274" s="251"/>
    </row>
    <row r="275">
      <c r="A275" s="251"/>
    </row>
    <row r="276">
      <c r="A276" s="251"/>
    </row>
    <row r="277">
      <c r="A277" s="251"/>
    </row>
    <row r="278">
      <c r="A278" s="251"/>
    </row>
    <row r="279">
      <c r="A279" s="251"/>
    </row>
    <row r="280">
      <c r="A280" s="251"/>
    </row>
    <row r="281">
      <c r="A281" s="251"/>
    </row>
    <row r="282">
      <c r="A282" s="251"/>
    </row>
    <row r="283">
      <c r="A283" s="251"/>
    </row>
    <row r="284">
      <c r="A284" s="251"/>
    </row>
    <row r="285">
      <c r="A285" s="251"/>
    </row>
    <row r="286">
      <c r="A286" s="251"/>
    </row>
    <row r="287">
      <c r="A287" s="251"/>
    </row>
    <row r="288">
      <c r="A288" s="251"/>
    </row>
    <row r="289">
      <c r="A289" s="251"/>
    </row>
    <row r="290">
      <c r="A290" s="251"/>
    </row>
    <row r="291">
      <c r="A291" s="251"/>
    </row>
    <row r="292">
      <c r="A292" s="251"/>
    </row>
    <row r="293">
      <c r="A293" s="251"/>
    </row>
    <row r="294">
      <c r="A294" s="251"/>
    </row>
    <row r="295">
      <c r="A295" s="251"/>
    </row>
    <row r="296">
      <c r="A296" s="251"/>
    </row>
    <row r="297">
      <c r="A297" s="251"/>
    </row>
    <row r="298">
      <c r="A298" s="251"/>
    </row>
    <row r="299">
      <c r="A299" s="251"/>
    </row>
    <row r="300">
      <c r="A300" s="251"/>
    </row>
    <row r="301">
      <c r="A301" s="251"/>
    </row>
    <row r="302">
      <c r="A302" s="251"/>
    </row>
    <row r="303">
      <c r="A303" s="251"/>
    </row>
    <row r="304">
      <c r="A304" s="251"/>
    </row>
    <row r="305">
      <c r="A305" s="251"/>
    </row>
    <row r="306">
      <c r="A306" s="251"/>
    </row>
    <row r="307">
      <c r="A307" s="251"/>
    </row>
    <row r="308">
      <c r="A308" s="251"/>
    </row>
    <row r="309">
      <c r="A309" s="251"/>
    </row>
    <row r="310">
      <c r="A310" s="251"/>
    </row>
    <row r="311">
      <c r="A311" s="251"/>
    </row>
    <row r="312">
      <c r="A312" s="251"/>
    </row>
    <row r="313">
      <c r="A313" s="251"/>
    </row>
    <row r="314">
      <c r="A314" s="251"/>
    </row>
    <row r="315">
      <c r="A315" s="251"/>
    </row>
    <row r="316">
      <c r="A316" s="251"/>
    </row>
    <row r="317">
      <c r="A317" s="251"/>
    </row>
    <row r="318">
      <c r="A318" s="251"/>
    </row>
    <row r="319">
      <c r="A319" s="251"/>
    </row>
    <row r="320">
      <c r="A320" s="251"/>
    </row>
    <row r="321">
      <c r="A321" s="251"/>
    </row>
    <row r="322">
      <c r="A322" s="251"/>
    </row>
    <row r="323">
      <c r="A323" s="251"/>
    </row>
    <row r="324">
      <c r="A324" s="251"/>
    </row>
    <row r="325">
      <c r="A325" s="251"/>
    </row>
    <row r="326">
      <c r="A326" s="251"/>
    </row>
    <row r="327">
      <c r="A327" s="251"/>
    </row>
    <row r="328">
      <c r="A328" s="251"/>
    </row>
    <row r="329">
      <c r="A329" s="251"/>
    </row>
    <row r="330">
      <c r="A330" s="251"/>
    </row>
    <row r="331">
      <c r="A331" s="251"/>
    </row>
    <row r="332">
      <c r="A332" s="251"/>
    </row>
    <row r="333">
      <c r="A333" s="251"/>
    </row>
    <row r="334">
      <c r="A334" s="251"/>
    </row>
    <row r="335">
      <c r="A335" s="251"/>
    </row>
    <row r="336">
      <c r="A336" s="251"/>
    </row>
    <row r="337">
      <c r="A337" s="251"/>
    </row>
    <row r="338">
      <c r="A338" s="251"/>
    </row>
    <row r="339">
      <c r="A339" s="251"/>
    </row>
    <row r="340">
      <c r="A340" s="251"/>
    </row>
    <row r="341">
      <c r="A341" s="251"/>
    </row>
    <row r="342">
      <c r="A342" s="251"/>
    </row>
    <row r="343">
      <c r="A343" s="251"/>
    </row>
    <row r="344">
      <c r="A344" s="251"/>
    </row>
    <row r="345">
      <c r="A345" s="251"/>
    </row>
    <row r="346">
      <c r="A346" s="251"/>
    </row>
    <row r="347">
      <c r="A347" s="251"/>
    </row>
    <row r="348">
      <c r="A348" s="251"/>
    </row>
    <row r="349">
      <c r="A349" s="251"/>
    </row>
    <row r="350">
      <c r="A350" s="251"/>
    </row>
    <row r="351">
      <c r="A351" s="251"/>
    </row>
    <row r="352">
      <c r="A352" s="251"/>
    </row>
    <row r="353">
      <c r="A353" s="251"/>
    </row>
    <row r="354">
      <c r="A354" s="251"/>
    </row>
    <row r="355">
      <c r="A355" s="251"/>
    </row>
    <row r="356">
      <c r="A356" s="251"/>
    </row>
    <row r="357">
      <c r="A357" s="251"/>
    </row>
    <row r="358">
      <c r="A358" s="251"/>
    </row>
    <row r="359">
      <c r="A359" s="251"/>
    </row>
    <row r="360">
      <c r="A360" s="251"/>
    </row>
    <row r="361">
      <c r="A361" s="251"/>
    </row>
    <row r="362">
      <c r="A362" s="251"/>
    </row>
    <row r="363">
      <c r="A363" s="251"/>
    </row>
    <row r="364">
      <c r="A364" s="251"/>
    </row>
    <row r="365">
      <c r="A365" s="251"/>
    </row>
    <row r="366">
      <c r="A366" s="251"/>
    </row>
    <row r="367">
      <c r="A367" s="251"/>
    </row>
    <row r="368">
      <c r="A368" s="251"/>
    </row>
    <row r="369">
      <c r="A369" s="251"/>
    </row>
    <row r="370">
      <c r="A370" s="251"/>
    </row>
    <row r="371">
      <c r="A371" s="251"/>
    </row>
    <row r="372">
      <c r="A372" s="251"/>
    </row>
    <row r="373">
      <c r="A373" s="251"/>
    </row>
    <row r="374">
      <c r="A374" s="251"/>
    </row>
    <row r="375">
      <c r="A375" s="251"/>
    </row>
    <row r="376">
      <c r="A376" s="251"/>
    </row>
    <row r="377">
      <c r="A377" s="251"/>
    </row>
    <row r="378">
      <c r="A378" s="251"/>
    </row>
    <row r="379">
      <c r="A379" s="251"/>
    </row>
    <row r="380">
      <c r="A380" s="251"/>
    </row>
    <row r="381">
      <c r="A381" s="251"/>
    </row>
    <row r="382">
      <c r="A382" s="251"/>
    </row>
    <row r="383">
      <c r="A383" s="251"/>
    </row>
    <row r="384">
      <c r="A384" s="251"/>
    </row>
    <row r="385">
      <c r="A385" s="251"/>
    </row>
    <row r="386">
      <c r="A386" s="251"/>
    </row>
    <row r="387">
      <c r="A387" s="251"/>
    </row>
    <row r="388">
      <c r="A388" s="251"/>
    </row>
    <row r="389">
      <c r="A389" s="251"/>
    </row>
    <row r="390">
      <c r="A390" s="251"/>
    </row>
    <row r="391">
      <c r="A391" s="251"/>
    </row>
    <row r="392">
      <c r="A392" s="251"/>
    </row>
    <row r="393">
      <c r="A393" s="251"/>
    </row>
    <row r="394">
      <c r="A394" s="251"/>
    </row>
    <row r="395">
      <c r="A395" s="251"/>
    </row>
    <row r="396">
      <c r="A396" s="251"/>
    </row>
    <row r="397">
      <c r="A397" s="251"/>
    </row>
    <row r="398">
      <c r="A398" s="251"/>
    </row>
    <row r="399">
      <c r="A399" s="251"/>
    </row>
    <row r="400">
      <c r="A400" s="251"/>
    </row>
    <row r="401">
      <c r="A401" s="251"/>
    </row>
    <row r="402">
      <c r="A402" s="251"/>
    </row>
    <row r="403">
      <c r="A403" s="251"/>
    </row>
    <row r="404">
      <c r="A404" s="251"/>
    </row>
    <row r="405">
      <c r="A405" s="251"/>
    </row>
    <row r="406">
      <c r="A406" s="251"/>
    </row>
    <row r="407">
      <c r="A407" s="251"/>
    </row>
    <row r="408">
      <c r="A408" s="251"/>
    </row>
    <row r="409">
      <c r="A409" s="251"/>
    </row>
    <row r="410">
      <c r="A410" s="251"/>
    </row>
    <row r="411">
      <c r="A411" s="251"/>
    </row>
    <row r="412">
      <c r="A412" s="251"/>
    </row>
    <row r="413">
      <c r="A413" s="251"/>
    </row>
    <row r="414">
      <c r="A414" s="251"/>
    </row>
    <row r="415">
      <c r="A415" s="251"/>
    </row>
    <row r="416">
      <c r="A416" s="251"/>
    </row>
    <row r="417">
      <c r="A417" s="251"/>
    </row>
    <row r="418">
      <c r="A418" s="251"/>
    </row>
    <row r="419">
      <c r="A419" s="251"/>
    </row>
    <row r="420">
      <c r="A420" s="251"/>
    </row>
    <row r="421">
      <c r="A421" s="251"/>
    </row>
    <row r="422">
      <c r="A422" s="251"/>
    </row>
    <row r="423">
      <c r="A423" s="251"/>
    </row>
    <row r="424">
      <c r="A424" s="251"/>
    </row>
    <row r="425">
      <c r="A425" s="251"/>
    </row>
    <row r="426">
      <c r="A426" s="251"/>
    </row>
    <row r="427">
      <c r="A427" s="251"/>
    </row>
    <row r="428">
      <c r="A428" s="251"/>
    </row>
    <row r="429">
      <c r="A429" s="251"/>
    </row>
    <row r="430">
      <c r="A430" s="251"/>
    </row>
    <row r="431">
      <c r="A431" s="251"/>
    </row>
    <row r="432">
      <c r="A432" s="251"/>
    </row>
    <row r="433">
      <c r="A433" s="251"/>
    </row>
    <row r="434">
      <c r="A434" s="251"/>
    </row>
    <row r="435">
      <c r="A435" s="251"/>
    </row>
    <row r="436">
      <c r="A436" s="251"/>
    </row>
    <row r="437">
      <c r="A437" s="251"/>
    </row>
    <row r="438">
      <c r="A438" s="251"/>
    </row>
    <row r="439">
      <c r="A439" s="251"/>
    </row>
    <row r="440">
      <c r="A440" s="251"/>
    </row>
    <row r="441">
      <c r="A441" s="251"/>
    </row>
    <row r="442">
      <c r="A442" s="251"/>
    </row>
    <row r="443">
      <c r="A443" s="251"/>
    </row>
    <row r="444">
      <c r="A444" s="251"/>
    </row>
    <row r="445">
      <c r="A445" s="251"/>
    </row>
    <row r="446">
      <c r="A446" s="251"/>
    </row>
    <row r="447">
      <c r="A447" s="251"/>
    </row>
    <row r="448">
      <c r="A448" s="251"/>
    </row>
    <row r="449">
      <c r="A449" s="251"/>
    </row>
    <row r="450">
      <c r="A450" s="251"/>
    </row>
    <row r="451">
      <c r="A451" s="251"/>
    </row>
    <row r="452">
      <c r="A452" s="251"/>
    </row>
    <row r="453">
      <c r="A453" s="251"/>
    </row>
    <row r="454">
      <c r="A454" s="251"/>
    </row>
    <row r="455">
      <c r="A455" s="251"/>
    </row>
    <row r="456">
      <c r="A456" s="251"/>
    </row>
    <row r="457">
      <c r="A457" s="251"/>
    </row>
    <row r="458">
      <c r="A458" s="251"/>
    </row>
    <row r="459">
      <c r="A459" s="251"/>
    </row>
    <row r="460">
      <c r="A460" s="251"/>
    </row>
    <row r="461">
      <c r="A461" s="251"/>
    </row>
    <row r="462">
      <c r="A462" s="251"/>
    </row>
    <row r="463">
      <c r="A463" s="251"/>
    </row>
    <row r="464">
      <c r="A464" s="251"/>
    </row>
    <row r="465">
      <c r="A465" s="251"/>
    </row>
    <row r="466">
      <c r="A466" s="251"/>
    </row>
    <row r="467">
      <c r="A467" s="251"/>
    </row>
    <row r="468">
      <c r="A468" s="251"/>
    </row>
    <row r="469">
      <c r="A469" s="251"/>
    </row>
    <row r="470">
      <c r="A470" s="251"/>
    </row>
    <row r="471">
      <c r="A471" s="251"/>
    </row>
    <row r="472">
      <c r="A472" s="251"/>
    </row>
    <row r="473">
      <c r="A473" s="251"/>
    </row>
    <row r="474">
      <c r="A474" s="251"/>
    </row>
    <row r="475">
      <c r="A475" s="251"/>
    </row>
    <row r="476">
      <c r="A476" s="251"/>
    </row>
    <row r="477">
      <c r="A477" s="251"/>
    </row>
    <row r="478">
      <c r="A478" s="251"/>
    </row>
    <row r="479">
      <c r="A479" s="251"/>
    </row>
    <row r="480">
      <c r="A480" s="251"/>
    </row>
    <row r="481">
      <c r="A481" s="251"/>
    </row>
    <row r="482">
      <c r="A482" s="251"/>
    </row>
    <row r="483">
      <c r="A483" s="251"/>
    </row>
    <row r="484">
      <c r="A484" s="251"/>
    </row>
    <row r="485">
      <c r="A485" s="251"/>
    </row>
    <row r="486">
      <c r="A486" s="251"/>
    </row>
    <row r="487">
      <c r="A487" s="251"/>
    </row>
    <row r="488">
      <c r="A488" s="251"/>
    </row>
    <row r="489">
      <c r="A489" s="251"/>
    </row>
    <row r="490">
      <c r="A490" s="251"/>
    </row>
    <row r="491">
      <c r="A491" s="251"/>
    </row>
    <row r="492">
      <c r="A492" s="251"/>
    </row>
    <row r="493">
      <c r="A493" s="251"/>
    </row>
    <row r="494">
      <c r="A494" s="251"/>
    </row>
    <row r="495">
      <c r="A495" s="251"/>
    </row>
    <row r="496">
      <c r="A496" s="251"/>
    </row>
    <row r="497">
      <c r="A497" s="251"/>
    </row>
    <row r="498">
      <c r="A498" s="251"/>
    </row>
    <row r="499">
      <c r="A499" s="251"/>
    </row>
    <row r="500">
      <c r="A500" s="251"/>
    </row>
    <row r="501">
      <c r="A501" s="251"/>
    </row>
    <row r="502">
      <c r="A502" s="251"/>
    </row>
    <row r="503">
      <c r="A503" s="251"/>
    </row>
    <row r="504">
      <c r="A504" s="251"/>
    </row>
    <row r="505">
      <c r="A505" s="251"/>
    </row>
    <row r="506">
      <c r="A506" s="251"/>
    </row>
    <row r="507">
      <c r="A507" s="251"/>
    </row>
    <row r="508">
      <c r="A508" s="251"/>
    </row>
    <row r="509">
      <c r="A509" s="251"/>
    </row>
    <row r="510">
      <c r="A510" s="251"/>
    </row>
    <row r="511">
      <c r="A511" s="251"/>
    </row>
    <row r="512">
      <c r="A512" s="251"/>
    </row>
    <row r="513">
      <c r="A513" s="251"/>
    </row>
    <row r="514">
      <c r="A514" s="251"/>
    </row>
    <row r="515">
      <c r="A515" s="251"/>
    </row>
    <row r="516">
      <c r="A516" s="251"/>
    </row>
    <row r="517">
      <c r="A517" s="251"/>
    </row>
    <row r="518">
      <c r="A518" s="251"/>
    </row>
    <row r="519">
      <c r="A519" s="251"/>
    </row>
    <row r="520">
      <c r="A520" s="251"/>
    </row>
    <row r="521">
      <c r="A521" s="251"/>
    </row>
    <row r="522">
      <c r="A522" s="251"/>
    </row>
    <row r="523">
      <c r="A523" s="251"/>
    </row>
    <row r="524">
      <c r="A524" s="251"/>
    </row>
    <row r="525">
      <c r="A525" s="251"/>
    </row>
    <row r="526">
      <c r="A526" s="251"/>
    </row>
    <row r="527">
      <c r="A527" s="251"/>
    </row>
    <row r="528">
      <c r="A528" s="251"/>
    </row>
    <row r="529">
      <c r="A529" s="251"/>
    </row>
    <row r="530">
      <c r="A530" s="251"/>
    </row>
    <row r="531">
      <c r="A531" s="251"/>
    </row>
    <row r="532">
      <c r="A532" s="251"/>
    </row>
    <row r="533">
      <c r="A533" s="251"/>
    </row>
    <row r="534">
      <c r="A534" s="251"/>
    </row>
    <row r="535">
      <c r="A535" s="251"/>
    </row>
    <row r="536">
      <c r="A536" s="251"/>
    </row>
    <row r="537">
      <c r="A537" s="251"/>
    </row>
    <row r="538">
      <c r="A538" s="251"/>
    </row>
    <row r="539">
      <c r="A539" s="251"/>
    </row>
    <row r="540">
      <c r="A540" s="251"/>
    </row>
    <row r="541">
      <c r="A541" s="251"/>
    </row>
    <row r="542">
      <c r="A542" s="251"/>
    </row>
    <row r="543">
      <c r="A543" s="251"/>
    </row>
    <row r="544">
      <c r="A544" s="251"/>
    </row>
    <row r="545">
      <c r="A545" s="251"/>
    </row>
    <row r="546">
      <c r="A546" s="251"/>
    </row>
    <row r="547">
      <c r="A547" s="251"/>
    </row>
    <row r="548">
      <c r="A548" s="251"/>
    </row>
    <row r="549">
      <c r="A549" s="251"/>
    </row>
    <row r="550">
      <c r="A550" s="251"/>
    </row>
    <row r="551">
      <c r="A551" s="251"/>
    </row>
    <row r="552">
      <c r="A552" s="251"/>
    </row>
    <row r="553">
      <c r="A553" s="251"/>
    </row>
    <row r="554">
      <c r="A554" s="251"/>
    </row>
    <row r="555">
      <c r="A555" s="251"/>
    </row>
    <row r="556">
      <c r="A556" s="251"/>
    </row>
    <row r="557">
      <c r="A557" s="251"/>
    </row>
    <row r="558">
      <c r="A558" s="251"/>
    </row>
    <row r="559">
      <c r="A559" s="251"/>
    </row>
    <row r="560">
      <c r="A560" s="251"/>
    </row>
    <row r="561">
      <c r="A561" s="251"/>
    </row>
    <row r="562">
      <c r="A562" s="251"/>
    </row>
    <row r="563">
      <c r="A563" s="251"/>
    </row>
    <row r="564">
      <c r="A564" s="251"/>
    </row>
    <row r="565">
      <c r="A565" s="251"/>
    </row>
    <row r="566">
      <c r="A566" s="251"/>
    </row>
    <row r="567">
      <c r="A567" s="251"/>
    </row>
    <row r="568">
      <c r="A568" s="251"/>
    </row>
    <row r="569">
      <c r="A569" s="251"/>
    </row>
    <row r="570">
      <c r="A570" s="251"/>
    </row>
    <row r="571">
      <c r="A571" s="251"/>
    </row>
    <row r="572">
      <c r="A572" s="251"/>
    </row>
    <row r="573">
      <c r="A573" s="251"/>
    </row>
    <row r="574">
      <c r="A574" s="251"/>
    </row>
    <row r="575">
      <c r="A575" s="251"/>
    </row>
    <row r="576">
      <c r="A576" s="251"/>
    </row>
    <row r="577">
      <c r="A577" s="251"/>
    </row>
    <row r="578">
      <c r="A578" s="251"/>
    </row>
    <row r="579">
      <c r="A579" s="251"/>
    </row>
    <row r="580">
      <c r="A580" s="251"/>
    </row>
    <row r="581">
      <c r="A581" s="251"/>
    </row>
    <row r="582">
      <c r="A582" s="251"/>
    </row>
    <row r="583">
      <c r="A583" s="251"/>
    </row>
    <row r="584">
      <c r="A584" s="251"/>
    </row>
    <row r="585">
      <c r="A585" s="251"/>
    </row>
    <row r="586">
      <c r="A586" s="251"/>
    </row>
    <row r="587">
      <c r="A587" s="251"/>
    </row>
    <row r="588">
      <c r="A588" s="251"/>
    </row>
    <row r="589">
      <c r="A589" s="251"/>
    </row>
    <row r="590">
      <c r="A590" s="251"/>
    </row>
    <row r="591">
      <c r="A591" s="251"/>
    </row>
    <row r="592">
      <c r="A592" s="251"/>
    </row>
    <row r="593">
      <c r="A593" s="251"/>
    </row>
    <row r="594">
      <c r="A594" s="251"/>
    </row>
    <row r="595">
      <c r="A595" s="251"/>
    </row>
    <row r="596">
      <c r="A596" s="251"/>
    </row>
    <row r="597">
      <c r="A597" s="251"/>
    </row>
    <row r="598">
      <c r="A598" s="251"/>
    </row>
    <row r="599">
      <c r="A599" s="251"/>
    </row>
    <row r="600">
      <c r="A600" s="251"/>
    </row>
    <row r="601">
      <c r="A601" s="251"/>
    </row>
    <row r="602">
      <c r="A602" s="251"/>
    </row>
    <row r="603">
      <c r="A603" s="251"/>
    </row>
    <row r="604">
      <c r="A604" s="251"/>
    </row>
    <row r="605">
      <c r="A605" s="251"/>
    </row>
    <row r="606">
      <c r="A606" s="251"/>
    </row>
    <row r="607">
      <c r="A607" s="251"/>
    </row>
    <row r="608">
      <c r="A608" s="251"/>
    </row>
    <row r="609">
      <c r="A609" s="251"/>
    </row>
    <row r="610">
      <c r="A610" s="251"/>
    </row>
    <row r="611">
      <c r="A611" s="251"/>
    </row>
    <row r="612">
      <c r="A612" s="251"/>
    </row>
    <row r="613">
      <c r="A613" s="251"/>
    </row>
    <row r="614">
      <c r="A614" s="251"/>
    </row>
    <row r="615">
      <c r="A615" s="251"/>
    </row>
    <row r="616">
      <c r="A616" s="251"/>
    </row>
    <row r="617">
      <c r="A617" s="251"/>
    </row>
    <row r="618">
      <c r="A618" s="251"/>
    </row>
    <row r="619">
      <c r="A619" s="251"/>
    </row>
    <row r="620">
      <c r="A620" s="251"/>
    </row>
    <row r="621">
      <c r="A621" s="251"/>
    </row>
    <row r="622">
      <c r="A622" s="251"/>
    </row>
    <row r="623">
      <c r="A623" s="251"/>
    </row>
    <row r="624">
      <c r="A624" s="251"/>
    </row>
    <row r="625">
      <c r="A625" s="251"/>
    </row>
    <row r="626">
      <c r="A626" s="251"/>
    </row>
    <row r="627">
      <c r="A627" s="251"/>
    </row>
    <row r="628">
      <c r="A628" s="251"/>
    </row>
    <row r="629">
      <c r="A629" s="251"/>
    </row>
    <row r="630">
      <c r="A630" s="251"/>
    </row>
    <row r="631">
      <c r="A631" s="251"/>
    </row>
    <row r="632">
      <c r="A632" s="251"/>
    </row>
    <row r="633">
      <c r="A633" s="251"/>
    </row>
    <row r="634">
      <c r="A634" s="251"/>
    </row>
    <row r="635">
      <c r="A635" s="251"/>
    </row>
    <row r="636">
      <c r="A636" s="251"/>
    </row>
    <row r="637">
      <c r="A637" s="251"/>
    </row>
    <row r="638">
      <c r="A638" s="251"/>
    </row>
    <row r="639">
      <c r="A639" s="251"/>
    </row>
    <row r="640">
      <c r="A640" s="251"/>
    </row>
    <row r="641">
      <c r="A641" s="251"/>
    </row>
    <row r="642">
      <c r="A642" s="251"/>
    </row>
    <row r="643">
      <c r="A643" s="251"/>
    </row>
    <row r="644">
      <c r="A644" s="251"/>
    </row>
    <row r="645">
      <c r="A645" s="251"/>
    </row>
    <row r="646">
      <c r="A646" s="251"/>
    </row>
    <row r="647">
      <c r="A647" s="251"/>
    </row>
    <row r="648">
      <c r="A648" s="251"/>
    </row>
    <row r="649">
      <c r="A649" s="251"/>
    </row>
    <row r="650">
      <c r="A650" s="251"/>
    </row>
    <row r="651">
      <c r="A651" s="251"/>
    </row>
    <row r="652">
      <c r="A652" s="251"/>
    </row>
    <row r="653">
      <c r="A653" s="251"/>
    </row>
    <row r="654">
      <c r="A654" s="251"/>
    </row>
    <row r="655">
      <c r="A655" s="251"/>
    </row>
    <row r="656">
      <c r="A656" s="251"/>
    </row>
    <row r="657">
      <c r="A657" s="251"/>
    </row>
    <row r="658">
      <c r="A658" s="251"/>
    </row>
    <row r="659">
      <c r="A659" s="251"/>
    </row>
    <row r="660">
      <c r="A660" s="251"/>
    </row>
    <row r="661">
      <c r="A661" s="251"/>
    </row>
    <row r="662">
      <c r="A662" s="251"/>
    </row>
    <row r="663">
      <c r="A663" s="251"/>
    </row>
    <row r="664">
      <c r="A664" s="251"/>
    </row>
    <row r="665">
      <c r="A665" s="251"/>
    </row>
    <row r="666">
      <c r="A666" s="251"/>
    </row>
    <row r="667">
      <c r="A667" s="251"/>
    </row>
    <row r="668">
      <c r="A668" s="251"/>
    </row>
    <row r="669">
      <c r="A669" s="251"/>
    </row>
    <row r="670">
      <c r="A670" s="251"/>
    </row>
    <row r="671">
      <c r="A671" s="251"/>
    </row>
    <row r="672">
      <c r="A672" s="251"/>
    </row>
    <row r="673">
      <c r="A673" s="251"/>
    </row>
    <row r="674">
      <c r="A674" s="251"/>
    </row>
    <row r="675">
      <c r="A675" s="251"/>
    </row>
    <row r="676">
      <c r="A676" s="251"/>
    </row>
    <row r="677">
      <c r="A677" s="251"/>
    </row>
    <row r="678">
      <c r="A678" s="251"/>
    </row>
    <row r="679">
      <c r="A679" s="251"/>
    </row>
    <row r="680">
      <c r="A680" s="251"/>
    </row>
    <row r="681">
      <c r="A681" s="251"/>
    </row>
    <row r="682">
      <c r="A682" s="251"/>
    </row>
    <row r="683">
      <c r="A683" s="251"/>
    </row>
    <row r="684">
      <c r="A684" s="251"/>
    </row>
    <row r="685">
      <c r="A685" s="251"/>
    </row>
    <row r="686">
      <c r="A686" s="251"/>
    </row>
    <row r="687">
      <c r="A687" s="251"/>
    </row>
    <row r="688">
      <c r="A688" s="251"/>
    </row>
    <row r="689">
      <c r="A689" s="251"/>
    </row>
    <row r="690">
      <c r="A690" s="251"/>
    </row>
    <row r="691">
      <c r="A691" s="251"/>
    </row>
    <row r="692">
      <c r="A692" s="251"/>
    </row>
    <row r="693">
      <c r="A693" s="251"/>
    </row>
    <row r="694">
      <c r="A694" s="251"/>
    </row>
    <row r="695">
      <c r="A695" s="251"/>
    </row>
    <row r="696">
      <c r="A696" s="251"/>
    </row>
    <row r="697">
      <c r="A697" s="251"/>
    </row>
    <row r="698">
      <c r="A698" s="251"/>
    </row>
    <row r="699">
      <c r="A699" s="251"/>
    </row>
    <row r="700">
      <c r="A700" s="251"/>
    </row>
    <row r="701">
      <c r="A701" s="251"/>
    </row>
    <row r="702">
      <c r="A702" s="251"/>
    </row>
    <row r="703">
      <c r="A703" s="251"/>
    </row>
    <row r="704">
      <c r="A704" s="251"/>
    </row>
    <row r="705">
      <c r="A705" s="251"/>
    </row>
    <row r="706">
      <c r="A706" s="251"/>
    </row>
    <row r="707">
      <c r="A707" s="251"/>
    </row>
    <row r="708">
      <c r="A708" s="251"/>
    </row>
    <row r="709">
      <c r="A709" s="251"/>
    </row>
    <row r="710">
      <c r="A710" s="251"/>
    </row>
    <row r="711">
      <c r="A711" s="251"/>
    </row>
    <row r="712">
      <c r="A712" s="251"/>
    </row>
    <row r="713">
      <c r="A713" s="251"/>
    </row>
    <row r="714">
      <c r="A714" s="251"/>
    </row>
    <row r="715">
      <c r="A715" s="251"/>
    </row>
    <row r="716">
      <c r="A716" s="251"/>
    </row>
    <row r="717">
      <c r="A717" s="251"/>
    </row>
    <row r="718">
      <c r="A718" s="251"/>
    </row>
    <row r="719">
      <c r="A719" s="251"/>
    </row>
    <row r="720">
      <c r="A720" s="251"/>
    </row>
    <row r="721">
      <c r="A721" s="251"/>
    </row>
    <row r="722">
      <c r="A722" s="251"/>
    </row>
    <row r="723">
      <c r="A723" s="251"/>
    </row>
    <row r="724">
      <c r="A724" s="251"/>
    </row>
    <row r="725">
      <c r="A725" s="251"/>
    </row>
    <row r="726">
      <c r="A726" s="251"/>
    </row>
    <row r="727">
      <c r="A727" s="251"/>
    </row>
    <row r="728">
      <c r="A728" s="251"/>
    </row>
    <row r="729">
      <c r="A729" s="251"/>
    </row>
    <row r="730">
      <c r="A730" s="251"/>
    </row>
    <row r="731">
      <c r="A731" s="251"/>
    </row>
    <row r="732">
      <c r="A732" s="251"/>
    </row>
    <row r="733">
      <c r="A733" s="251"/>
    </row>
    <row r="734">
      <c r="A734" s="251"/>
    </row>
    <row r="735">
      <c r="A735" s="251"/>
    </row>
    <row r="736">
      <c r="A736" s="251"/>
    </row>
    <row r="737">
      <c r="A737" s="251"/>
    </row>
    <row r="738">
      <c r="A738" s="251"/>
    </row>
    <row r="739">
      <c r="A739" s="251"/>
    </row>
    <row r="740">
      <c r="A740" s="251"/>
    </row>
    <row r="741">
      <c r="A741" s="251"/>
    </row>
    <row r="742">
      <c r="A742" s="251"/>
    </row>
    <row r="743">
      <c r="A743" s="251"/>
    </row>
    <row r="744">
      <c r="A744" s="251"/>
    </row>
    <row r="745">
      <c r="A745" s="251"/>
    </row>
    <row r="746">
      <c r="A746" s="251"/>
    </row>
    <row r="747">
      <c r="A747" s="251"/>
    </row>
    <row r="748">
      <c r="A748" s="251"/>
    </row>
    <row r="749">
      <c r="A749" s="251"/>
    </row>
    <row r="750">
      <c r="A750" s="251"/>
    </row>
    <row r="751">
      <c r="A751" s="251"/>
    </row>
    <row r="752">
      <c r="A752" s="251"/>
    </row>
    <row r="753">
      <c r="A753" s="251"/>
    </row>
    <row r="754">
      <c r="A754" s="251"/>
    </row>
    <row r="755">
      <c r="A755" s="251"/>
    </row>
    <row r="756">
      <c r="A756" s="251"/>
    </row>
    <row r="757">
      <c r="A757" s="251"/>
    </row>
    <row r="758">
      <c r="A758" s="251"/>
    </row>
    <row r="759">
      <c r="A759" s="251"/>
    </row>
    <row r="760">
      <c r="A760" s="251"/>
    </row>
    <row r="761">
      <c r="A761" s="251"/>
    </row>
    <row r="762">
      <c r="A762" s="251"/>
    </row>
    <row r="763">
      <c r="A763" s="251"/>
    </row>
    <row r="764">
      <c r="A764" s="251"/>
    </row>
    <row r="765">
      <c r="A765" s="251"/>
    </row>
    <row r="766">
      <c r="A766" s="251"/>
    </row>
    <row r="767">
      <c r="A767" s="251"/>
    </row>
    <row r="768">
      <c r="A768" s="251"/>
    </row>
    <row r="769">
      <c r="A769" s="251"/>
    </row>
    <row r="770">
      <c r="A770" s="251"/>
    </row>
    <row r="771">
      <c r="A771" s="251"/>
    </row>
    <row r="772">
      <c r="A772" s="251"/>
    </row>
    <row r="773">
      <c r="A773" s="251"/>
    </row>
    <row r="774">
      <c r="A774" s="251"/>
    </row>
    <row r="775">
      <c r="A775" s="251"/>
    </row>
    <row r="776">
      <c r="A776" s="251"/>
    </row>
    <row r="777">
      <c r="A777" s="251"/>
    </row>
    <row r="778">
      <c r="A778" s="251"/>
    </row>
    <row r="779">
      <c r="A779" s="251"/>
    </row>
    <row r="780">
      <c r="A780" s="251"/>
    </row>
    <row r="781">
      <c r="A781" s="251"/>
    </row>
    <row r="782">
      <c r="A782" s="251"/>
    </row>
    <row r="783">
      <c r="A783" s="251"/>
    </row>
    <row r="784">
      <c r="A784" s="251"/>
    </row>
    <row r="785">
      <c r="A785" s="251"/>
    </row>
    <row r="786">
      <c r="A786" s="251"/>
    </row>
    <row r="787">
      <c r="A787" s="251"/>
    </row>
    <row r="788">
      <c r="A788" s="251"/>
    </row>
    <row r="789">
      <c r="A789" s="251"/>
    </row>
    <row r="790">
      <c r="A790" s="251"/>
    </row>
    <row r="791">
      <c r="A791" s="251"/>
    </row>
    <row r="792">
      <c r="A792" s="251"/>
    </row>
    <row r="793">
      <c r="A793" s="251"/>
    </row>
    <row r="794">
      <c r="A794" s="251"/>
    </row>
    <row r="795">
      <c r="A795" s="251"/>
    </row>
    <row r="796">
      <c r="A796" s="251"/>
    </row>
    <row r="797">
      <c r="A797" s="251"/>
    </row>
    <row r="798">
      <c r="A798" s="251"/>
    </row>
    <row r="799">
      <c r="A799" s="251"/>
    </row>
    <row r="800">
      <c r="A800" s="251"/>
    </row>
    <row r="801">
      <c r="A801" s="251"/>
    </row>
    <row r="802">
      <c r="A802" s="251"/>
    </row>
    <row r="803">
      <c r="A803" s="251"/>
    </row>
    <row r="804">
      <c r="A804" s="251"/>
    </row>
    <row r="805">
      <c r="A805" s="251"/>
    </row>
    <row r="806">
      <c r="A806" s="251"/>
    </row>
    <row r="807">
      <c r="A807" s="251"/>
    </row>
    <row r="808">
      <c r="A808" s="251"/>
    </row>
    <row r="809">
      <c r="A809" s="251"/>
    </row>
    <row r="810">
      <c r="A810" s="251"/>
    </row>
    <row r="811">
      <c r="A811" s="251"/>
    </row>
    <row r="812">
      <c r="A812" s="251"/>
    </row>
    <row r="813">
      <c r="A813" s="251"/>
    </row>
    <row r="814">
      <c r="A814" s="251"/>
    </row>
    <row r="815">
      <c r="A815" s="251"/>
    </row>
    <row r="816">
      <c r="A816" s="251"/>
    </row>
    <row r="817">
      <c r="A817" s="251"/>
    </row>
    <row r="818">
      <c r="A818" s="251"/>
    </row>
    <row r="819">
      <c r="A819" s="251"/>
    </row>
    <row r="820">
      <c r="A820" s="251"/>
    </row>
    <row r="821">
      <c r="A821" s="251"/>
    </row>
    <row r="822">
      <c r="A822" s="251"/>
    </row>
    <row r="823">
      <c r="A823" s="251"/>
    </row>
    <row r="824">
      <c r="A824" s="251"/>
    </row>
    <row r="825">
      <c r="A825" s="251"/>
    </row>
    <row r="826">
      <c r="A826" s="251"/>
    </row>
    <row r="827">
      <c r="A827" s="251"/>
    </row>
    <row r="828">
      <c r="A828" s="251"/>
    </row>
    <row r="829">
      <c r="A829" s="251"/>
    </row>
    <row r="830">
      <c r="A830" s="251"/>
    </row>
    <row r="831">
      <c r="A831" s="251"/>
    </row>
    <row r="832">
      <c r="A832" s="251"/>
    </row>
    <row r="833">
      <c r="A833" s="251"/>
    </row>
    <row r="834">
      <c r="A834" s="251"/>
    </row>
    <row r="835">
      <c r="A835" s="251"/>
    </row>
    <row r="836">
      <c r="A836" s="251"/>
    </row>
    <row r="837">
      <c r="A837" s="251"/>
    </row>
    <row r="838">
      <c r="A838" s="251"/>
    </row>
    <row r="839">
      <c r="A839" s="251"/>
    </row>
    <row r="840">
      <c r="A840" s="251"/>
    </row>
    <row r="841">
      <c r="A841" s="251"/>
    </row>
    <row r="842">
      <c r="A842" s="251"/>
    </row>
    <row r="843">
      <c r="A843" s="251"/>
    </row>
    <row r="844">
      <c r="A844" s="251"/>
    </row>
    <row r="845">
      <c r="A845" s="251"/>
    </row>
    <row r="846">
      <c r="A846" s="251"/>
    </row>
    <row r="847">
      <c r="A847" s="251"/>
    </row>
    <row r="848">
      <c r="A848" s="251"/>
    </row>
    <row r="849">
      <c r="A849" s="251"/>
    </row>
    <row r="850">
      <c r="A850" s="251"/>
    </row>
    <row r="851">
      <c r="A851" s="251"/>
    </row>
    <row r="852">
      <c r="A852" s="251"/>
    </row>
    <row r="853">
      <c r="A853" s="251"/>
    </row>
    <row r="854">
      <c r="A854" s="251"/>
    </row>
    <row r="855">
      <c r="A855" s="251"/>
    </row>
    <row r="856">
      <c r="A856" s="251"/>
    </row>
    <row r="857">
      <c r="A857" s="251"/>
    </row>
    <row r="858">
      <c r="A858" s="251"/>
    </row>
    <row r="859">
      <c r="A859" s="251"/>
    </row>
    <row r="860">
      <c r="A860" s="251"/>
    </row>
    <row r="861">
      <c r="A861" s="251"/>
    </row>
    <row r="862">
      <c r="A862" s="251"/>
    </row>
    <row r="863">
      <c r="A863" s="251"/>
    </row>
    <row r="864">
      <c r="A864" s="251"/>
    </row>
    <row r="865">
      <c r="A865" s="251"/>
    </row>
    <row r="866">
      <c r="A866" s="251"/>
    </row>
    <row r="867">
      <c r="A867" s="251"/>
    </row>
    <row r="868">
      <c r="A868" s="251"/>
    </row>
    <row r="869">
      <c r="A869" s="251"/>
    </row>
    <row r="870">
      <c r="A870" s="251"/>
    </row>
    <row r="871">
      <c r="A871" s="251"/>
    </row>
    <row r="872">
      <c r="A872" s="251"/>
    </row>
    <row r="873">
      <c r="A873" s="251"/>
    </row>
    <row r="874">
      <c r="A874" s="251"/>
    </row>
    <row r="875">
      <c r="A875" s="251"/>
    </row>
    <row r="876">
      <c r="A876" s="251"/>
    </row>
    <row r="877">
      <c r="A877" s="251"/>
    </row>
    <row r="878">
      <c r="A878" s="251"/>
    </row>
    <row r="879">
      <c r="A879" s="251"/>
    </row>
    <row r="880">
      <c r="A880" s="251"/>
    </row>
    <row r="881">
      <c r="A881" s="251"/>
    </row>
    <row r="882">
      <c r="A882" s="251"/>
    </row>
    <row r="883">
      <c r="A883" s="251"/>
    </row>
    <row r="884">
      <c r="A884" s="251"/>
    </row>
    <row r="885">
      <c r="A885" s="251"/>
    </row>
    <row r="886">
      <c r="A886" s="251"/>
    </row>
    <row r="887">
      <c r="A887" s="251"/>
    </row>
    <row r="888">
      <c r="A888" s="251"/>
    </row>
    <row r="889">
      <c r="A889" s="251"/>
    </row>
    <row r="890">
      <c r="A890" s="251"/>
    </row>
    <row r="891">
      <c r="A891" s="251"/>
    </row>
    <row r="892">
      <c r="A892" s="251"/>
    </row>
    <row r="893">
      <c r="A893" s="251"/>
    </row>
    <row r="894">
      <c r="A894" s="251"/>
    </row>
    <row r="895">
      <c r="A895" s="251"/>
    </row>
    <row r="896">
      <c r="A896" s="251"/>
    </row>
    <row r="897">
      <c r="A897" s="251"/>
    </row>
    <row r="898">
      <c r="A898" s="251"/>
    </row>
    <row r="899">
      <c r="A899" s="251"/>
    </row>
    <row r="900">
      <c r="A900" s="251"/>
    </row>
    <row r="901">
      <c r="A901" s="251"/>
    </row>
    <row r="902">
      <c r="A902" s="251"/>
    </row>
    <row r="903">
      <c r="A903" s="251"/>
    </row>
    <row r="904">
      <c r="A904" s="251"/>
    </row>
    <row r="905">
      <c r="A905" s="251"/>
    </row>
    <row r="906">
      <c r="A906" s="251"/>
    </row>
    <row r="907">
      <c r="A907" s="251"/>
    </row>
    <row r="908">
      <c r="A908" s="251"/>
    </row>
    <row r="909">
      <c r="A909" s="251"/>
    </row>
    <row r="910">
      <c r="A910" s="251"/>
    </row>
    <row r="911">
      <c r="A911" s="251"/>
    </row>
    <row r="912">
      <c r="A912" s="251"/>
    </row>
    <row r="913">
      <c r="A913" s="251"/>
    </row>
    <row r="914">
      <c r="A914" s="251"/>
    </row>
    <row r="915">
      <c r="A915" s="251"/>
    </row>
    <row r="916">
      <c r="A916" s="251"/>
    </row>
    <row r="917">
      <c r="A917" s="251"/>
    </row>
    <row r="918">
      <c r="A918" s="251"/>
    </row>
    <row r="919">
      <c r="A919" s="251"/>
    </row>
    <row r="920">
      <c r="A920" s="251"/>
    </row>
    <row r="921">
      <c r="A921" s="251"/>
    </row>
    <row r="922">
      <c r="A922" s="251"/>
    </row>
    <row r="923">
      <c r="A923" s="251"/>
    </row>
    <row r="924">
      <c r="A924" s="251"/>
    </row>
    <row r="925">
      <c r="A925" s="251"/>
    </row>
    <row r="926">
      <c r="A926" s="251"/>
    </row>
    <row r="927">
      <c r="A927" s="251"/>
    </row>
    <row r="928">
      <c r="A928" s="251"/>
    </row>
    <row r="929">
      <c r="A929" s="251"/>
    </row>
    <row r="930">
      <c r="A930" s="251"/>
    </row>
    <row r="931">
      <c r="A931" s="251"/>
    </row>
    <row r="932">
      <c r="A932" s="251"/>
    </row>
    <row r="933">
      <c r="A933" s="251"/>
    </row>
    <row r="934">
      <c r="A934" s="251"/>
    </row>
    <row r="935">
      <c r="A935" s="251"/>
    </row>
    <row r="936">
      <c r="A936" s="251"/>
    </row>
    <row r="937">
      <c r="A937" s="251"/>
    </row>
    <row r="938">
      <c r="A938" s="251"/>
    </row>
    <row r="939">
      <c r="A939" s="251"/>
    </row>
    <row r="940">
      <c r="A940" s="251"/>
    </row>
    <row r="941">
      <c r="A941" s="251"/>
    </row>
    <row r="942">
      <c r="A942" s="251"/>
    </row>
    <row r="943">
      <c r="A943" s="251"/>
    </row>
    <row r="944">
      <c r="A944" s="251"/>
    </row>
    <row r="945">
      <c r="A945" s="251"/>
    </row>
    <row r="946">
      <c r="A946" s="251"/>
    </row>
    <row r="947">
      <c r="A947" s="251"/>
    </row>
    <row r="948">
      <c r="A948" s="251"/>
    </row>
    <row r="949">
      <c r="A949" s="251"/>
    </row>
    <row r="950">
      <c r="A950" s="251"/>
    </row>
    <row r="951">
      <c r="A951" s="251"/>
    </row>
    <row r="952">
      <c r="A952" s="251"/>
    </row>
    <row r="953">
      <c r="A953" s="251"/>
    </row>
    <row r="954">
      <c r="A954" s="251"/>
    </row>
    <row r="955">
      <c r="A955" s="251"/>
    </row>
    <row r="956">
      <c r="A956" s="251"/>
    </row>
    <row r="957">
      <c r="A957" s="251"/>
    </row>
    <row r="958">
      <c r="A958" s="251"/>
    </row>
    <row r="959">
      <c r="A959" s="251"/>
    </row>
    <row r="960">
      <c r="A960" s="251"/>
    </row>
    <row r="961">
      <c r="A961" s="251"/>
    </row>
    <row r="962">
      <c r="A962" s="251"/>
    </row>
    <row r="963">
      <c r="A963" s="251"/>
    </row>
    <row r="964">
      <c r="A964" s="251"/>
    </row>
    <row r="965">
      <c r="A965" s="251"/>
    </row>
    <row r="966">
      <c r="A966" s="251"/>
    </row>
    <row r="967">
      <c r="A967" s="251"/>
    </row>
    <row r="968">
      <c r="A968" s="251"/>
    </row>
    <row r="969">
      <c r="A969" s="251"/>
    </row>
    <row r="970">
      <c r="A970" s="251"/>
    </row>
    <row r="971">
      <c r="A971" s="251"/>
    </row>
    <row r="972">
      <c r="A972" s="251"/>
    </row>
    <row r="973">
      <c r="A973" s="251"/>
    </row>
    <row r="974">
      <c r="A974" s="251"/>
    </row>
    <row r="975">
      <c r="A975" s="251"/>
    </row>
    <row r="976">
      <c r="A976" s="251"/>
    </row>
    <row r="977">
      <c r="A977" s="251"/>
    </row>
    <row r="978">
      <c r="A978" s="251"/>
    </row>
    <row r="979">
      <c r="A979" s="251"/>
    </row>
    <row r="980">
      <c r="A980" s="251"/>
    </row>
    <row r="981">
      <c r="A981" s="251"/>
    </row>
  </sheetData>
  <mergeCells count="2">
    <mergeCell ref="A15:G15"/>
    <mergeCell ref="A21:D2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13"/>
    <col customWidth="1" min="4" max="4" width="11.63"/>
    <col customWidth="1" min="6" max="6" width="9.63"/>
    <col customWidth="1" min="7" max="7" width="7.38"/>
    <col customWidth="1" min="8" max="8" width="12.25"/>
    <col customWidth="1" min="9" max="9" width="15.5"/>
  </cols>
  <sheetData>
    <row r="1">
      <c r="A1" s="251"/>
      <c r="B1" s="179"/>
      <c r="C1" s="179"/>
      <c r="D1" s="179"/>
      <c r="E1" s="179"/>
      <c r="F1" s="235"/>
      <c r="G1" s="235"/>
      <c r="H1" s="235"/>
      <c r="I1" s="179"/>
    </row>
    <row r="2">
      <c r="A2" s="252" t="s">
        <v>221</v>
      </c>
      <c r="B2" s="253" t="s">
        <v>195</v>
      </c>
      <c r="C2" s="253" t="s">
        <v>196</v>
      </c>
      <c r="D2" s="253" t="s">
        <v>197</v>
      </c>
      <c r="E2" s="253" t="s">
        <v>4</v>
      </c>
      <c r="F2" s="249" t="s">
        <v>5</v>
      </c>
      <c r="G2" s="249" t="s">
        <v>9</v>
      </c>
      <c r="H2" s="253" t="s">
        <v>6</v>
      </c>
      <c r="I2" s="254" t="s">
        <v>198</v>
      </c>
      <c r="J2" s="69"/>
    </row>
    <row r="3">
      <c r="A3" s="87" t="s">
        <v>216</v>
      </c>
      <c r="B3" s="98">
        <f>'Исходные данные'!D11</f>
        <v>214</v>
      </c>
      <c r="C3" s="134">
        <v>0.0</v>
      </c>
      <c r="D3" s="134"/>
      <c r="E3" s="134">
        <v>480420.0</v>
      </c>
      <c r="F3" s="256">
        <v>12.0</v>
      </c>
      <c r="G3" s="249"/>
      <c r="H3" s="250">
        <f t="shared" ref="H3:H11" si="1">E3/F3</f>
        <v>40035</v>
      </c>
      <c r="I3" s="257">
        <f t="shared" ref="I3:I4" si="2">H3/B3*C3</f>
        <v>0</v>
      </c>
      <c r="J3" s="69"/>
    </row>
    <row r="4">
      <c r="A4" s="87" t="s">
        <v>201</v>
      </c>
      <c r="B4" s="98">
        <f>'Исходные данные'!E13</f>
        <v>30</v>
      </c>
      <c r="C4" s="134">
        <f>'Исходные данные'!H35</f>
        <v>1</v>
      </c>
      <c r="D4" s="134"/>
      <c r="E4" s="177">
        <v>305868.0</v>
      </c>
      <c r="F4" s="256">
        <v>12.0</v>
      </c>
      <c r="G4" s="249"/>
      <c r="H4" s="250">
        <f t="shared" si="1"/>
        <v>25489</v>
      </c>
      <c r="I4" s="257">
        <f t="shared" si="2"/>
        <v>849.6333333</v>
      </c>
      <c r="J4" s="69"/>
    </row>
    <row r="5">
      <c r="A5" s="87" t="s">
        <v>154</v>
      </c>
      <c r="B5" s="134"/>
      <c r="C5" s="134"/>
      <c r="D5" s="134"/>
      <c r="E5" s="134"/>
      <c r="F5" s="256">
        <v>12.0</v>
      </c>
      <c r="G5" s="249"/>
      <c r="H5" s="250">
        <f t="shared" si="1"/>
        <v>0</v>
      </c>
      <c r="I5" s="257">
        <f t="shared" ref="I5:I12" si="3">H5</f>
        <v>0</v>
      </c>
      <c r="J5" s="69"/>
    </row>
    <row r="6">
      <c r="A6" s="87" t="s">
        <v>202</v>
      </c>
      <c r="B6" s="163"/>
      <c r="C6" s="163"/>
      <c r="D6" s="163"/>
      <c r="E6" s="134">
        <f>1050+100</f>
        <v>1150</v>
      </c>
      <c r="F6" s="256">
        <v>12.0</v>
      </c>
      <c r="G6" s="249"/>
      <c r="H6" s="250">
        <f t="shared" si="1"/>
        <v>95.83333333</v>
      </c>
      <c r="I6" s="257">
        <f t="shared" si="3"/>
        <v>95.83333333</v>
      </c>
      <c r="J6" s="69"/>
    </row>
    <row r="7">
      <c r="A7" s="87" t="s">
        <v>148</v>
      </c>
      <c r="B7" s="258"/>
      <c r="C7" s="258"/>
      <c r="D7" s="258"/>
      <c r="E7" s="177">
        <v>554.0</v>
      </c>
      <c r="F7" s="256">
        <v>12.0</v>
      </c>
      <c r="G7" s="249"/>
      <c r="H7" s="250">
        <f t="shared" si="1"/>
        <v>46.16666667</v>
      </c>
      <c r="I7" s="257">
        <f t="shared" si="3"/>
        <v>46.16666667</v>
      </c>
      <c r="J7" s="69"/>
    </row>
    <row r="8">
      <c r="A8" s="87" t="s">
        <v>150</v>
      </c>
      <c r="B8" s="258"/>
      <c r="C8" s="258"/>
      <c r="D8" s="258"/>
      <c r="E8" s="177">
        <v>177833.0</v>
      </c>
      <c r="F8" s="256">
        <v>12.0</v>
      </c>
      <c r="G8" s="249"/>
      <c r="H8" s="250">
        <f t="shared" si="1"/>
        <v>14819.41667</v>
      </c>
      <c r="I8" s="257">
        <f t="shared" si="3"/>
        <v>14819.41667</v>
      </c>
      <c r="J8" s="69"/>
    </row>
    <row r="9">
      <c r="A9" s="87" t="s">
        <v>149</v>
      </c>
      <c r="B9" s="258"/>
      <c r="C9" s="258"/>
      <c r="D9" s="258"/>
      <c r="E9" s="177">
        <v>0.0</v>
      </c>
      <c r="F9" s="256">
        <v>12.0</v>
      </c>
      <c r="G9" s="249"/>
      <c r="H9" s="250">
        <f t="shared" si="1"/>
        <v>0</v>
      </c>
      <c r="I9" s="257">
        <f t="shared" si="3"/>
        <v>0</v>
      </c>
      <c r="J9" s="69"/>
    </row>
    <row r="10">
      <c r="A10" s="87" t="s">
        <v>203</v>
      </c>
      <c r="B10" s="258"/>
      <c r="C10" s="258"/>
      <c r="D10" s="258"/>
      <c r="E10" s="177"/>
      <c r="F10" s="256">
        <v>12.0</v>
      </c>
      <c r="G10" s="249"/>
      <c r="H10" s="250">
        <f t="shared" si="1"/>
        <v>0</v>
      </c>
      <c r="I10" s="257">
        <f t="shared" si="3"/>
        <v>0</v>
      </c>
      <c r="J10" s="69"/>
    </row>
    <row r="11">
      <c r="A11" s="87" t="s">
        <v>204</v>
      </c>
      <c r="B11" s="258"/>
      <c r="C11" s="258"/>
      <c r="D11" s="258"/>
      <c r="E11" s="177"/>
      <c r="F11" s="256">
        <v>12.0</v>
      </c>
      <c r="G11" s="249"/>
      <c r="H11" s="250">
        <f t="shared" si="1"/>
        <v>0</v>
      </c>
      <c r="I11" s="257">
        <f t="shared" si="3"/>
        <v>0</v>
      </c>
      <c r="J11" s="69"/>
    </row>
    <row r="12">
      <c r="A12" s="68" t="s">
        <v>155</v>
      </c>
      <c r="B12" s="72"/>
      <c r="C12" s="71"/>
      <c r="D12" s="71"/>
      <c r="E12" s="72"/>
      <c r="F12" s="249"/>
      <c r="G12" s="259"/>
      <c r="H12" s="250">
        <f>D29</f>
        <v>12360.33333</v>
      </c>
      <c r="I12" s="257">
        <f t="shared" si="3"/>
        <v>12360.33333</v>
      </c>
      <c r="J12" s="69"/>
    </row>
    <row r="13">
      <c r="A13" s="68" t="s">
        <v>152</v>
      </c>
      <c r="B13" s="72"/>
      <c r="C13" s="71"/>
      <c r="D13" s="260">
        <f>B18+B19</f>
        <v>564</v>
      </c>
      <c r="E13" s="72"/>
      <c r="F13" s="249"/>
      <c r="G13" s="259">
        <f>'Общие расходы ГЭ'!G16</f>
        <v>9.195626292</v>
      </c>
      <c r="H13" s="249"/>
      <c r="I13" s="257">
        <f t="shared" ref="I13:I15" si="4">D13*G13</f>
        <v>5186.333229</v>
      </c>
      <c r="J13" s="69"/>
    </row>
    <row r="14">
      <c r="A14" s="68" t="s">
        <v>153</v>
      </c>
      <c r="B14" s="72"/>
      <c r="C14" s="71"/>
      <c r="D14" s="260">
        <f>B18+B19</f>
        <v>564</v>
      </c>
      <c r="E14" s="72"/>
      <c r="F14" s="249"/>
      <c r="G14" s="259">
        <f>'Общие расходы г. Тюмень'!F4</f>
        <v>0.2743933235</v>
      </c>
      <c r="H14" s="249"/>
      <c r="I14" s="257">
        <f t="shared" si="4"/>
        <v>154.7578344</v>
      </c>
      <c r="J14" s="69"/>
    </row>
    <row r="15">
      <c r="A15" s="68" t="s">
        <v>156</v>
      </c>
      <c r="B15" s="72"/>
      <c r="C15" s="71"/>
      <c r="D15" s="260">
        <f>B18+B19</f>
        <v>564</v>
      </c>
      <c r="E15" s="72"/>
      <c r="F15" s="249"/>
      <c r="G15" s="250">
        <f>'Общие расходы г. Тюмень'!F30</f>
        <v>0.7480139342</v>
      </c>
      <c r="H15" s="249"/>
      <c r="I15" s="261">
        <f t="shared" si="4"/>
        <v>421.8798589</v>
      </c>
      <c r="J15" s="69"/>
    </row>
    <row r="16">
      <c r="A16" s="262" t="s">
        <v>62</v>
      </c>
      <c r="B16" s="263"/>
      <c r="C16" s="263"/>
      <c r="D16" s="263"/>
      <c r="E16" s="263"/>
      <c r="F16" s="263"/>
      <c r="G16" s="185"/>
      <c r="H16" s="264"/>
      <c r="I16" s="261">
        <f>SUM(I3:I15)</f>
        <v>33934.35426</v>
      </c>
    </row>
    <row r="17">
      <c r="A17" s="251"/>
      <c r="B17" s="179"/>
      <c r="C17" s="179"/>
      <c r="D17" s="179"/>
      <c r="E17" s="179"/>
      <c r="F17" s="235"/>
      <c r="G17" s="235"/>
      <c r="H17" s="235"/>
      <c r="I17" s="179"/>
    </row>
    <row r="18">
      <c r="A18" s="68" t="s">
        <v>205</v>
      </c>
      <c r="B18" s="265">
        <f>'Исходные данные'!B35</f>
        <v>282</v>
      </c>
      <c r="C18" s="179"/>
      <c r="D18" s="179"/>
      <c r="E18" s="179"/>
      <c r="F18" s="235"/>
      <c r="G18" s="235"/>
      <c r="H18" s="235"/>
      <c r="I18" s="179"/>
    </row>
    <row r="19">
      <c r="A19" s="68" t="s">
        <v>206</v>
      </c>
      <c r="B19" s="265">
        <f>'Исходные данные'!C35</f>
        <v>282</v>
      </c>
      <c r="C19" s="179"/>
      <c r="D19" s="179"/>
      <c r="E19" s="179"/>
      <c r="F19" s="235"/>
      <c r="G19" s="235"/>
      <c r="H19" s="235"/>
      <c r="I19" s="179"/>
    </row>
    <row r="20">
      <c r="A20" s="68" t="s">
        <v>207</v>
      </c>
      <c r="B20" s="265" t="str">
        <f>'Исходные данные'!D25</f>
        <v/>
      </c>
      <c r="C20" s="179"/>
      <c r="D20" s="179"/>
      <c r="E20" s="179"/>
      <c r="F20" s="235"/>
      <c r="G20" s="235"/>
      <c r="H20" s="235"/>
      <c r="I20" s="179"/>
    </row>
    <row r="21">
      <c r="A21" s="251"/>
      <c r="B21" s="179"/>
      <c r="C21" s="179"/>
      <c r="D21" s="179"/>
      <c r="E21" s="179"/>
      <c r="F21" s="235"/>
      <c r="G21" s="235"/>
      <c r="H21" s="235"/>
      <c r="I21" s="74"/>
    </row>
    <row r="22">
      <c r="A22" s="266" t="s">
        <v>208</v>
      </c>
      <c r="B22" s="263"/>
      <c r="C22" s="263"/>
      <c r="D22" s="185"/>
      <c r="E22" s="267"/>
      <c r="F22" s="69"/>
      <c r="G22" s="69"/>
      <c r="H22" s="69"/>
      <c r="I22" s="69"/>
    </row>
    <row r="23">
      <c r="A23" s="268" t="s">
        <v>209</v>
      </c>
      <c r="B23" s="269" t="s">
        <v>210</v>
      </c>
      <c r="C23" s="93" t="s">
        <v>5</v>
      </c>
      <c r="D23" s="269" t="s">
        <v>211</v>
      </c>
      <c r="E23" s="270"/>
    </row>
    <row r="24">
      <c r="A24" s="87" t="s">
        <v>212</v>
      </c>
      <c r="B24" s="271">
        <v>139000.0</v>
      </c>
      <c r="C24" s="134">
        <v>12.0</v>
      </c>
      <c r="D24" s="271">
        <f t="shared" ref="D24:D26" si="5">B24/C24</f>
        <v>11583.33333</v>
      </c>
      <c r="E24" s="74"/>
    </row>
    <row r="25">
      <c r="A25" s="87" t="s">
        <v>222</v>
      </c>
      <c r="B25" s="271">
        <v>5000.0</v>
      </c>
      <c r="C25" s="134">
        <v>12.0</v>
      </c>
      <c r="D25" s="271">
        <f t="shared" si="5"/>
        <v>416.6666667</v>
      </c>
      <c r="E25" s="74"/>
    </row>
    <row r="26">
      <c r="A26" s="87" t="s">
        <v>13</v>
      </c>
      <c r="B26" s="271">
        <v>4324.0</v>
      </c>
      <c r="C26" s="134">
        <v>12.0</v>
      </c>
      <c r="D26" s="271">
        <f t="shared" si="5"/>
        <v>360.3333333</v>
      </c>
      <c r="E26" s="74"/>
    </row>
    <row r="27">
      <c r="A27" s="272"/>
      <c r="B27" s="271"/>
      <c r="C27" s="134"/>
      <c r="D27" s="271"/>
      <c r="E27" s="74"/>
    </row>
    <row r="28">
      <c r="A28" s="272"/>
      <c r="B28" s="271"/>
      <c r="C28" s="134"/>
      <c r="D28" s="271"/>
      <c r="E28" s="74"/>
    </row>
    <row r="29">
      <c r="A29" s="273"/>
      <c r="B29" s="274">
        <f>SUM(B24:B28)</f>
        <v>148324</v>
      </c>
      <c r="C29" s="275">
        <v>12.0</v>
      </c>
      <c r="D29" s="274">
        <f>B29/C29</f>
        <v>12360.33333</v>
      </c>
      <c r="E29" s="276"/>
      <c r="F29" s="169"/>
      <c r="G29" s="168"/>
    </row>
    <row r="30">
      <c r="A30" s="251"/>
    </row>
    <row r="31">
      <c r="A31" s="251"/>
    </row>
    <row r="32">
      <c r="A32" s="251"/>
    </row>
    <row r="33">
      <c r="A33" s="251"/>
    </row>
    <row r="34">
      <c r="A34" s="251"/>
    </row>
    <row r="35">
      <c r="A35" s="251"/>
    </row>
    <row r="36">
      <c r="A36" s="251"/>
    </row>
    <row r="37">
      <c r="A37" s="251"/>
    </row>
    <row r="38">
      <c r="A38" s="251"/>
    </row>
    <row r="39">
      <c r="A39" s="251"/>
    </row>
    <row r="40">
      <c r="A40" s="251"/>
    </row>
    <row r="41">
      <c r="A41" s="251"/>
    </row>
    <row r="42">
      <c r="A42" s="251"/>
    </row>
    <row r="43">
      <c r="A43" s="251"/>
    </row>
    <row r="44">
      <c r="A44" s="251"/>
    </row>
    <row r="45">
      <c r="A45" s="251"/>
    </row>
    <row r="46">
      <c r="A46" s="251"/>
    </row>
    <row r="47">
      <c r="A47" s="251"/>
    </row>
    <row r="48">
      <c r="A48" s="251"/>
    </row>
    <row r="49">
      <c r="A49" s="251"/>
    </row>
    <row r="50">
      <c r="A50" s="251"/>
    </row>
    <row r="51">
      <c r="A51" s="251"/>
    </row>
    <row r="52">
      <c r="A52" s="251"/>
    </row>
    <row r="53">
      <c r="A53" s="251"/>
    </row>
    <row r="54">
      <c r="A54" s="251"/>
    </row>
    <row r="55">
      <c r="A55" s="251"/>
    </row>
    <row r="56">
      <c r="A56" s="251"/>
    </row>
    <row r="57">
      <c r="A57" s="251"/>
    </row>
    <row r="58">
      <c r="A58" s="251"/>
    </row>
    <row r="59">
      <c r="A59" s="251"/>
    </row>
    <row r="60">
      <c r="A60" s="251"/>
    </row>
    <row r="61">
      <c r="A61" s="251"/>
    </row>
    <row r="62">
      <c r="A62" s="251"/>
    </row>
    <row r="63">
      <c r="A63" s="251"/>
    </row>
    <row r="64">
      <c r="A64" s="251"/>
    </row>
    <row r="65">
      <c r="A65" s="251"/>
    </row>
    <row r="66">
      <c r="A66" s="251"/>
    </row>
    <row r="67">
      <c r="A67" s="251"/>
    </row>
    <row r="68">
      <c r="A68" s="251"/>
    </row>
    <row r="69">
      <c r="A69" s="251"/>
    </row>
    <row r="70">
      <c r="A70" s="251"/>
    </row>
    <row r="71">
      <c r="A71" s="251"/>
    </row>
    <row r="72">
      <c r="A72" s="251"/>
    </row>
    <row r="73">
      <c r="A73" s="251"/>
    </row>
    <row r="74">
      <c r="A74" s="251"/>
    </row>
    <row r="75">
      <c r="A75" s="251"/>
    </row>
    <row r="76">
      <c r="A76" s="251"/>
    </row>
    <row r="77">
      <c r="A77" s="251"/>
    </row>
    <row r="78">
      <c r="A78" s="251"/>
    </row>
    <row r="79">
      <c r="A79" s="251"/>
    </row>
    <row r="80">
      <c r="A80" s="251"/>
    </row>
    <row r="81">
      <c r="A81" s="251"/>
    </row>
    <row r="82">
      <c r="A82" s="251"/>
    </row>
    <row r="83">
      <c r="A83" s="251"/>
    </row>
    <row r="84">
      <c r="A84" s="251"/>
    </row>
    <row r="85">
      <c r="A85" s="251"/>
    </row>
    <row r="86">
      <c r="A86" s="251"/>
    </row>
    <row r="87">
      <c r="A87" s="251"/>
    </row>
    <row r="88">
      <c r="A88" s="251"/>
    </row>
    <row r="89">
      <c r="A89" s="251"/>
    </row>
    <row r="90">
      <c r="A90" s="251"/>
    </row>
    <row r="91">
      <c r="A91" s="251"/>
    </row>
    <row r="92">
      <c r="A92" s="251"/>
    </row>
    <row r="93">
      <c r="A93" s="251"/>
    </row>
    <row r="94">
      <c r="A94" s="251"/>
    </row>
    <row r="95">
      <c r="A95" s="251"/>
    </row>
    <row r="96">
      <c r="A96" s="251"/>
    </row>
    <row r="97">
      <c r="A97" s="251"/>
    </row>
    <row r="98">
      <c r="A98" s="251"/>
    </row>
    <row r="99">
      <c r="A99" s="251"/>
    </row>
    <row r="100">
      <c r="A100" s="251"/>
    </row>
    <row r="101">
      <c r="A101" s="251"/>
    </row>
    <row r="102">
      <c r="A102" s="251"/>
    </row>
    <row r="103">
      <c r="A103" s="251"/>
    </row>
    <row r="104">
      <c r="A104" s="251"/>
    </row>
    <row r="105">
      <c r="A105" s="251"/>
    </row>
    <row r="106">
      <c r="A106" s="251"/>
    </row>
    <row r="107">
      <c r="A107" s="251"/>
    </row>
    <row r="108">
      <c r="A108" s="251"/>
    </row>
    <row r="109">
      <c r="A109" s="251"/>
    </row>
    <row r="110">
      <c r="A110" s="251"/>
    </row>
    <row r="111">
      <c r="A111" s="251"/>
    </row>
    <row r="112">
      <c r="A112" s="251"/>
    </row>
    <row r="113">
      <c r="A113" s="251"/>
    </row>
    <row r="114">
      <c r="A114" s="251"/>
    </row>
    <row r="115">
      <c r="A115" s="251"/>
    </row>
    <row r="116">
      <c r="A116" s="251"/>
    </row>
    <row r="117">
      <c r="A117" s="251"/>
    </row>
    <row r="118">
      <c r="A118" s="251"/>
    </row>
    <row r="119">
      <c r="A119" s="251"/>
    </row>
    <row r="120">
      <c r="A120" s="251"/>
    </row>
    <row r="121">
      <c r="A121" s="251"/>
    </row>
    <row r="122">
      <c r="A122" s="251"/>
    </row>
    <row r="123">
      <c r="A123" s="251"/>
    </row>
    <row r="124">
      <c r="A124" s="251"/>
    </row>
    <row r="125">
      <c r="A125" s="251"/>
    </row>
    <row r="126">
      <c r="A126" s="251"/>
    </row>
    <row r="127">
      <c r="A127" s="251"/>
    </row>
    <row r="128">
      <c r="A128" s="251"/>
    </row>
    <row r="129">
      <c r="A129" s="251"/>
    </row>
    <row r="130">
      <c r="A130" s="251"/>
    </row>
    <row r="131">
      <c r="A131" s="251"/>
    </row>
    <row r="132">
      <c r="A132" s="251"/>
    </row>
    <row r="133">
      <c r="A133" s="251"/>
    </row>
    <row r="134">
      <c r="A134" s="251"/>
    </row>
    <row r="135">
      <c r="A135" s="251"/>
    </row>
    <row r="136">
      <c r="A136" s="251"/>
    </row>
    <row r="137">
      <c r="A137" s="251"/>
    </row>
    <row r="138">
      <c r="A138" s="251"/>
    </row>
    <row r="139">
      <c r="A139" s="251"/>
    </row>
    <row r="140">
      <c r="A140" s="251"/>
    </row>
    <row r="141">
      <c r="A141" s="251"/>
    </row>
    <row r="142">
      <c r="A142" s="251"/>
    </row>
    <row r="143">
      <c r="A143" s="251"/>
    </row>
    <row r="144">
      <c r="A144" s="251"/>
    </row>
    <row r="145">
      <c r="A145" s="251"/>
    </row>
    <row r="146">
      <c r="A146" s="251"/>
    </row>
    <row r="147">
      <c r="A147" s="251"/>
    </row>
    <row r="148">
      <c r="A148" s="251"/>
    </row>
    <row r="149">
      <c r="A149" s="251"/>
    </row>
    <row r="150">
      <c r="A150" s="251"/>
    </row>
    <row r="151">
      <c r="A151" s="251"/>
    </row>
    <row r="152">
      <c r="A152" s="251"/>
    </row>
    <row r="153">
      <c r="A153" s="251"/>
    </row>
    <row r="154">
      <c r="A154" s="251"/>
    </row>
    <row r="155">
      <c r="A155" s="251"/>
    </row>
    <row r="156">
      <c r="A156" s="251"/>
    </row>
    <row r="157">
      <c r="A157" s="251"/>
    </row>
    <row r="158">
      <c r="A158" s="251"/>
    </row>
    <row r="159">
      <c r="A159" s="251"/>
    </row>
    <row r="160">
      <c r="A160" s="251"/>
    </row>
    <row r="161">
      <c r="A161" s="251"/>
    </row>
    <row r="162">
      <c r="A162" s="251"/>
    </row>
    <row r="163">
      <c r="A163" s="251"/>
    </row>
    <row r="164">
      <c r="A164" s="251"/>
    </row>
    <row r="165">
      <c r="A165" s="251"/>
    </row>
    <row r="166">
      <c r="A166" s="251"/>
    </row>
    <row r="167">
      <c r="A167" s="251"/>
    </row>
    <row r="168">
      <c r="A168" s="251"/>
    </row>
    <row r="169">
      <c r="A169" s="251"/>
    </row>
    <row r="170">
      <c r="A170" s="251"/>
    </row>
    <row r="171">
      <c r="A171" s="251"/>
    </row>
    <row r="172">
      <c r="A172" s="251"/>
    </row>
    <row r="173">
      <c r="A173" s="251"/>
    </row>
    <row r="174">
      <c r="A174" s="251"/>
    </row>
    <row r="175">
      <c r="A175" s="251"/>
    </row>
    <row r="176">
      <c r="A176" s="251"/>
    </row>
    <row r="177">
      <c r="A177" s="251"/>
    </row>
    <row r="178">
      <c r="A178" s="251"/>
    </row>
    <row r="179">
      <c r="A179" s="251"/>
    </row>
    <row r="180">
      <c r="A180" s="251"/>
    </row>
    <row r="181">
      <c r="A181" s="251"/>
    </row>
    <row r="182">
      <c r="A182" s="251"/>
    </row>
    <row r="183">
      <c r="A183" s="251"/>
    </row>
    <row r="184">
      <c r="A184" s="251"/>
    </row>
    <row r="185">
      <c r="A185" s="251"/>
    </row>
    <row r="186">
      <c r="A186" s="251"/>
    </row>
    <row r="187">
      <c r="A187" s="251"/>
    </row>
    <row r="188">
      <c r="A188" s="251"/>
    </row>
    <row r="189">
      <c r="A189" s="251"/>
    </row>
    <row r="190">
      <c r="A190" s="251"/>
    </row>
    <row r="191">
      <c r="A191" s="251"/>
    </row>
    <row r="192">
      <c r="A192" s="251"/>
    </row>
    <row r="193">
      <c r="A193" s="251"/>
    </row>
    <row r="194">
      <c r="A194" s="251"/>
    </row>
    <row r="195">
      <c r="A195" s="251"/>
    </row>
    <row r="196">
      <c r="A196" s="251"/>
    </row>
    <row r="197">
      <c r="A197" s="251"/>
    </row>
    <row r="198">
      <c r="A198" s="251"/>
    </row>
    <row r="199">
      <c r="A199" s="251"/>
    </row>
    <row r="200">
      <c r="A200" s="251"/>
    </row>
    <row r="201">
      <c r="A201" s="251"/>
    </row>
    <row r="202">
      <c r="A202" s="251"/>
    </row>
    <row r="203">
      <c r="A203" s="251"/>
    </row>
    <row r="204">
      <c r="A204" s="251"/>
    </row>
    <row r="205">
      <c r="A205" s="251"/>
    </row>
    <row r="206">
      <c r="A206" s="251"/>
    </row>
    <row r="207">
      <c r="A207" s="251"/>
    </row>
    <row r="208">
      <c r="A208" s="251"/>
    </row>
    <row r="209">
      <c r="A209" s="251"/>
    </row>
    <row r="210">
      <c r="A210" s="251"/>
    </row>
    <row r="211">
      <c r="A211" s="251"/>
    </row>
    <row r="212">
      <c r="A212" s="251"/>
    </row>
    <row r="213">
      <c r="A213" s="251"/>
    </row>
    <row r="214">
      <c r="A214" s="251"/>
    </row>
    <row r="215">
      <c r="A215" s="251"/>
    </row>
    <row r="216">
      <c r="A216" s="251"/>
    </row>
    <row r="217">
      <c r="A217" s="251"/>
    </row>
    <row r="218">
      <c r="A218" s="251"/>
    </row>
    <row r="219">
      <c r="A219" s="251"/>
    </row>
    <row r="220">
      <c r="A220" s="251"/>
    </row>
    <row r="221">
      <c r="A221" s="251"/>
    </row>
    <row r="222">
      <c r="A222" s="251"/>
    </row>
    <row r="223">
      <c r="A223" s="251"/>
    </row>
    <row r="224">
      <c r="A224" s="251"/>
    </row>
    <row r="225">
      <c r="A225" s="251"/>
    </row>
    <row r="226">
      <c r="A226" s="251"/>
    </row>
    <row r="227">
      <c r="A227" s="251"/>
    </row>
    <row r="228">
      <c r="A228" s="251"/>
    </row>
    <row r="229">
      <c r="A229" s="251"/>
    </row>
    <row r="230">
      <c r="A230" s="251"/>
    </row>
    <row r="231">
      <c r="A231" s="251"/>
    </row>
    <row r="232">
      <c r="A232" s="251"/>
    </row>
    <row r="233">
      <c r="A233" s="251"/>
    </row>
    <row r="234">
      <c r="A234" s="251"/>
    </row>
    <row r="235">
      <c r="A235" s="251"/>
    </row>
    <row r="236">
      <c r="A236" s="251"/>
    </row>
    <row r="237">
      <c r="A237" s="251"/>
    </row>
    <row r="238">
      <c r="A238" s="251"/>
    </row>
    <row r="239">
      <c r="A239" s="251"/>
    </row>
    <row r="240">
      <c r="A240" s="251"/>
    </row>
    <row r="241">
      <c r="A241" s="251"/>
    </row>
    <row r="242">
      <c r="A242" s="251"/>
    </row>
    <row r="243">
      <c r="A243" s="251"/>
    </row>
    <row r="244">
      <c r="A244" s="251"/>
    </row>
    <row r="245">
      <c r="A245" s="251"/>
    </row>
    <row r="246">
      <c r="A246" s="251"/>
    </row>
    <row r="247">
      <c r="A247" s="251"/>
    </row>
    <row r="248">
      <c r="A248" s="251"/>
    </row>
    <row r="249">
      <c r="A249" s="251"/>
    </row>
    <row r="250">
      <c r="A250" s="251"/>
    </row>
    <row r="251">
      <c r="A251" s="251"/>
    </row>
    <row r="252">
      <c r="A252" s="251"/>
    </row>
    <row r="253">
      <c r="A253" s="251"/>
    </row>
    <row r="254">
      <c r="A254" s="251"/>
    </row>
    <row r="255">
      <c r="A255" s="251"/>
    </row>
    <row r="256">
      <c r="A256" s="251"/>
    </row>
    <row r="257">
      <c r="A257" s="251"/>
    </row>
    <row r="258">
      <c r="A258" s="251"/>
    </row>
    <row r="259">
      <c r="A259" s="251"/>
    </row>
    <row r="260">
      <c r="A260" s="251"/>
    </row>
    <row r="261">
      <c r="A261" s="251"/>
    </row>
    <row r="262">
      <c r="A262" s="251"/>
    </row>
    <row r="263">
      <c r="A263" s="251"/>
    </row>
    <row r="264">
      <c r="A264" s="251"/>
    </row>
    <row r="265">
      <c r="A265" s="251"/>
    </row>
    <row r="266">
      <c r="A266" s="251"/>
    </row>
    <row r="267">
      <c r="A267" s="251"/>
    </row>
    <row r="268">
      <c r="A268" s="251"/>
    </row>
    <row r="269">
      <c r="A269" s="251"/>
    </row>
    <row r="270">
      <c r="A270" s="251"/>
    </row>
    <row r="271">
      <c r="A271" s="251"/>
    </row>
    <row r="272">
      <c r="A272" s="251"/>
    </row>
    <row r="273">
      <c r="A273" s="251"/>
    </row>
    <row r="274">
      <c r="A274" s="251"/>
    </row>
    <row r="275">
      <c r="A275" s="251"/>
    </row>
    <row r="276">
      <c r="A276" s="251"/>
    </row>
    <row r="277">
      <c r="A277" s="251"/>
    </row>
    <row r="278">
      <c r="A278" s="251"/>
    </row>
    <row r="279">
      <c r="A279" s="251"/>
    </row>
    <row r="280">
      <c r="A280" s="251"/>
    </row>
    <row r="281">
      <c r="A281" s="251"/>
    </row>
    <row r="282">
      <c r="A282" s="251"/>
    </row>
    <row r="283">
      <c r="A283" s="251"/>
    </row>
    <row r="284">
      <c r="A284" s="251"/>
    </row>
    <row r="285">
      <c r="A285" s="251"/>
    </row>
    <row r="286">
      <c r="A286" s="251"/>
    </row>
    <row r="287">
      <c r="A287" s="251"/>
    </row>
    <row r="288">
      <c r="A288" s="251"/>
    </row>
    <row r="289">
      <c r="A289" s="251"/>
    </row>
    <row r="290">
      <c r="A290" s="251"/>
    </row>
    <row r="291">
      <c r="A291" s="251"/>
    </row>
    <row r="292">
      <c r="A292" s="251"/>
    </row>
    <row r="293">
      <c r="A293" s="251"/>
    </row>
    <row r="294">
      <c r="A294" s="251"/>
    </row>
    <row r="295">
      <c r="A295" s="251"/>
    </row>
    <row r="296">
      <c r="A296" s="251"/>
    </row>
    <row r="297">
      <c r="A297" s="251"/>
    </row>
    <row r="298">
      <c r="A298" s="251"/>
    </row>
    <row r="299">
      <c r="A299" s="251"/>
    </row>
    <row r="300">
      <c r="A300" s="251"/>
    </row>
    <row r="301">
      <c r="A301" s="251"/>
    </row>
    <row r="302">
      <c r="A302" s="251"/>
    </row>
    <row r="303">
      <c r="A303" s="251"/>
    </row>
    <row r="304">
      <c r="A304" s="251"/>
    </row>
    <row r="305">
      <c r="A305" s="251"/>
    </row>
    <row r="306">
      <c r="A306" s="251"/>
    </row>
    <row r="307">
      <c r="A307" s="251"/>
    </row>
    <row r="308">
      <c r="A308" s="251"/>
    </row>
    <row r="309">
      <c r="A309" s="251"/>
    </row>
    <row r="310">
      <c r="A310" s="251"/>
    </row>
    <row r="311">
      <c r="A311" s="251"/>
    </row>
    <row r="312">
      <c r="A312" s="251"/>
    </row>
    <row r="313">
      <c r="A313" s="251"/>
    </row>
    <row r="314">
      <c r="A314" s="251"/>
    </row>
    <row r="315">
      <c r="A315" s="251"/>
    </row>
    <row r="316">
      <c r="A316" s="251"/>
    </row>
    <row r="317">
      <c r="A317" s="251"/>
    </row>
    <row r="318">
      <c r="A318" s="251"/>
    </row>
    <row r="319">
      <c r="A319" s="251"/>
    </row>
    <row r="320">
      <c r="A320" s="251"/>
    </row>
    <row r="321">
      <c r="A321" s="251"/>
    </row>
    <row r="322">
      <c r="A322" s="251"/>
    </row>
    <row r="323">
      <c r="A323" s="251"/>
    </row>
    <row r="324">
      <c r="A324" s="251"/>
    </row>
    <row r="325">
      <c r="A325" s="251"/>
    </row>
    <row r="326">
      <c r="A326" s="251"/>
    </row>
    <row r="327">
      <c r="A327" s="251"/>
    </row>
    <row r="328">
      <c r="A328" s="251"/>
    </row>
    <row r="329">
      <c r="A329" s="251"/>
    </row>
    <row r="330">
      <c r="A330" s="251"/>
    </row>
    <row r="331">
      <c r="A331" s="251"/>
    </row>
    <row r="332">
      <c r="A332" s="251"/>
    </row>
    <row r="333">
      <c r="A333" s="251"/>
    </row>
    <row r="334">
      <c r="A334" s="251"/>
    </row>
    <row r="335">
      <c r="A335" s="251"/>
    </row>
    <row r="336">
      <c r="A336" s="251"/>
    </row>
    <row r="337">
      <c r="A337" s="251"/>
    </row>
    <row r="338">
      <c r="A338" s="251"/>
    </row>
    <row r="339">
      <c r="A339" s="251"/>
    </row>
    <row r="340">
      <c r="A340" s="251"/>
    </row>
    <row r="341">
      <c r="A341" s="251"/>
    </row>
    <row r="342">
      <c r="A342" s="251"/>
    </row>
    <row r="343">
      <c r="A343" s="251"/>
    </row>
    <row r="344">
      <c r="A344" s="251"/>
    </row>
    <row r="345">
      <c r="A345" s="251"/>
    </row>
    <row r="346">
      <c r="A346" s="251"/>
    </row>
    <row r="347">
      <c r="A347" s="251"/>
    </row>
    <row r="348">
      <c r="A348" s="251"/>
    </row>
    <row r="349">
      <c r="A349" s="251"/>
    </row>
    <row r="350">
      <c r="A350" s="251"/>
    </row>
    <row r="351">
      <c r="A351" s="251"/>
    </row>
    <row r="352">
      <c r="A352" s="251"/>
    </row>
    <row r="353">
      <c r="A353" s="251"/>
    </row>
    <row r="354">
      <c r="A354" s="251"/>
    </row>
    <row r="355">
      <c r="A355" s="251"/>
    </row>
    <row r="356">
      <c r="A356" s="251"/>
    </row>
    <row r="357">
      <c r="A357" s="251"/>
    </row>
    <row r="358">
      <c r="A358" s="251"/>
    </row>
    <row r="359">
      <c r="A359" s="251"/>
    </row>
    <row r="360">
      <c r="A360" s="251"/>
    </row>
    <row r="361">
      <c r="A361" s="251"/>
    </row>
    <row r="362">
      <c r="A362" s="251"/>
    </row>
    <row r="363">
      <c r="A363" s="251"/>
    </row>
    <row r="364">
      <c r="A364" s="251"/>
    </row>
    <row r="365">
      <c r="A365" s="251"/>
    </row>
    <row r="366">
      <c r="A366" s="251"/>
    </row>
    <row r="367">
      <c r="A367" s="251"/>
    </row>
    <row r="368">
      <c r="A368" s="251"/>
    </row>
    <row r="369">
      <c r="A369" s="251"/>
    </row>
    <row r="370">
      <c r="A370" s="251"/>
    </row>
    <row r="371">
      <c r="A371" s="251"/>
    </row>
    <row r="372">
      <c r="A372" s="251"/>
    </row>
    <row r="373">
      <c r="A373" s="251"/>
    </row>
    <row r="374">
      <c r="A374" s="251"/>
    </row>
    <row r="375">
      <c r="A375" s="251"/>
    </row>
    <row r="376">
      <c r="A376" s="251"/>
    </row>
    <row r="377">
      <c r="A377" s="251"/>
    </row>
    <row r="378">
      <c r="A378" s="251"/>
    </row>
    <row r="379">
      <c r="A379" s="251"/>
    </row>
    <row r="380">
      <c r="A380" s="251"/>
    </row>
    <row r="381">
      <c r="A381" s="251"/>
    </row>
    <row r="382">
      <c r="A382" s="251"/>
    </row>
    <row r="383">
      <c r="A383" s="251"/>
    </row>
    <row r="384">
      <c r="A384" s="251"/>
    </row>
    <row r="385">
      <c r="A385" s="251"/>
    </row>
    <row r="386">
      <c r="A386" s="251"/>
    </row>
    <row r="387">
      <c r="A387" s="251"/>
    </row>
    <row r="388">
      <c r="A388" s="251"/>
    </row>
    <row r="389">
      <c r="A389" s="251"/>
    </row>
    <row r="390">
      <c r="A390" s="251"/>
    </row>
    <row r="391">
      <c r="A391" s="251"/>
    </row>
    <row r="392">
      <c r="A392" s="251"/>
    </row>
    <row r="393">
      <c r="A393" s="251"/>
    </row>
    <row r="394">
      <c r="A394" s="251"/>
    </row>
    <row r="395">
      <c r="A395" s="251"/>
    </row>
    <row r="396">
      <c r="A396" s="251"/>
    </row>
    <row r="397">
      <c r="A397" s="251"/>
    </row>
    <row r="398">
      <c r="A398" s="251"/>
    </row>
    <row r="399">
      <c r="A399" s="251"/>
    </row>
    <row r="400">
      <c r="A400" s="251"/>
    </row>
    <row r="401">
      <c r="A401" s="251"/>
    </row>
    <row r="402">
      <c r="A402" s="251"/>
    </row>
    <row r="403">
      <c r="A403" s="251"/>
    </row>
    <row r="404">
      <c r="A404" s="251"/>
    </row>
    <row r="405">
      <c r="A405" s="251"/>
    </row>
    <row r="406">
      <c r="A406" s="251"/>
    </row>
    <row r="407">
      <c r="A407" s="251"/>
    </row>
    <row r="408">
      <c r="A408" s="251"/>
    </row>
    <row r="409">
      <c r="A409" s="251"/>
    </row>
    <row r="410">
      <c r="A410" s="251"/>
    </row>
    <row r="411">
      <c r="A411" s="251"/>
    </row>
    <row r="412">
      <c r="A412" s="251"/>
    </row>
    <row r="413">
      <c r="A413" s="251"/>
    </row>
    <row r="414">
      <c r="A414" s="251"/>
    </row>
    <row r="415">
      <c r="A415" s="251"/>
    </row>
    <row r="416">
      <c r="A416" s="251"/>
    </row>
    <row r="417">
      <c r="A417" s="251"/>
    </row>
    <row r="418">
      <c r="A418" s="251"/>
    </row>
    <row r="419">
      <c r="A419" s="251"/>
    </row>
    <row r="420">
      <c r="A420" s="251"/>
    </row>
    <row r="421">
      <c r="A421" s="251"/>
    </row>
    <row r="422">
      <c r="A422" s="251"/>
    </row>
    <row r="423">
      <c r="A423" s="251"/>
    </row>
    <row r="424">
      <c r="A424" s="251"/>
    </row>
    <row r="425">
      <c r="A425" s="251"/>
    </row>
    <row r="426">
      <c r="A426" s="251"/>
    </row>
    <row r="427">
      <c r="A427" s="251"/>
    </row>
    <row r="428">
      <c r="A428" s="251"/>
    </row>
    <row r="429">
      <c r="A429" s="251"/>
    </row>
    <row r="430">
      <c r="A430" s="251"/>
    </row>
    <row r="431">
      <c r="A431" s="251"/>
    </row>
    <row r="432">
      <c r="A432" s="251"/>
    </row>
    <row r="433">
      <c r="A433" s="251"/>
    </row>
    <row r="434">
      <c r="A434" s="251"/>
    </row>
    <row r="435">
      <c r="A435" s="251"/>
    </row>
    <row r="436">
      <c r="A436" s="251"/>
    </row>
    <row r="437">
      <c r="A437" s="251"/>
    </row>
    <row r="438">
      <c r="A438" s="251"/>
    </row>
    <row r="439">
      <c r="A439" s="251"/>
    </row>
    <row r="440">
      <c r="A440" s="251"/>
    </row>
    <row r="441">
      <c r="A441" s="251"/>
    </row>
    <row r="442">
      <c r="A442" s="251"/>
    </row>
    <row r="443">
      <c r="A443" s="251"/>
    </row>
    <row r="444">
      <c r="A444" s="251"/>
    </row>
    <row r="445">
      <c r="A445" s="251"/>
    </row>
    <row r="446">
      <c r="A446" s="251"/>
    </row>
    <row r="447">
      <c r="A447" s="251"/>
    </row>
    <row r="448">
      <c r="A448" s="251"/>
    </row>
    <row r="449">
      <c r="A449" s="251"/>
    </row>
    <row r="450">
      <c r="A450" s="251"/>
    </row>
    <row r="451">
      <c r="A451" s="251"/>
    </row>
    <row r="452">
      <c r="A452" s="251"/>
    </row>
    <row r="453">
      <c r="A453" s="251"/>
    </row>
    <row r="454">
      <c r="A454" s="251"/>
    </row>
    <row r="455">
      <c r="A455" s="251"/>
    </row>
    <row r="456">
      <c r="A456" s="251"/>
    </row>
    <row r="457">
      <c r="A457" s="251"/>
    </row>
    <row r="458">
      <c r="A458" s="251"/>
    </row>
    <row r="459">
      <c r="A459" s="251"/>
    </row>
    <row r="460">
      <c r="A460" s="251"/>
    </row>
    <row r="461">
      <c r="A461" s="251"/>
    </row>
    <row r="462">
      <c r="A462" s="251"/>
    </row>
    <row r="463">
      <c r="A463" s="251"/>
    </row>
    <row r="464">
      <c r="A464" s="251"/>
    </row>
    <row r="465">
      <c r="A465" s="251"/>
    </row>
    <row r="466">
      <c r="A466" s="251"/>
    </row>
    <row r="467">
      <c r="A467" s="251"/>
    </row>
    <row r="468">
      <c r="A468" s="251"/>
    </row>
    <row r="469">
      <c r="A469" s="251"/>
    </row>
    <row r="470">
      <c r="A470" s="251"/>
    </row>
    <row r="471">
      <c r="A471" s="251"/>
    </row>
    <row r="472">
      <c r="A472" s="251"/>
    </row>
    <row r="473">
      <c r="A473" s="251"/>
    </row>
    <row r="474">
      <c r="A474" s="251"/>
    </row>
    <row r="475">
      <c r="A475" s="251"/>
    </row>
    <row r="476">
      <c r="A476" s="251"/>
    </row>
    <row r="477">
      <c r="A477" s="251"/>
    </row>
    <row r="478">
      <c r="A478" s="251"/>
    </row>
    <row r="479">
      <c r="A479" s="251"/>
    </row>
    <row r="480">
      <c r="A480" s="251"/>
    </row>
    <row r="481">
      <c r="A481" s="251"/>
    </row>
    <row r="482">
      <c r="A482" s="251"/>
    </row>
    <row r="483">
      <c r="A483" s="251"/>
    </row>
    <row r="484">
      <c r="A484" s="251"/>
    </row>
    <row r="485">
      <c r="A485" s="251"/>
    </row>
    <row r="486">
      <c r="A486" s="251"/>
    </row>
    <row r="487">
      <c r="A487" s="251"/>
    </row>
    <row r="488">
      <c r="A488" s="251"/>
    </row>
    <row r="489">
      <c r="A489" s="251"/>
    </row>
    <row r="490">
      <c r="A490" s="251"/>
    </row>
    <row r="491">
      <c r="A491" s="251"/>
    </row>
    <row r="492">
      <c r="A492" s="251"/>
    </row>
    <row r="493">
      <c r="A493" s="251"/>
    </row>
    <row r="494">
      <c r="A494" s="251"/>
    </row>
    <row r="495">
      <c r="A495" s="251"/>
    </row>
    <row r="496">
      <c r="A496" s="251"/>
    </row>
    <row r="497">
      <c r="A497" s="251"/>
    </row>
    <row r="498">
      <c r="A498" s="251"/>
    </row>
    <row r="499">
      <c r="A499" s="251"/>
    </row>
    <row r="500">
      <c r="A500" s="251"/>
    </row>
    <row r="501">
      <c r="A501" s="251"/>
    </row>
    <row r="502">
      <c r="A502" s="251"/>
    </row>
    <row r="503">
      <c r="A503" s="251"/>
    </row>
    <row r="504">
      <c r="A504" s="251"/>
    </row>
    <row r="505">
      <c r="A505" s="251"/>
    </row>
    <row r="506">
      <c r="A506" s="251"/>
    </row>
    <row r="507">
      <c r="A507" s="251"/>
    </row>
    <row r="508">
      <c r="A508" s="251"/>
    </row>
    <row r="509">
      <c r="A509" s="251"/>
    </row>
    <row r="510">
      <c r="A510" s="251"/>
    </row>
    <row r="511">
      <c r="A511" s="251"/>
    </row>
    <row r="512">
      <c r="A512" s="251"/>
    </row>
    <row r="513">
      <c r="A513" s="251"/>
    </row>
    <row r="514">
      <c r="A514" s="251"/>
    </row>
    <row r="515">
      <c r="A515" s="251"/>
    </row>
    <row r="516">
      <c r="A516" s="251"/>
    </row>
    <row r="517">
      <c r="A517" s="251"/>
    </row>
    <row r="518">
      <c r="A518" s="251"/>
    </row>
    <row r="519">
      <c r="A519" s="251"/>
    </row>
    <row r="520">
      <c r="A520" s="251"/>
    </row>
    <row r="521">
      <c r="A521" s="251"/>
    </row>
    <row r="522">
      <c r="A522" s="251"/>
    </row>
    <row r="523">
      <c r="A523" s="251"/>
    </row>
    <row r="524">
      <c r="A524" s="251"/>
    </row>
    <row r="525">
      <c r="A525" s="251"/>
    </row>
    <row r="526">
      <c r="A526" s="251"/>
    </row>
    <row r="527">
      <c r="A527" s="251"/>
    </row>
    <row r="528">
      <c r="A528" s="251"/>
    </row>
    <row r="529">
      <c r="A529" s="251"/>
    </row>
    <row r="530">
      <c r="A530" s="251"/>
    </row>
    <row r="531">
      <c r="A531" s="251"/>
    </row>
    <row r="532">
      <c r="A532" s="251"/>
    </row>
    <row r="533">
      <c r="A533" s="251"/>
    </row>
    <row r="534">
      <c r="A534" s="251"/>
    </row>
    <row r="535">
      <c r="A535" s="251"/>
    </row>
    <row r="536">
      <c r="A536" s="251"/>
    </row>
    <row r="537">
      <c r="A537" s="251"/>
    </row>
    <row r="538">
      <c r="A538" s="251"/>
    </row>
    <row r="539">
      <c r="A539" s="251"/>
    </row>
    <row r="540">
      <c r="A540" s="251"/>
    </row>
    <row r="541">
      <c r="A541" s="251"/>
    </row>
    <row r="542">
      <c r="A542" s="251"/>
    </row>
    <row r="543">
      <c r="A543" s="251"/>
    </row>
    <row r="544">
      <c r="A544" s="251"/>
    </row>
    <row r="545">
      <c r="A545" s="251"/>
    </row>
    <row r="546">
      <c r="A546" s="251"/>
    </row>
    <row r="547">
      <c r="A547" s="251"/>
    </row>
    <row r="548">
      <c r="A548" s="251"/>
    </row>
    <row r="549">
      <c r="A549" s="251"/>
    </row>
    <row r="550">
      <c r="A550" s="251"/>
    </row>
    <row r="551">
      <c r="A551" s="251"/>
    </row>
    <row r="552">
      <c r="A552" s="251"/>
    </row>
    <row r="553">
      <c r="A553" s="251"/>
    </row>
    <row r="554">
      <c r="A554" s="251"/>
    </row>
    <row r="555">
      <c r="A555" s="251"/>
    </row>
    <row r="556">
      <c r="A556" s="251"/>
    </row>
    <row r="557">
      <c r="A557" s="251"/>
    </row>
    <row r="558">
      <c r="A558" s="251"/>
    </row>
    <row r="559">
      <c r="A559" s="251"/>
    </row>
    <row r="560">
      <c r="A560" s="251"/>
    </row>
    <row r="561">
      <c r="A561" s="251"/>
    </row>
    <row r="562">
      <c r="A562" s="251"/>
    </row>
    <row r="563">
      <c r="A563" s="251"/>
    </row>
    <row r="564">
      <c r="A564" s="251"/>
    </row>
    <row r="565">
      <c r="A565" s="251"/>
    </row>
    <row r="566">
      <c r="A566" s="251"/>
    </row>
    <row r="567">
      <c r="A567" s="251"/>
    </row>
    <row r="568">
      <c r="A568" s="251"/>
    </row>
    <row r="569">
      <c r="A569" s="251"/>
    </row>
    <row r="570">
      <c r="A570" s="251"/>
    </row>
    <row r="571">
      <c r="A571" s="251"/>
    </row>
    <row r="572">
      <c r="A572" s="251"/>
    </row>
    <row r="573">
      <c r="A573" s="251"/>
    </row>
    <row r="574">
      <c r="A574" s="251"/>
    </row>
    <row r="575">
      <c r="A575" s="251"/>
    </row>
    <row r="576">
      <c r="A576" s="251"/>
    </row>
    <row r="577">
      <c r="A577" s="251"/>
    </row>
    <row r="578">
      <c r="A578" s="251"/>
    </row>
    <row r="579">
      <c r="A579" s="251"/>
    </row>
    <row r="580">
      <c r="A580" s="251"/>
    </row>
    <row r="581">
      <c r="A581" s="251"/>
    </row>
    <row r="582">
      <c r="A582" s="251"/>
    </row>
    <row r="583">
      <c r="A583" s="251"/>
    </row>
    <row r="584">
      <c r="A584" s="251"/>
    </row>
    <row r="585">
      <c r="A585" s="251"/>
    </row>
    <row r="586">
      <c r="A586" s="251"/>
    </row>
    <row r="587">
      <c r="A587" s="251"/>
    </row>
    <row r="588">
      <c r="A588" s="251"/>
    </row>
    <row r="589">
      <c r="A589" s="251"/>
    </row>
    <row r="590">
      <c r="A590" s="251"/>
    </row>
    <row r="591">
      <c r="A591" s="251"/>
    </row>
    <row r="592">
      <c r="A592" s="251"/>
    </row>
    <row r="593">
      <c r="A593" s="251"/>
    </row>
    <row r="594">
      <c r="A594" s="251"/>
    </row>
    <row r="595">
      <c r="A595" s="251"/>
    </row>
    <row r="596">
      <c r="A596" s="251"/>
    </row>
    <row r="597">
      <c r="A597" s="251"/>
    </row>
    <row r="598">
      <c r="A598" s="251"/>
    </row>
    <row r="599">
      <c r="A599" s="251"/>
    </row>
    <row r="600">
      <c r="A600" s="251"/>
    </row>
    <row r="601">
      <c r="A601" s="251"/>
    </row>
    <row r="602">
      <c r="A602" s="251"/>
    </row>
    <row r="603">
      <c r="A603" s="251"/>
    </row>
    <row r="604">
      <c r="A604" s="251"/>
    </row>
    <row r="605">
      <c r="A605" s="251"/>
    </row>
    <row r="606">
      <c r="A606" s="251"/>
    </row>
    <row r="607">
      <c r="A607" s="251"/>
    </row>
    <row r="608">
      <c r="A608" s="251"/>
    </row>
    <row r="609">
      <c r="A609" s="251"/>
    </row>
    <row r="610">
      <c r="A610" s="251"/>
    </row>
    <row r="611">
      <c r="A611" s="251"/>
    </row>
    <row r="612">
      <c r="A612" s="251"/>
    </row>
    <row r="613">
      <c r="A613" s="251"/>
    </row>
    <row r="614">
      <c r="A614" s="251"/>
    </row>
    <row r="615">
      <c r="A615" s="251"/>
    </row>
    <row r="616">
      <c r="A616" s="251"/>
    </row>
    <row r="617">
      <c r="A617" s="251"/>
    </row>
    <row r="618">
      <c r="A618" s="251"/>
    </row>
    <row r="619">
      <c r="A619" s="251"/>
    </row>
    <row r="620">
      <c r="A620" s="251"/>
    </row>
    <row r="621">
      <c r="A621" s="251"/>
    </row>
    <row r="622">
      <c r="A622" s="251"/>
    </row>
    <row r="623">
      <c r="A623" s="251"/>
    </row>
    <row r="624">
      <c r="A624" s="251"/>
    </row>
    <row r="625">
      <c r="A625" s="251"/>
    </row>
    <row r="626">
      <c r="A626" s="251"/>
    </row>
    <row r="627">
      <c r="A627" s="251"/>
    </row>
    <row r="628">
      <c r="A628" s="251"/>
    </row>
    <row r="629">
      <c r="A629" s="251"/>
    </row>
    <row r="630">
      <c r="A630" s="251"/>
    </row>
    <row r="631">
      <c r="A631" s="251"/>
    </row>
    <row r="632">
      <c r="A632" s="251"/>
    </row>
    <row r="633">
      <c r="A633" s="251"/>
    </row>
    <row r="634">
      <c r="A634" s="251"/>
    </row>
    <row r="635">
      <c r="A635" s="251"/>
    </row>
    <row r="636">
      <c r="A636" s="251"/>
    </row>
    <row r="637">
      <c r="A637" s="251"/>
    </row>
    <row r="638">
      <c r="A638" s="251"/>
    </row>
    <row r="639">
      <c r="A639" s="251"/>
    </row>
    <row r="640">
      <c r="A640" s="251"/>
    </row>
    <row r="641">
      <c r="A641" s="251"/>
    </row>
    <row r="642">
      <c r="A642" s="251"/>
    </row>
    <row r="643">
      <c r="A643" s="251"/>
    </row>
    <row r="644">
      <c r="A644" s="251"/>
    </row>
    <row r="645">
      <c r="A645" s="251"/>
    </row>
    <row r="646">
      <c r="A646" s="251"/>
    </row>
    <row r="647">
      <c r="A647" s="251"/>
    </row>
    <row r="648">
      <c r="A648" s="251"/>
    </row>
    <row r="649">
      <c r="A649" s="251"/>
    </row>
    <row r="650">
      <c r="A650" s="251"/>
    </row>
    <row r="651">
      <c r="A651" s="251"/>
    </row>
    <row r="652">
      <c r="A652" s="251"/>
    </row>
    <row r="653">
      <c r="A653" s="251"/>
    </row>
    <row r="654">
      <c r="A654" s="251"/>
    </row>
    <row r="655">
      <c r="A655" s="251"/>
    </row>
    <row r="656">
      <c r="A656" s="251"/>
    </row>
    <row r="657">
      <c r="A657" s="251"/>
    </row>
    <row r="658">
      <c r="A658" s="251"/>
    </row>
    <row r="659">
      <c r="A659" s="251"/>
    </row>
    <row r="660">
      <c r="A660" s="251"/>
    </row>
    <row r="661">
      <c r="A661" s="251"/>
    </row>
    <row r="662">
      <c r="A662" s="251"/>
    </row>
    <row r="663">
      <c r="A663" s="251"/>
    </row>
    <row r="664">
      <c r="A664" s="251"/>
    </row>
    <row r="665">
      <c r="A665" s="251"/>
    </row>
    <row r="666">
      <c r="A666" s="251"/>
    </row>
    <row r="667">
      <c r="A667" s="251"/>
    </row>
    <row r="668">
      <c r="A668" s="251"/>
    </row>
    <row r="669">
      <c r="A669" s="251"/>
    </row>
    <row r="670">
      <c r="A670" s="251"/>
    </row>
    <row r="671">
      <c r="A671" s="251"/>
    </row>
    <row r="672">
      <c r="A672" s="251"/>
    </row>
    <row r="673">
      <c r="A673" s="251"/>
    </row>
    <row r="674">
      <c r="A674" s="251"/>
    </row>
    <row r="675">
      <c r="A675" s="251"/>
    </row>
    <row r="676">
      <c r="A676" s="251"/>
    </row>
    <row r="677">
      <c r="A677" s="251"/>
    </row>
    <row r="678">
      <c r="A678" s="251"/>
    </row>
    <row r="679">
      <c r="A679" s="251"/>
    </row>
    <row r="680">
      <c r="A680" s="251"/>
    </row>
    <row r="681">
      <c r="A681" s="251"/>
    </row>
    <row r="682">
      <c r="A682" s="251"/>
    </row>
    <row r="683">
      <c r="A683" s="251"/>
    </row>
    <row r="684">
      <c r="A684" s="251"/>
    </row>
    <row r="685">
      <c r="A685" s="251"/>
    </row>
    <row r="686">
      <c r="A686" s="251"/>
    </row>
    <row r="687">
      <c r="A687" s="251"/>
    </row>
    <row r="688">
      <c r="A688" s="251"/>
    </row>
    <row r="689">
      <c r="A689" s="251"/>
    </row>
    <row r="690">
      <c r="A690" s="251"/>
    </row>
    <row r="691">
      <c r="A691" s="251"/>
    </row>
    <row r="692">
      <c r="A692" s="251"/>
    </row>
    <row r="693">
      <c r="A693" s="251"/>
    </row>
    <row r="694">
      <c r="A694" s="251"/>
    </row>
    <row r="695">
      <c r="A695" s="251"/>
    </row>
    <row r="696">
      <c r="A696" s="251"/>
    </row>
    <row r="697">
      <c r="A697" s="251"/>
    </row>
    <row r="698">
      <c r="A698" s="251"/>
    </row>
    <row r="699">
      <c r="A699" s="251"/>
    </row>
    <row r="700">
      <c r="A700" s="251"/>
    </row>
    <row r="701">
      <c r="A701" s="251"/>
    </row>
    <row r="702">
      <c r="A702" s="251"/>
    </row>
    <row r="703">
      <c r="A703" s="251"/>
    </row>
    <row r="704">
      <c r="A704" s="251"/>
    </row>
    <row r="705">
      <c r="A705" s="251"/>
    </row>
    <row r="706">
      <c r="A706" s="251"/>
    </row>
    <row r="707">
      <c r="A707" s="251"/>
    </row>
    <row r="708">
      <c r="A708" s="251"/>
    </row>
    <row r="709">
      <c r="A709" s="251"/>
    </row>
    <row r="710">
      <c r="A710" s="251"/>
    </row>
    <row r="711">
      <c r="A711" s="251"/>
    </row>
    <row r="712">
      <c r="A712" s="251"/>
    </row>
    <row r="713">
      <c r="A713" s="251"/>
    </row>
    <row r="714">
      <c r="A714" s="251"/>
    </row>
    <row r="715">
      <c r="A715" s="251"/>
    </row>
    <row r="716">
      <c r="A716" s="251"/>
    </row>
    <row r="717">
      <c r="A717" s="251"/>
    </row>
    <row r="718">
      <c r="A718" s="251"/>
    </row>
    <row r="719">
      <c r="A719" s="251"/>
    </row>
    <row r="720">
      <c r="A720" s="251"/>
    </row>
    <row r="721">
      <c r="A721" s="251"/>
    </row>
    <row r="722">
      <c r="A722" s="251"/>
    </row>
    <row r="723">
      <c r="A723" s="251"/>
    </row>
    <row r="724">
      <c r="A724" s="251"/>
    </row>
    <row r="725">
      <c r="A725" s="251"/>
    </row>
    <row r="726">
      <c r="A726" s="251"/>
    </row>
    <row r="727">
      <c r="A727" s="251"/>
    </row>
    <row r="728">
      <c r="A728" s="251"/>
    </row>
    <row r="729">
      <c r="A729" s="251"/>
    </row>
    <row r="730">
      <c r="A730" s="251"/>
    </row>
    <row r="731">
      <c r="A731" s="251"/>
    </row>
    <row r="732">
      <c r="A732" s="251"/>
    </row>
    <row r="733">
      <c r="A733" s="251"/>
    </row>
    <row r="734">
      <c r="A734" s="251"/>
    </row>
    <row r="735">
      <c r="A735" s="251"/>
    </row>
    <row r="736">
      <c r="A736" s="251"/>
    </row>
    <row r="737">
      <c r="A737" s="251"/>
    </row>
    <row r="738">
      <c r="A738" s="251"/>
    </row>
    <row r="739">
      <c r="A739" s="251"/>
    </row>
    <row r="740">
      <c r="A740" s="251"/>
    </row>
    <row r="741">
      <c r="A741" s="251"/>
    </row>
    <row r="742">
      <c r="A742" s="251"/>
    </row>
    <row r="743">
      <c r="A743" s="251"/>
    </row>
    <row r="744">
      <c r="A744" s="251"/>
    </row>
    <row r="745">
      <c r="A745" s="251"/>
    </row>
    <row r="746">
      <c r="A746" s="251"/>
    </row>
    <row r="747">
      <c r="A747" s="251"/>
    </row>
    <row r="748">
      <c r="A748" s="251"/>
    </row>
    <row r="749">
      <c r="A749" s="251"/>
    </row>
    <row r="750">
      <c r="A750" s="251"/>
    </row>
    <row r="751">
      <c r="A751" s="251"/>
    </row>
    <row r="752">
      <c r="A752" s="251"/>
    </row>
    <row r="753">
      <c r="A753" s="251"/>
    </row>
    <row r="754">
      <c r="A754" s="251"/>
    </row>
    <row r="755">
      <c r="A755" s="251"/>
    </row>
    <row r="756">
      <c r="A756" s="251"/>
    </row>
    <row r="757">
      <c r="A757" s="251"/>
    </row>
    <row r="758">
      <c r="A758" s="251"/>
    </row>
    <row r="759">
      <c r="A759" s="251"/>
    </row>
    <row r="760">
      <c r="A760" s="251"/>
    </row>
    <row r="761">
      <c r="A761" s="251"/>
    </row>
    <row r="762">
      <c r="A762" s="251"/>
    </row>
    <row r="763">
      <c r="A763" s="251"/>
    </row>
    <row r="764">
      <c r="A764" s="251"/>
    </row>
    <row r="765">
      <c r="A765" s="251"/>
    </row>
    <row r="766">
      <c r="A766" s="251"/>
    </row>
    <row r="767">
      <c r="A767" s="251"/>
    </row>
    <row r="768">
      <c r="A768" s="251"/>
    </row>
    <row r="769">
      <c r="A769" s="251"/>
    </row>
    <row r="770">
      <c r="A770" s="251"/>
    </row>
    <row r="771">
      <c r="A771" s="251"/>
    </row>
    <row r="772">
      <c r="A772" s="251"/>
    </row>
    <row r="773">
      <c r="A773" s="251"/>
    </row>
    <row r="774">
      <c r="A774" s="251"/>
    </row>
    <row r="775">
      <c r="A775" s="251"/>
    </row>
    <row r="776">
      <c r="A776" s="251"/>
    </row>
    <row r="777">
      <c r="A777" s="251"/>
    </row>
    <row r="778">
      <c r="A778" s="251"/>
    </row>
    <row r="779">
      <c r="A779" s="251"/>
    </row>
    <row r="780">
      <c r="A780" s="251"/>
    </row>
    <row r="781">
      <c r="A781" s="251"/>
    </row>
    <row r="782">
      <c r="A782" s="251"/>
    </row>
    <row r="783">
      <c r="A783" s="251"/>
    </row>
    <row r="784">
      <c r="A784" s="251"/>
    </row>
    <row r="785">
      <c r="A785" s="251"/>
    </row>
    <row r="786">
      <c r="A786" s="251"/>
    </row>
    <row r="787">
      <c r="A787" s="251"/>
    </row>
    <row r="788">
      <c r="A788" s="251"/>
    </row>
    <row r="789">
      <c r="A789" s="251"/>
    </row>
    <row r="790">
      <c r="A790" s="251"/>
    </row>
    <row r="791">
      <c r="A791" s="251"/>
    </row>
    <row r="792">
      <c r="A792" s="251"/>
    </row>
    <row r="793">
      <c r="A793" s="251"/>
    </row>
    <row r="794">
      <c r="A794" s="251"/>
    </row>
    <row r="795">
      <c r="A795" s="251"/>
    </row>
    <row r="796">
      <c r="A796" s="251"/>
    </row>
    <row r="797">
      <c r="A797" s="251"/>
    </row>
    <row r="798">
      <c r="A798" s="251"/>
    </row>
    <row r="799">
      <c r="A799" s="251"/>
    </row>
    <row r="800">
      <c r="A800" s="251"/>
    </row>
    <row r="801">
      <c r="A801" s="251"/>
    </row>
    <row r="802">
      <c r="A802" s="251"/>
    </row>
    <row r="803">
      <c r="A803" s="251"/>
    </row>
    <row r="804">
      <c r="A804" s="251"/>
    </row>
    <row r="805">
      <c r="A805" s="251"/>
    </row>
    <row r="806">
      <c r="A806" s="251"/>
    </row>
    <row r="807">
      <c r="A807" s="251"/>
    </row>
    <row r="808">
      <c r="A808" s="251"/>
    </row>
    <row r="809">
      <c r="A809" s="251"/>
    </row>
    <row r="810">
      <c r="A810" s="251"/>
    </row>
    <row r="811">
      <c r="A811" s="251"/>
    </row>
    <row r="812">
      <c r="A812" s="251"/>
    </row>
    <row r="813">
      <c r="A813" s="251"/>
    </row>
    <row r="814">
      <c r="A814" s="251"/>
    </row>
    <row r="815">
      <c r="A815" s="251"/>
    </row>
    <row r="816">
      <c r="A816" s="251"/>
    </row>
    <row r="817">
      <c r="A817" s="251"/>
    </row>
    <row r="818">
      <c r="A818" s="251"/>
    </row>
    <row r="819">
      <c r="A819" s="251"/>
    </row>
    <row r="820">
      <c r="A820" s="251"/>
    </row>
    <row r="821">
      <c r="A821" s="251"/>
    </row>
    <row r="822">
      <c r="A822" s="251"/>
    </row>
    <row r="823">
      <c r="A823" s="251"/>
    </row>
    <row r="824">
      <c r="A824" s="251"/>
    </row>
    <row r="825">
      <c r="A825" s="251"/>
    </row>
    <row r="826">
      <c r="A826" s="251"/>
    </row>
    <row r="827">
      <c r="A827" s="251"/>
    </row>
    <row r="828">
      <c r="A828" s="251"/>
    </row>
    <row r="829">
      <c r="A829" s="251"/>
    </row>
    <row r="830">
      <c r="A830" s="251"/>
    </row>
    <row r="831">
      <c r="A831" s="251"/>
    </row>
    <row r="832">
      <c r="A832" s="251"/>
    </row>
    <row r="833">
      <c r="A833" s="251"/>
    </row>
    <row r="834">
      <c r="A834" s="251"/>
    </row>
    <row r="835">
      <c r="A835" s="251"/>
    </row>
    <row r="836">
      <c r="A836" s="251"/>
    </row>
    <row r="837">
      <c r="A837" s="251"/>
    </row>
    <row r="838">
      <c r="A838" s="251"/>
    </row>
    <row r="839">
      <c r="A839" s="251"/>
    </row>
    <row r="840">
      <c r="A840" s="251"/>
    </row>
    <row r="841">
      <c r="A841" s="251"/>
    </row>
    <row r="842">
      <c r="A842" s="251"/>
    </row>
    <row r="843">
      <c r="A843" s="251"/>
    </row>
    <row r="844">
      <c r="A844" s="251"/>
    </row>
    <row r="845">
      <c r="A845" s="251"/>
    </row>
    <row r="846">
      <c r="A846" s="251"/>
    </row>
    <row r="847">
      <c r="A847" s="251"/>
    </row>
    <row r="848">
      <c r="A848" s="251"/>
    </row>
    <row r="849">
      <c r="A849" s="251"/>
    </row>
    <row r="850">
      <c r="A850" s="251"/>
    </row>
    <row r="851">
      <c r="A851" s="251"/>
    </row>
    <row r="852">
      <c r="A852" s="251"/>
    </row>
    <row r="853">
      <c r="A853" s="251"/>
    </row>
    <row r="854">
      <c r="A854" s="251"/>
    </row>
    <row r="855">
      <c r="A855" s="251"/>
    </row>
    <row r="856">
      <c r="A856" s="251"/>
    </row>
    <row r="857">
      <c r="A857" s="251"/>
    </row>
    <row r="858">
      <c r="A858" s="251"/>
    </row>
    <row r="859">
      <c r="A859" s="251"/>
    </row>
    <row r="860">
      <c r="A860" s="251"/>
    </row>
    <row r="861">
      <c r="A861" s="251"/>
    </row>
    <row r="862">
      <c r="A862" s="251"/>
    </row>
    <row r="863">
      <c r="A863" s="251"/>
    </row>
    <row r="864">
      <c r="A864" s="251"/>
    </row>
    <row r="865">
      <c r="A865" s="251"/>
    </row>
    <row r="866">
      <c r="A866" s="251"/>
    </row>
    <row r="867">
      <c r="A867" s="251"/>
    </row>
    <row r="868">
      <c r="A868" s="251"/>
    </row>
    <row r="869">
      <c r="A869" s="251"/>
    </row>
    <row r="870">
      <c r="A870" s="251"/>
    </row>
    <row r="871">
      <c r="A871" s="251"/>
    </row>
    <row r="872">
      <c r="A872" s="251"/>
    </row>
    <row r="873">
      <c r="A873" s="251"/>
    </row>
    <row r="874">
      <c r="A874" s="251"/>
    </row>
    <row r="875">
      <c r="A875" s="251"/>
    </row>
    <row r="876">
      <c r="A876" s="251"/>
    </row>
    <row r="877">
      <c r="A877" s="251"/>
    </row>
    <row r="878">
      <c r="A878" s="251"/>
    </row>
    <row r="879">
      <c r="A879" s="251"/>
    </row>
    <row r="880">
      <c r="A880" s="251"/>
    </row>
    <row r="881">
      <c r="A881" s="251"/>
    </row>
    <row r="882">
      <c r="A882" s="251"/>
    </row>
    <row r="883">
      <c r="A883" s="251"/>
    </row>
    <row r="884">
      <c r="A884" s="251"/>
    </row>
    <row r="885">
      <c r="A885" s="251"/>
    </row>
    <row r="886">
      <c r="A886" s="251"/>
    </row>
    <row r="887">
      <c r="A887" s="251"/>
    </row>
    <row r="888">
      <c r="A888" s="251"/>
    </row>
    <row r="889">
      <c r="A889" s="251"/>
    </row>
    <row r="890">
      <c r="A890" s="251"/>
    </row>
    <row r="891">
      <c r="A891" s="251"/>
    </row>
    <row r="892">
      <c r="A892" s="251"/>
    </row>
    <row r="893">
      <c r="A893" s="251"/>
    </row>
    <row r="894">
      <c r="A894" s="251"/>
    </row>
    <row r="895">
      <c r="A895" s="251"/>
    </row>
    <row r="896">
      <c r="A896" s="251"/>
    </row>
    <row r="897">
      <c r="A897" s="251"/>
    </row>
    <row r="898">
      <c r="A898" s="251"/>
    </row>
    <row r="899">
      <c r="A899" s="251"/>
    </row>
    <row r="900">
      <c r="A900" s="251"/>
    </row>
    <row r="901">
      <c r="A901" s="251"/>
    </row>
    <row r="902">
      <c r="A902" s="251"/>
    </row>
    <row r="903">
      <c r="A903" s="251"/>
    </row>
    <row r="904">
      <c r="A904" s="251"/>
    </row>
    <row r="905">
      <c r="A905" s="251"/>
    </row>
    <row r="906">
      <c r="A906" s="251"/>
    </row>
    <row r="907">
      <c r="A907" s="251"/>
    </row>
    <row r="908">
      <c r="A908" s="251"/>
    </row>
    <row r="909">
      <c r="A909" s="251"/>
    </row>
    <row r="910">
      <c r="A910" s="251"/>
    </row>
    <row r="911">
      <c r="A911" s="251"/>
    </row>
    <row r="912">
      <c r="A912" s="251"/>
    </row>
    <row r="913">
      <c r="A913" s="251"/>
    </row>
    <row r="914">
      <c r="A914" s="251"/>
    </row>
    <row r="915">
      <c r="A915" s="251"/>
    </row>
    <row r="916">
      <c r="A916" s="251"/>
    </row>
    <row r="917">
      <c r="A917" s="251"/>
    </row>
    <row r="918">
      <c r="A918" s="251"/>
    </row>
    <row r="919">
      <c r="A919" s="251"/>
    </row>
    <row r="920">
      <c r="A920" s="251"/>
    </row>
    <row r="921">
      <c r="A921" s="251"/>
    </row>
    <row r="922">
      <c r="A922" s="251"/>
    </row>
    <row r="923">
      <c r="A923" s="251"/>
    </row>
    <row r="924">
      <c r="A924" s="251"/>
    </row>
    <row r="925">
      <c r="A925" s="251"/>
    </row>
    <row r="926">
      <c r="A926" s="251"/>
    </row>
    <row r="927">
      <c r="A927" s="251"/>
    </row>
    <row r="928">
      <c r="A928" s="251"/>
    </row>
    <row r="929">
      <c r="A929" s="251"/>
    </row>
    <row r="930">
      <c r="A930" s="251"/>
    </row>
    <row r="931">
      <c r="A931" s="251"/>
    </row>
    <row r="932">
      <c r="A932" s="251"/>
    </row>
    <row r="933">
      <c r="A933" s="251"/>
    </row>
    <row r="934">
      <c r="A934" s="251"/>
    </row>
    <row r="935">
      <c r="A935" s="251"/>
    </row>
    <row r="936">
      <c r="A936" s="251"/>
    </row>
    <row r="937">
      <c r="A937" s="251"/>
    </row>
    <row r="938">
      <c r="A938" s="251"/>
    </row>
    <row r="939">
      <c r="A939" s="251"/>
    </row>
    <row r="940">
      <c r="A940" s="251"/>
    </row>
    <row r="941">
      <c r="A941" s="251"/>
    </row>
    <row r="942">
      <c r="A942" s="251"/>
    </row>
    <row r="943">
      <c r="A943" s="251"/>
    </row>
    <row r="944">
      <c r="A944" s="251"/>
    </row>
    <row r="945">
      <c r="A945" s="251"/>
    </row>
    <row r="946">
      <c r="A946" s="251"/>
    </row>
    <row r="947">
      <c r="A947" s="251"/>
    </row>
    <row r="948">
      <c r="A948" s="251"/>
    </row>
    <row r="949">
      <c r="A949" s="251"/>
    </row>
    <row r="950">
      <c r="A950" s="251"/>
    </row>
    <row r="951">
      <c r="A951" s="251"/>
    </row>
    <row r="952">
      <c r="A952" s="251"/>
    </row>
    <row r="953">
      <c r="A953" s="251"/>
    </row>
    <row r="954">
      <c r="A954" s="251"/>
    </row>
    <row r="955">
      <c r="A955" s="251"/>
    </row>
    <row r="956">
      <c r="A956" s="251"/>
    </row>
    <row r="957">
      <c r="A957" s="251"/>
    </row>
    <row r="958">
      <c r="A958" s="251"/>
    </row>
    <row r="959">
      <c r="A959" s="251"/>
    </row>
    <row r="960">
      <c r="A960" s="251"/>
    </row>
    <row r="961">
      <c r="A961" s="251"/>
    </row>
    <row r="962">
      <c r="A962" s="251"/>
    </row>
    <row r="963">
      <c r="A963" s="251"/>
    </row>
    <row r="964">
      <c r="A964" s="251"/>
    </row>
    <row r="965">
      <c r="A965" s="251"/>
    </row>
    <row r="966">
      <c r="A966" s="251"/>
    </row>
    <row r="967">
      <c r="A967" s="251"/>
    </row>
    <row r="968">
      <c r="A968" s="251"/>
    </row>
    <row r="969">
      <c r="A969" s="251"/>
    </row>
    <row r="970">
      <c r="A970" s="251"/>
    </row>
    <row r="971">
      <c r="A971" s="251"/>
    </row>
    <row r="972">
      <c r="A972" s="251"/>
    </row>
    <row r="973">
      <c r="A973" s="251"/>
    </row>
    <row r="974">
      <c r="A974" s="251"/>
    </row>
    <row r="975">
      <c r="A975" s="251"/>
    </row>
    <row r="976">
      <c r="A976" s="251"/>
    </row>
    <row r="977">
      <c r="A977" s="251"/>
    </row>
    <row r="978">
      <c r="A978" s="251"/>
    </row>
    <row r="979">
      <c r="A979" s="251"/>
    </row>
    <row r="980">
      <c r="A980" s="251"/>
    </row>
    <row r="981">
      <c r="A981" s="251"/>
    </row>
    <row r="982">
      <c r="A982" s="251"/>
    </row>
  </sheetData>
  <mergeCells count="2">
    <mergeCell ref="A16:G16"/>
    <mergeCell ref="A22:D22"/>
  </mergeCells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13"/>
    <col customWidth="1" min="4" max="4" width="11.63"/>
    <col customWidth="1" min="6" max="6" width="9.63"/>
    <col customWidth="1" min="7" max="7" width="7.38"/>
    <col customWidth="1" min="8" max="8" width="12.25"/>
    <col customWidth="1" min="9" max="9" width="15.5"/>
  </cols>
  <sheetData>
    <row r="1">
      <c r="A1" s="251"/>
      <c r="B1" s="179"/>
      <c r="C1" s="179"/>
      <c r="D1" s="179"/>
      <c r="E1" s="179"/>
      <c r="F1" s="235"/>
      <c r="G1" s="235"/>
      <c r="H1" s="235"/>
      <c r="I1" s="179"/>
    </row>
    <row r="2">
      <c r="A2" s="252" t="s">
        <v>223</v>
      </c>
      <c r="B2" s="253" t="s">
        <v>195</v>
      </c>
      <c r="C2" s="253" t="s">
        <v>196</v>
      </c>
      <c r="D2" s="253" t="s">
        <v>197</v>
      </c>
      <c r="E2" s="253" t="s">
        <v>4</v>
      </c>
      <c r="F2" s="249" t="s">
        <v>5</v>
      </c>
      <c r="G2" s="249" t="s">
        <v>9</v>
      </c>
      <c r="H2" s="253" t="s">
        <v>6</v>
      </c>
      <c r="I2" s="254" t="s">
        <v>198</v>
      </c>
      <c r="J2" s="69"/>
    </row>
    <row r="3">
      <c r="A3" s="87" t="s">
        <v>199</v>
      </c>
      <c r="B3" s="98">
        <f>'Исходные данные'!D12</f>
        <v>402</v>
      </c>
      <c r="C3" s="134">
        <f>'Исходные данные'!G25</f>
        <v>181</v>
      </c>
      <c r="D3" s="134"/>
      <c r="E3" s="255">
        <f>637618+40000</f>
        <v>677618</v>
      </c>
      <c r="F3" s="256">
        <v>12.0</v>
      </c>
      <c r="G3" s="249"/>
      <c r="H3" s="250">
        <f t="shared" ref="H3:H15" si="1">E3/F3</f>
        <v>56468.16667</v>
      </c>
      <c r="I3" s="257">
        <f t="shared" ref="I3:I5" si="2">H3/B3*C3</f>
        <v>25424.72181</v>
      </c>
      <c r="J3" s="69"/>
    </row>
    <row r="4">
      <c r="A4" s="87" t="s">
        <v>216</v>
      </c>
      <c r="B4" s="98">
        <f>'Исходные данные'!D11</f>
        <v>214</v>
      </c>
      <c r="C4" s="134">
        <f>'Исходные данные'!F25</f>
        <v>184</v>
      </c>
      <c r="D4" s="134"/>
      <c r="E4" s="134">
        <v>480420.0</v>
      </c>
      <c r="F4" s="256">
        <v>12.0</v>
      </c>
      <c r="G4" s="249"/>
      <c r="H4" s="250">
        <f t="shared" si="1"/>
        <v>40035</v>
      </c>
      <c r="I4" s="257">
        <f t="shared" si="2"/>
        <v>34422.61682</v>
      </c>
      <c r="J4" s="69"/>
    </row>
    <row r="5">
      <c r="A5" s="87" t="s">
        <v>201</v>
      </c>
      <c r="B5" s="98">
        <f>'Исходные данные'!E13</f>
        <v>30</v>
      </c>
      <c r="C5" s="134">
        <f>'Исходные данные'!H25</f>
        <v>8</v>
      </c>
      <c r="D5" s="134"/>
      <c r="E5" s="177">
        <f>305868+22000</f>
        <v>327868</v>
      </c>
      <c r="F5" s="256">
        <v>12.0</v>
      </c>
      <c r="G5" s="249"/>
      <c r="H5" s="250">
        <f t="shared" si="1"/>
        <v>27322.33333</v>
      </c>
      <c r="I5" s="257">
        <f t="shared" si="2"/>
        <v>7285.955556</v>
      </c>
      <c r="J5" s="69"/>
    </row>
    <row r="6">
      <c r="A6" s="87" t="s">
        <v>154</v>
      </c>
      <c r="B6" s="134"/>
      <c r="C6" s="134"/>
      <c r="D6" s="134"/>
      <c r="E6" s="134">
        <v>862850.0</v>
      </c>
      <c r="F6" s="256">
        <v>12.0</v>
      </c>
      <c r="G6" s="249"/>
      <c r="H6" s="250">
        <f t="shared" si="1"/>
        <v>71904.16667</v>
      </c>
      <c r="I6" s="257">
        <f t="shared" ref="I6:I13" si="3">H6</f>
        <v>71904.16667</v>
      </c>
      <c r="J6" s="69"/>
    </row>
    <row r="7">
      <c r="A7" s="87" t="s">
        <v>224</v>
      </c>
      <c r="B7" s="163"/>
      <c r="C7" s="163"/>
      <c r="D7" s="163"/>
      <c r="E7" s="134">
        <v>152554.27</v>
      </c>
      <c r="F7" s="256">
        <v>12.0</v>
      </c>
      <c r="G7" s="249"/>
      <c r="H7" s="250">
        <f t="shared" si="1"/>
        <v>12712.85583</v>
      </c>
      <c r="I7" s="257">
        <f t="shared" si="3"/>
        <v>12712.85583</v>
      </c>
      <c r="J7" s="69"/>
    </row>
    <row r="8">
      <c r="A8" s="87" t="s">
        <v>202</v>
      </c>
      <c r="B8" s="163"/>
      <c r="C8" s="163"/>
      <c r="D8" s="163"/>
      <c r="E8" s="134">
        <f>187779.93+1600</f>
        <v>189379.93</v>
      </c>
      <c r="F8" s="256">
        <v>12.0</v>
      </c>
      <c r="G8" s="249"/>
      <c r="H8" s="250">
        <f t="shared" si="1"/>
        <v>15781.66083</v>
      </c>
      <c r="I8" s="257">
        <f t="shared" si="3"/>
        <v>15781.66083</v>
      </c>
      <c r="J8" s="69"/>
    </row>
    <row r="9">
      <c r="A9" s="87" t="s">
        <v>148</v>
      </c>
      <c r="B9" s="258"/>
      <c r="C9" s="258"/>
      <c r="D9" s="258"/>
      <c r="E9" s="177">
        <f>200591+357+3000</f>
        <v>203948</v>
      </c>
      <c r="F9" s="256">
        <v>12.0</v>
      </c>
      <c r="G9" s="249"/>
      <c r="H9" s="250">
        <f t="shared" si="1"/>
        <v>16995.66667</v>
      </c>
      <c r="I9" s="257">
        <f t="shared" si="3"/>
        <v>16995.66667</v>
      </c>
      <c r="J9" s="69"/>
    </row>
    <row r="10">
      <c r="A10" s="87" t="s">
        <v>150</v>
      </c>
      <c r="B10" s="258"/>
      <c r="C10" s="258"/>
      <c r="D10" s="258"/>
      <c r="E10" s="177">
        <v>133245.0</v>
      </c>
      <c r="F10" s="256">
        <v>12.0</v>
      </c>
      <c r="G10" s="249"/>
      <c r="H10" s="250">
        <f t="shared" si="1"/>
        <v>11103.75</v>
      </c>
      <c r="I10" s="257">
        <f t="shared" si="3"/>
        <v>11103.75</v>
      </c>
      <c r="J10" s="69"/>
    </row>
    <row r="11">
      <c r="A11" s="87" t="s">
        <v>149</v>
      </c>
      <c r="B11" s="258"/>
      <c r="C11" s="258"/>
      <c r="D11" s="258"/>
      <c r="E11" s="177">
        <v>0.0</v>
      </c>
      <c r="F11" s="256">
        <v>12.0</v>
      </c>
      <c r="G11" s="249"/>
      <c r="H11" s="250">
        <f t="shared" si="1"/>
        <v>0</v>
      </c>
      <c r="I11" s="257">
        <f t="shared" si="3"/>
        <v>0</v>
      </c>
      <c r="J11" s="69"/>
    </row>
    <row r="12">
      <c r="A12" s="87" t="s">
        <v>225</v>
      </c>
      <c r="B12" s="258"/>
      <c r="C12" s="258"/>
      <c r="D12" s="258"/>
      <c r="E12" s="177">
        <f>1500+6600</f>
        <v>8100</v>
      </c>
      <c r="F12" s="256">
        <v>12.0</v>
      </c>
      <c r="G12" s="249"/>
      <c r="H12" s="250">
        <f t="shared" si="1"/>
        <v>675</v>
      </c>
      <c r="I12" s="257">
        <f t="shared" si="3"/>
        <v>675</v>
      </c>
      <c r="J12" s="69"/>
    </row>
    <row r="13">
      <c r="A13" s="87" t="s">
        <v>13</v>
      </c>
      <c r="B13" s="258"/>
      <c r="C13" s="258"/>
      <c r="D13" s="258"/>
      <c r="E13" s="177"/>
      <c r="F13" s="256">
        <v>12.0</v>
      </c>
      <c r="G13" s="249"/>
      <c r="H13" s="250">
        <f t="shared" si="1"/>
        <v>0</v>
      </c>
      <c r="I13" s="257">
        <f t="shared" si="3"/>
        <v>0</v>
      </c>
      <c r="J13" s="69"/>
    </row>
    <row r="14">
      <c r="A14" s="87" t="s">
        <v>226</v>
      </c>
      <c r="B14" s="258"/>
      <c r="C14" s="258"/>
      <c r="D14" s="258"/>
      <c r="E14" s="177"/>
      <c r="F14" s="256">
        <v>12.0</v>
      </c>
      <c r="G14" s="249"/>
      <c r="H14" s="250">
        <f t="shared" si="1"/>
        <v>0</v>
      </c>
      <c r="I14" s="257"/>
      <c r="J14" s="69"/>
    </row>
    <row r="15">
      <c r="A15" s="87" t="s">
        <v>227</v>
      </c>
      <c r="B15" s="258"/>
      <c r="C15" s="258"/>
      <c r="D15" s="258"/>
      <c r="E15" s="177">
        <v>509.0</v>
      </c>
      <c r="F15" s="256">
        <v>12.0</v>
      </c>
      <c r="G15" s="249"/>
      <c r="H15" s="250">
        <f t="shared" si="1"/>
        <v>42.41666667</v>
      </c>
      <c r="I15" s="257">
        <f t="shared" ref="I15:I16" si="4">H15</f>
        <v>42.41666667</v>
      </c>
      <c r="J15" s="69"/>
    </row>
    <row r="16">
      <c r="A16" s="68" t="s">
        <v>155</v>
      </c>
      <c r="B16" s="72"/>
      <c r="C16" s="71"/>
      <c r="D16" s="71"/>
      <c r="E16" s="72"/>
      <c r="F16" s="249"/>
      <c r="G16" s="259"/>
      <c r="H16" s="250">
        <f>D33</f>
        <v>17035.41667</v>
      </c>
      <c r="I16" s="257">
        <f t="shared" si="4"/>
        <v>17035.41667</v>
      </c>
      <c r="J16" s="69"/>
    </row>
    <row r="17">
      <c r="A17" s="68" t="s">
        <v>152</v>
      </c>
      <c r="B17" s="72"/>
      <c r="C17" s="71"/>
      <c r="D17" s="260">
        <f>B22+B23</f>
        <v>7406</v>
      </c>
      <c r="E17" s="72"/>
      <c r="F17" s="249"/>
      <c r="G17" s="259">
        <f>'Общие расходы ГЭ'!G16</f>
        <v>9.195626292</v>
      </c>
      <c r="H17" s="249"/>
      <c r="I17" s="257">
        <f t="shared" ref="I17:I19" si="5">D17*G17</f>
        <v>68102.80832</v>
      </c>
      <c r="J17" s="69"/>
    </row>
    <row r="18">
      <c r="A18" s="68" t="s">
        <v>153</v>
      </c>
      <c r="B18" s="72"/>
      <c r="C18" s="71"/>
      <c r="D18" s="260">
        <f>B22+B23</f>
        <v>7406</v>
      </c>
      <c r="E18" s="72"/>
      <c r="F18" s="249"/>
      <c r="G18" s="259">
        <f>'Общие расходы г. Тюмень'!F4</f>
        <v>0.2743933235</v>
      </c>
      <c r="H18" s="249"/>
      <c r="I18" s="257">
        <f t="shared" si="5"/>
        <v>2032.156954</v>
      </c>
      <c r="J18" s="69"/>
    </row>
    <row r="19">
      <c r="A19" s="68" t="s">
        <v>156</v>
      </c>
      <c r="B19" s="72"/>
      <c r="C19" s="71"/>
      <c r="D19" s="260">
        <f>B22+B23</f>
        <v>7406</v>
      </c>
      <c r="E19" s="72"/>
      <c r="F19" s="249"/>
      <c r="G19" s="250">
        <f>'Общие расходы г. Тюмень'!F30</f>
        <v>0.7480139342</v>
      </c>
      <c r="H19" s="249"/>
      <c r="I19" s="261">
        <f t="shared" si="5"/>
        <v>5539.791197</v>
      </c>
      <c r="J19" s="69"/>
    </row>
    <row r="20">
      <c r="A20" s="262" t="s">
        <v>62</v>
      </c>
      <c r="B20" s="263"/>
      <c r="C20" s="263"/>
      <c r="D20" s="263"/>
      <c r="E20" s="263"/>
      <c r="F20" s="263"/>
      <c r="G20" s="185"/>
      <c r="H20" s="264"/>
      <c r="I20" s="261">
        <f>SUM(I3:I19)</f>
        <v>289058.984</v>
      </c>
    </row>
    <row r="21">
      <c r="A21" s="251"/>
      <c r="B21" s="179"/>
      <c r="C21" s="179"/>
      <c r="D21" s="179"/>
      <c r="E21" s="179"/>
      <c r="F21" s="235"/>
      <c r="G21" s="235"/>
      <c r="H21" s="235"/>
      <c r="I21" s="179"/>
    </row>
    <row r="22">
      <c r="A22" s="68" t="s">
        <v>205</v>
      </c>
      <c r="B22" s="265">
        <f>'Исходные данные'!B25</f>
        <v>6652</v>
      </c>
      <c r="C22" s="179"/>
      <c r="D22" s="179"/>
      <c r="E22" s="179"/>
      <c r="F22" s="235"/>
      <c r="G22" s="235"/>
      <c r="H22" s="235"/>
      <c r="I22" s="179"/>
    </row>
    <row r="23">
      <c r="A23" s="68" t="s">
        <v>206</v>
      </c>
      <c r="B23" s="265">
        <f>'Исходные данные'!C25</f>
        <v>754</v>
      </c>
      <c r="C23" s="179"/>
      <c r="D23" s="179"/>
      <c r="E23" s="179"/>
      <c r="F23" s="235"/>
      <c r="G23" s="235"/>
      <c r="H23" s="235"/>
      <c r="I23" s="179"/>
    </row>
    <row r="24">
      <c r="A24" s="68" t="s">
        <v>207</v>
      </c>
      <c r="B24" s="265" t="str">
        <f>'Исходные данные'!D25</f>
        <v/>
      </c>
      <c r="C24" s="179"/>
      <c r="D24" s="179"/>
      <c r="E24" s="179"/>
      <c r="F24" s="235"/>
      <c r="G24" s="235"/>
      <c r="H24" s="235"/>
      <c r="I24" s="179"/>
    </row>
    <row r="25">
      <c r="A25" s="251"/>
      <c r="B25" s="179"/>
      <c r="C25" s="179"/>
      <c r="D25" s="179"/>
      <c r="E25" s="179"/>
      <c r="F25" s="235"/>
      <c r="G25" s="235"/>
      <c r="H25" s="235"/>
      <c r="I25" s="74"/>
    </row>
    <row r="26">
      <c r="A26" s="266" t="s">
        <v>208</v>
      </c>
      <c r="B26" s="263"/>
      <c r="C26" s="263"/>
      <c r="D26" s="185"/>
      <c r="E26" s="267"/>
      <c r="F26" s="69"/>
      <c r="G26" s="69"/>
      <c r="H26" s="69"/>
      <c r="I26" s="69"/>
    </row>
    <row r="27">
      <c r="A27" s="268" t="s">
        <v>209</v>
      </c>
      <c r="B27" s="269" t="s">
        <v>210</v>
      </c>
      <c r="C27" s="93" t="s">
        <v>5</v>
      </c>
      <c r="D27" s="269" t="s">
        <v>211</v>
      </c>
      <c r="E27" s="270"/>
    </row>
    <row r="28">
      <c r="A28" s="68" t="s">
        <v>212</v>
      </c>
      <c r="B28" s="271">
        <f>18000+85000+8000+16500</f>
        <v>127500</v>
      </c>
      <c r="C28" s="134">
        <v>12.0</v>
      </c>
      <c r="D28" s="271">
        <f t="shared" ref="D28:D31" si="6">B28/C28</f>
        <v>10625</v>
      </c>
      <c r="E28" s="74"/>
    </row>
    <row r="29">
      <c r="A29" s="68" t="s">
        <v>228</v>
      </c>
      <c r="B29" s="271">
        <v>8000.0</v>
      </c>
      <c r="C29" s="134">
        <v>12.0</v>
      </c>
      <c r="D29" s="271">
        <f t="shared" si="6"/>
        <v>666.6666667</v>
      </c>
      <c r="E29" s="74"/>
    </row>
    <row r="30">
      <c r="A30" s="68" t="s">
        <v>213</v>
      </c>
      <c r="B30" s="271">
        <v>40000.0</v>
      </c>
      <c r="C30" s="134">
        <v>12.0</v>
      </c>
      <c r="D30" s="271">
        <f t="shared" si="6"/>
        <v>3333.333333</v>
      </c>
      <c r="E30" s="74"/>
    </row>
    <row r="31">
      <c r="A31" s="68" t="s">
        <v>229</v>
      </c>
      <c r="B31" s="271">
        <v>28925.0</v>
      </c>
      <c r="C31" s="134">
        <v>12.0</v>
      </c>
      <c r="D31" s="271">
        <f t="shared" si="6"/>
        <v>2410.416667</v>
      </c>
      <c r="E31" s="74"/>
    </row>
    <row r="32">
      <c r="A32" s="272"/>
      <c r="B32" s="271"/>
      <c r="C32" s="134"/>
      <c r="D32" s="271"/>
      <c r="E32" s="74"/>
    </row>
    <row r="33">
      <c r="A33" s="273"/>
      <c r="B33" s="274">
        <f>SUM(B28:B32)</f>
        <v>204425</v>
      </c>
      <c r="C33" s="275">
        <v>12.0</v>
      </c>
      <c r="D33" s="274">
        <f>B33/C33</f>
        <v>17035.41667</v>
      </c>
      <c r="E33" s="276"/>
      <c r="F33" s="169"/>
      <c r="G33" s="168"/>
    </row>
    <row r="34">
      <c r="A34" s="251"/>
    </row>
    <row r="35">
      <c r="A35" s="251"/>
    </row>
    <row r="36">
      <c r="A36" s="251"/>
    </row>
    <row r="37">
      <c r="A37" s="251"/>
    </row>
    <row r="38">
      <c r="A38" s="251"/>
    </row>
    <row r="39">
      <c r="A39" s="251"/>
    </row>
    <row r="40">
      <c r="A40" s="251"/>
    </row>
    <row r="41">
      <c r="A41" s="251"/>
    </row>
    <row r="42">
      <c r="A42" s="251"/>
    </row>
    <row r="43">
      <c r="A43" s="251"/>
    </row>
    <row r="44">
      <c r="A44" s="251"/>
    </row>
    <row r="45">
      <c r="A45" s="251"/>
    </row>
    <row r="46">
      <c r="A46" s="251"/>
    </row>
    <row r="47">
      <c r="A47" s="251"/>
    </row>
    <row r="48">
      <c r="A48" s="251"/>
    </row>
    <row r="49">
      <c r="A49" s="251"/>
    </row>
    <row r="50">
      <c r="A50" s="251"/>
    </row>
    <row r="51">
      <c r="A51" s="251"/>
    </row>
    <row r="52">
      <c r="A52" s="251"/>
    </row>
    <row r="53">
      <c r="A53" s="251"/>
    </row>
    <row r="54">
      <c r="A54" s="251"/>
    </row>
    <row r="55">
      <c r="A55" s="251"/>
    </row>
    <row r="56">
      <c r="A56" s="251"/>
    </row>
    <row r="57">
      <c r="A57" s="251"/>
    </row>
    <row r="58">
      <c r="A58" s="251"/>
    </row>
    <row r="59">
      <c r="A59" s="251"/>
    </row>
    <row r="60">
      <c r="A60" s="251"/>
    </row>
    <row r="61">
      <c r="A61" s="251"/>
    </row>
    <row r="62">
      <c r="A62" s="251"/>
    </row>
    <row r="63">
      <c r="A63" s="251"/>
    </row>
    <row r="64">
      <c r="A64" s="251"/>
    </row>
    <row r="65">
      <c r="A65" s="251"/>
    </row>
    <row r="66">
      <c r="A66" s="251"/>
    </row>
    <row r="67">
      <c r="A67" s="251"/>
    </row>
    <row r="68">
      <c r="A68" s="251"/>
    </row>
    <row r="69">
      <c r="A69" s="251"/>
    </row>
    <row r="70">
      <c r="A70" s="251"/>
    </row>
    <row r="71">
      <c r="A71" s="251"/>
    </row>
    <row r="72">
      <c r="A72" s="251"/>
    </row>
    <row r="73">
      <c r="A73" s="251"/>
    </row>
    <row r="74">
      <c r="A74" s="251"/>
    </row>
    <row r="75">
      <c r="A75" s="251"/>
    </row>
    <row r="76">
      <c r="A76" s="251"/>
    </row>
    <row r="77">
      <c r="A77" s="251"/>
    </row>
    <row r="78">
      <c r="A78" s="251"/>
    </row>
    <row r="79">
      <c r="A79" s="251"/>
    </row>
    <row r="80">
      <c r="A80" s="251"/>
    </row>
    <row r="81">
      <c r="A81" s="251"/>
    </row>
    <row r="82">
      <c r="A82" s="251"/>
    </row>
    <row r="83">
      <c r="A83" s="251"/>
    </row>
    <row r="84">
      <c r="A84" s="251"/>
    </row>
    <row r="85">
      <c r="A85" s="251"/>
    </row>
    <row r="86">
      <c r="A86" s="251"/>
    </row>
    <row r="87">
      <c r="A87" s="251"/>
    </row>
    <row r="88">
      <c r="A88" s="251"/>
    </row>
    <row r="89">
      <c r="A89" s="251"/>
    </row>
    <row r="90">
      <c r="A90" s="251"/>
    </row>
    <row r="91">
      <c r="A91" s="251"/>
    </row>
    <row r="92">
      <c r="A92" s="251"/>
    </row>
    <row r="93">
      <c r="A93" s="251"/>
    </row>
    <row r="94">
      <c r="A94" s="251"/>
    </row>
    <row r="95">
      <c r="A95" s="251"/>
    </row>
    <row r="96">
      <c r="A96" s="251"/>
    </row>
    <row r="97">
      <c r="A97" s="251"/>
    </row>
    <row r="98">
      <c r="A98" s="251"/>
    </row>
    <row r="99">
      <c r="A99" s="251"/>
    </row>
    <row r="100">
      <c r="A100" s="251"/>
    </row>
    <row r="101">
      <c r="A101" s="251"/>
    </row>
    <row r="102">
      <c r="A102" s="251"/>
    </row>
    <row r="103">
      <c r="A103" s="251"/>
    </row>
    <row r="104">
      <c r="A104" s="251"/>
    </row>
    <row r="105">
      <c r="A105" s="251"/>
    </row>
    <row r="106">
      <c r="A106" s="251"/>
    </row>
    <row r="107">
      <c r="A107" s="251"/>
    </row>
    <row r="108">
      <c r="A108" s="251"/>
    </row>
    <row r="109">
      <c r="A109" s="251"/>
    </row>
    <row r="110">
      <c r="A110" s="251"/>
    </row>
    <row r="111">
      <c r="A111" s="251"/>
    </row>
    <row r="112">
      <c r="A112" s="251"/>
    </row>
    <row r="113">
      <c r="A113" s="251"/>
    </row>
    <row r="114">
      <c r="A114" s="251"/>
    </row>
    <row r="115">
      <c r="A115" s="251"/>
    </row>
    <row r="116">
      <c r="A116" s="251"/>
    </row>
    <row r="117">
      <c r="A117" s="251"/>
    </row>
    <row r="118">
      <c r="A118" s="251"/>
    </row>
    <row r="119">
      <c r="A119" s="251"/>
    </row>
    <row r="120">
      <c r="A120" s="251"/>
    </row>
    <row r="121">
      <c r="A121" s="251"/>
    </row>
    <row r="122">
      <c r="A122" s="251"/>
    </row>
    <row r="123">
      <c r="A123" s="251"/>
    </row>
    <row r="124">
      <c r="A124" s="251"/>
    </row>
    <row r="125">
      <c r="A125" s="251"/>
    </row>
    <row r="126">
      <c r="A126" s="251"/>
    </row>
    <row r="127">
      <c r="A127" s="251"/>
    </row>
    <row r="128">
      <c r="A128" s="251"/>
    </row>
    <row r="129">
      <c r="A129" s="251"/>
    </row>
    <row r="130">
      <c r="A130" s="251"/>
    </row>
    <row r="131">
      <c r="A131" s="251"/>
    </row>
    <row r="132">
      <c r="A132" s="251"/>
    </row>
    <row r="133">
      <c r="A133" s="251"/>
    </row>
    <row r="134">
      <c r="A134" s="251"/>
    </row>
    <row r="135">
      <c r="A135" s="251"/>
    </row>
    <row r="136">
      <c r="A136" s="251"/>
    </row>
    <row r="137">
      <c r="A137" s="251"/>
    </row>
    <row r="138">
      <c r="A138" s="251"/>
    </row>
    <row r="139">
      <c r="A139" s="251"/>
    </row>
    <row r="140">
      <c r="A140" s="251"/>
    </row>
    <row r="141">
      <c r="A141" s="251"/>
    </row>
    <row r="142">
      <c r="A142" s="251"/>
    </row>
    <row r="143">
      <c r="A143" s="251"/>
    </row>
    <row r="144">
      <c r="A144" s="251"/>
    </row>
    <row r="145">
      <c r="A145" s="251"/>
    </row>
    <row r="146">
      <c r="A146" s="251"/>
    </row>
    <row r="147">
      <c r="A147" s="251"/>
    </row>
    <row r="148">
      <c r="A148" s="251"/>
    </row>
    <row r="149">
      <c r="A149" s="251"/>
    </row>
    <row r="150">
      <c r="A150" s="251"/>
    </row>
    <row r="151">
      <c r="A151" s="251"/>
    </row>
    <row r="152">
      <c r="A152" s="251"/>
    </row>
    <row r="153">
      <c r="A153" s="251"/>
    </row>
    <row r="154">
      <c r="A154" s="251"/>
    </row>
    <row r="155">
      <c r="A155" s="251"/>
    </row>
    <row r="156">
      <c r="A156" s="251"/>
    </row>
    <row r="157">
      <c r="A157" s="251"/>
    </row>
    <row r="158">
      <c r="A158" s="251"/>
    </row>
    <row r="159">
      <c r="A159" s="251"/>
    </row>
    <row r="160">
      <c r="A160" s="251"/>
    </row>
    <row r="161">
      <c r="A161" s="251"/>
    </row>
    <row r="162">
      <c r="A162" s="251"/>
    </row>
    <row r="163">
      <c r="A163" s="251"/>
    </row>
    <row r="164">
      <c r="A164" s="251"/>
    </row>
    <row r="165">
      <c r="A165" s="251"/>
    </row>
    <row r="166">
      <c r="A166" s="251"/>
    </row>
    <row r="167">
      <c r="A167" s="251"/>
    </row>
    <row r="168">
      <c r="A168" s="251"/>
    </row>
    <row r="169">
      <c r="A169" s="251"/>
    </row>
    <row r="170">
      <c r="A170" s="251"/>
    </row>
    <row r="171">
      <c r="A171" s="251"/>
    </row>
    <row r="172">
      <c r="A172" s="251"/>
    </row>
    <row r="173">
      <c r="A173" s="251"/>
    </row>
    <row r="174">
      <c r="A174" s="251"/>
    </row>
    <row r="175">
      <c r="A175" s="251"/>
    </row>
    <row r="176">
      <c r="A176" s="251"/>
    </row>
    <row r="177">
      <c r="A177" s="251"/>
    </row>
    <row r="178">
      <c r="A178" s="251"/>
    </row>
    <row r="179">
      <c r="A179" s="251"/>
    </row>
    <row r="180">
      <c r="A180" s="251"/>
    </row>
    <row r="181">
      <c r="A181" s="251"/>
    </row>
    <row r="182">
      <c r="A182" s="251"/>
    </row>
    <row r="183">
      <c r="A183" s="251"/>
    </row>
    <row r="184">
      <c r="A184" s="251"/>
    </row>
    <row r="185">
      <c r="A185" s="251"/>
    </row>
    <row r="186">
      <c r="A186" s="251"/>
    </row>
    <row r="187">
      <c r="A187" s="251"/>
    </row>
    <row r="188">
      <c r="A188" s="251"/>
    </row>
    <row r="189">
      <c r="A189" s="251"/>
    </row>
    <row r="190">
      <c r="A190" s="251"/>
    </row>
    <row r="191">
      <c r="A191" s="251"/>
    </row>
    <row r="192">
      <c r="A192" s="251"/>
    </row>
    <row r="193">
      <c r="A193" s="251"/>
    </row>
    <row r="194">
      <c r="A194" s="251"/>
    </row>
    <row r="195">
      <c r="A195" s="251"/>
    </row>
    <row r="196">
      <c r="A196" s="251"/>
    </row>
    <row r="197">
      <c r="A197" s="251"/>
    </row>
    <row r="198">
      <c r="A198" s="251"/>
    </row>
    <row r="199">
      <c r="A199" s="251"/>
    </row>
    <row r="200">
      <c r="A200" s="251"/>
    </row>
    <row r="201">
      <c r="A201" s="251"/>
    </row>
    <row r="202">
      <c r="A202" s="251"/>
    </row>
    <row r="203">
      <c r="A203" s="251"/>
    </row>
    <row r="204">
      <c r="A204" s="251"/>
    </row>
    <row r="205">
      <c r="A205" s="251"/>
    </row>
    <row r="206">
      <c r="A206" s="251"/>
    </row>
    <row r="207">
      <c r="A207" s="251"/>
    </row>
    <row r="208">
      <c r="A208" s="251"/>
    </row>
    <row r="209">
      <c r="A209" s="251"/>
    </row>
    <row r="210">
      <c r="A210" s="251"/>
    </row>
    <row r="211">
      <c r="A211" s="251"/>
    </row>
    <row r="212">
      <c r="A212" s="251"/>
    </row>
    <row r="213">
      <c r="A213" s="251"/>
    </row>
    <row r="214">
      <c r="A214" s="251"/>
    </row>
    <row r="215">
      <c r="A215" s="251"/>
    </row>
    <row r="216">
      <c r="A216" s="251"/>
    </row>
    <row r="217">
      <c r="A217" s="251"/>
    </row>
    <row r="218">
      <c r="A218" s="251"/>
    </row>
    <row r="219">
      <c r="A219" s="251"/>
    </row>
    <row r="220">
      <c r="A220" s="251"/>
    </row>
    <row r="221">
      <c r="A221" s="251"/>
    </row>
    <row r="222">
      <c r="A222" s="251"/>
    </row>
    <row r="223">
      <c r="A223" s="251"/>
    </row>
    <row r="224">
      <c r="A224" s="251"/>
    </row>
    <row r="225">
      <c r="A225" s="251"/>
    </row>
    <row r="226">
      <c r="A226" s="251"/>
    </row>
    <row r="227">
      <c r="A227" s="251"/>
    </row>
    <row r="228">
      <c r="A228" s="251"/>
    </row>
    <row r="229">
      <c r="A229" s="251"/>
    </row>
    <row r="230">
      <c r="A230" s="251"/>
    </row>
    <row r="231">
      <c r="A231" s="251"/>
    </row>
    <row r="232">
      <c r="A232" s="251"/>
    </row>
    <row r="233">
      <c r="A233" s="251"/>
    </row>
    <row r="234">
      <c r="A234" s="251"/>
    </row>
    <row r="235">
      <c r="A235" s="251"/>
    </row>
    <row r="236">
      <c r="A236" s="251"/>
    </row>
    <row r="237">
      <c r="A237" s="251"/>
    </row>
    <row r="238">
      <c r="A238" s="251"/>
    </row>
    <row r="239">
      <c r="A239" s="251"/>
    </row>
    <row r="240">
      <c r="A240" s="251"/>
    </row>
    <row r="241">
      <c r="A241" s="251"/>
    </row>
    <row r="242">
      <c r="A242" s="251"/>
    </row>
    <row r="243">
      <c r="A243" s="251"/>
    </row>
    <row r="244">
      <c r="A244" s="251"/>
    </row>
    <row r="245">
      <c r="A245" s="251"/>
    </row>
    <row r="246">
      <c r="A246" s="251"/>
    </row>
    <row r="247">
      <c r="A247" s="251"/>
    </row>
    <row r="248">
      <c r="A248" s="251"/>
    </row>
    <row r="249">
      <c r="A249" s="251"/>
    </row>
    <row r="250">
      <c r="A250" s="251"/>
    </row>
    <row r="251">
      <c r="A251" s="251"/>
    </row>
    <row r="252">
      <c r="A252" s="251"/>
    </row>
    <row r="253">
      <c r="A253" s="251"/>
    </row>
    <row r="254">
      <c r="A254" s="251"/>
    </row>
    <row r="255">
      <c r="A255" s="251"/>
    </row>
    <row r="256">
      <c r="A256" s="251"/>
    </row>
    <row r="257">
      <c r="A257" s="251"/>
    </row>
    <row r="258">
      <c r="A258" s="251"/>
    </row>
    <row r="259">
      <c r="A259" s="251"/>
    </row>
    <row r="260">
      <c r="A260" s="251"/>
    </row>
    <row r="261">
      <c r="A261" s="251"/>
    </row>
    <row r="262">
      <c r="A262" s="251"/>
    </row>
    <row r="263">
      <c r="A263" s="251"/>
    </row>
    <row r="264">
      <c r="A264" s="251"/>
    </row>
    <row r="265">
      <c r="A265" s="251"/>
    </row>
    <row r="266">
      <c r="A266" s="251"/>
    </row>
    <row r="267">
      <c r="A267" s="251"/>
    </row>
    <row r="268">
      <c r="A268" s="251"/>
    </row>
    <row r="269">
      <c r="A269" s="251"/>
    </row>
    <row r="270">
      <c r="A270" s="251"/>
    </row>
    <row r="271">
      <c r="A271" s="251"/>
    </row>
    <row r="272">
      <c r="A272" s="251"/>
    </row>
    <row r="273">
      <c r="A273" s="251"/>
    </row>
    <row r="274">
      <c r="A274" s="251"/>
    </row>
    <row r="275">
      <c r="A275" s="251"/>
    </row>
    <row r="276">
      <c r="A276" s="251"/>
    </row>
    <row r="277">
      <c r="A277" s="251"/>
    </row>
    <row r="278">
      <c r="A278" s="251"/>
    </row>
    <row r="279">
      <c r="A279" s="251"/>
    </row>
    <row r="280">
      <c r="A280" s="251"/>
    </row>
    <row r="281">
      <c r="A281" s="251"/>
    </row>
    <row r="282">
      <c r="A282" s="251"/>
    </row>
    <row r="283">
      <c r="A283" s="251"/>
    </row>
    <row r="284">
      <c r="A284" s="251"/>
    </row>
    <row r="285">
      <c r="A285" s="251"/>
    </row>
    <row r="286">
      <c r="A286" s="251"/>
    </row>
    <row r="287">
      <c r="A287" s="251"/>
    </row>
    <row r="288">
      <c r="A288" s="251"/>
    </row>
    <row r="289">
      <c r="A289" s="251"/>
    </row>
    <row r="290">
      <c r="A290" s="251"/>
    </row>
    <row r="291">
      <c r="A291" s="251"/>
    </row>
    <row r="292">
      <c r="A292" s="251"/>
    </row>
    <row r="293">
      <c r="A293" s="251"/>
    </row>
    <row r="294">
      <c r="A294" s="251"/>
    </row>
    <row r="295">
      <c r="A295" s="251"/>
    </row>
    <row r="296">
      <c r="A296" s="251"/>
    </row>
    <row r="297">
      <c r="A297" s="251"/>
    </row>
    <row r="298">
      <c r="A298" s="251"/>
    </row>
    <row r="299">
      <c r="A299" s="251"/>
    </row>
    <row r="300">
      <c r="A300" s="251"/>
    </row>
    <row r="301">
      <c r="A301" s="251"/>
    </row>
    <row r="302">
      <c r="A302" s="251"/>
    </row>
    <row r="303">
      <c r="A303" s="251"/>
    </row>
    <row r="304">
      <c r="A304" s="251"/>
    </row>
    <row r="305">
      <c r="A305" s="251"/>
    </row>
    <row r="306">
      <c r="A306" s="251"/>
    </row>
    <row r="307">
      <c r="A307" s="251"/>
    </row>
    <row r="308">
      <c r="A308" s="251"/>
    </row>
    <row r="309">
      <c r="A309" s="251"/>
    </row>
    <row r="310">
      <c r="A310" s="251"/>
    </row>
    <row r="311">
      <c r="A311" s="251"/>
    </row>
    <row r="312">
      <c r="A312" s="251"/>
    </row>
    <row r="313">
      <c r="A313" s="251"/>
    </row>
    <row r="314">
      <c r="A314" s="251"/>
    </row>
    <row r="315">
      <c r="A315" s="251"/>
    </row>
    <row r="316">
      <c r="A316" s="251"/>
    </row>
    <row r="317">
      <c r="A317" s="251"/>
    </row>
    <row r="318">
      <c r="A318" s="251"/>
    </row>
    <row r="319">
      <c r="A319" s="251"/>
    </row>
    <row r="320">
      <c r="A320" s="251"/>
    </row>
    <row r="321">
      <c r="A321" s="251"/>
    </row>
    <row r="322">
      <c r="A322" s="251"/>
    </row>
    <row r="323">
      <c r="A323" s="251"/>
    </row>
    <row r="324">
      <c r="A324" s="251"/>
    </row>
    <row r="325">
      <c r="A325" s="251"/>
    </row>
    <row r="326">
      <c r="A326" s="251"/>
    </row>
    <row r="327">
      <c r="A327" s="251"/>
    </row>
    <row r="328">
      <c r="A328" s="251"/>
    </row>
    <row r="329">
      <c r="A329" s="251"/>
    </row>
    <row r="330">
      <c r="A330" s="251"/>
    </row>
    <row r="331">
      <c r="A331" s="251"/>
    </row>
    <row r="332">
      <c r="A332" s="251"/>
    </row>
    <row r="333">
      <c r="A333" s="251"/>
    </row>
    <row r="334">
      <c r="A334" s="251"/>
    </row>
    <row r="335">
      <c r="A335" s="251"/>
    </row>
    <row r="336">
      <c r="A336" s="251"/>
    </row>
    <row r="337">
      <c r="A337" s="251"/>
    </row>
    <row r="338">
      <c r="A338" s="251"/>
    </row>
    <row r="339">
      <c r="A339" s="251"/>
    </row>
    <row r="340">
      <c r="A340" s="251"/>
    </row>
    <row r="341">
      <c r="A341" s="251"/>
    </row>
    <row r="342">
      <c r="A342" s="251"/>
    </row>
    <row r="343">
      <c r="A343" s="251"/>
    </row>
    <row r="344">
      <c r="A344" s="251"/>
    </row>
    <row r="345">
      <c r="A345" s="251"/>
    </row>
    <row r="346">
      <c r="A346" s="251"/>
    </row>
    <row r="347">
      <c r="A347" s="251"/>
    </row>
    <row r="348">
      <c r="A348" s="251"/>
    </row>
    <row r="349">
      <c r="A349" s="251"/>
    </row>
    <row r="350">
      <c r="A350" s="251"/>
    </row>
    <row r="351">
      <c r="A351" s="251"/>
    </row>
    <row r="352">
      <c r="A352" s="251"/>
    </row>
    <row r="353">
      <c r="A353" s="251"/>
    </row>
    <row r="354">
      <c r="A354" s="251"/>
    </row>
    <row r="355">
      <c r="A355" s="251"/>
    </row>
    <row r="356">
      <c r="A356" s="251"/>
    </row>
    <row r="357">
      <c r="A357" s="251"/>
    </row>
    <row r="358">
      <c r="A358" s="251"/>
    </row>
    <row r="359">
      <c r="A359" s="251"/>
    </row>
    <row r="360">
      <c r="A360" s="251"/>
    </row>
    <row r="361">
      <c r="A361" s="251"/>
    </row>
    <row r="362">
      <c r="A362" s="251"/>
    </row>
    <row r="363">
      <c r="A363" s="251"/>
    </row>
    <row r="364">
      <c r="A364" s="251"/>
    </row>
    <row r="365">
      <c r="A365" s="251"/>
    </row>
    <row r="366">
      <c r="A366" s="251"/>
    </row>
    <row r="367">
      <c r="A367" s="251"/>
    </row>
    <row r="368">
      <c r="A368" s="251"/>
    </row>
    <row r="369">
      <c r="A369" s="251"/>
    </row>
    <row r="370">
      <c r="A370" s="251"/>
    </row>
    <row r="371">
      <c r="A371" s="251"/>
    </row>
    <row r="372">
      <c r="A372" s="251"/>
    </row>
    <row r="373">
      <c r="A373" s="251"/>
    </row>
    <row r="374">
      <c r="A374" s="251"/>
    </row>
    <row r="375">
      <c r="A375" s="251"/>
    </row>
    <row r="376">
      <c r="A376" s="251"/>
    </row>
    <row r="377">
      <c r="A377" s="251"/>
    </row>
    <row r="378">
      <c r="A378" s="251"/>
    </row>
    <row r="379">
      <c r="A379" s="251"/>
    </row>
    <row r="380">
      <c r="A380" s="251"/>
    </row>
    <row r="381">
      <c r="A381" s="251"/>
    </row>
    <row r="382">
      <c r="A382" s="251"/>
    </row>
    <row r="383">
      <c r="A383" s="251"/>
    </row>
    <row r="384">
      <c r="A384" s="251"/>
    </row>
    <row r="385">
      <c r="A385" s="251"/>
    </row>
    <row r="386">
      <c r="A386" s="251"/>
    </row>
    <row r="387">
      <c r="A387" s="251"/>
    </row>
    <row r="388">
      <c r="A388" s="251"/>
    </row>
    <row r="389">
      <c r="A389" s="251"/>
    </row>
    <row r="390">
      <c r="A390" s="251"/>
    </row>
    <row r="391">
      <c r="A391" s="251"/>
    </row>
    <row r="392">
      <c r="A392" s="251"/>
    </row>
    <row r="393">
      <c r="A393" s="251"/>
    </row>
    <row r="394">
      <c r="A394" s="251"/>
    </row>
    <row r="395">
      <c r="A395" s="251"/>
    </row>
    <row r="396">
      <c r="A396" s="251"/>
    </row>
    <row r="397">
      <c r="A397" s="251"/>
    </row>
    <row r="398">
      <c r="A398" s="251"/>
    </row>
    <row r="399">
      <c r="A399" s="251"/>
    </row>
    <row r="400">
      <c r="A400" s="251"/>
    </row>
    <row r="401">
      <c r="A401" s="251"/>
    </row>
    <row r="402">
      <c r="A402" s="251"/>
    </row>
    <row r="403">
      <c r="A403" s="251"/>
    </row>
    <row r="404">
      <c r="A404" s="251"/>
    </row>
    <row r="405">
      <c r="A405" s="251"/>
    </row>
    <row r="406">
      <c r="A406" s="251"/>
    </row>
    <row r="407">
      <c r="A407" s="251"/>
    </row>
    <row r="408">
      <c r="A408" s="251"/>
    </row>
    <row r="409">
      <c r="A409" s="251"/>
    </row>
    <row r="410">
      <c r="A410" s="251"/>
    </row>
    <row r="411">
      <c r="A411" s="251"/>
    </row>
    <row r="412">
      <c r="A412" s="251"/>
    </row>
    <row r="413">
      <c r="A413" s="251"/>
    </row>
    <row r="414">
      <c r="A414" s="251"/>
    </row>
    <row r="415">
      <c r="A415" s="251"/>
    </row>
    <row r="416">
      <c r="A416" s="251"/>
    </row>
    <row r="417">
      <c r="A417" s="251"/>
    </row>
    <row r="418">
      <c r="A418" s="251"/>
    </row>
    <row r="419">
      <c r="A419" s="251"/>
    </row>
    <row r="420">
      <c r="A420" s="251"/>
    </row>
    <row r="421">
      <c r="A421" s="251"/>
    </row>
    <row r="422">
      <c r="A422" s="251"/>
    </row>
    <row r="423">
      <c r="A423" s="251"/>
    </row>
    <row r="424">
      <c r="A424" s="251"/>
    </row>
    <row r="425">
      <c r="A425" s="251"/>
    </row>
    <row r="426">
      <c r="A426" s="251"/>
    </row>
    <row r="427">
      <c r="A427" s="251"/>
    </row>
    <row r="428">
      <c r="A428" s="251"/>
    </row>
    <row r="429">
      <c r="A429" s="251"/>
    </row>
    <row r="430">
      <c r="A430" s="251"/>
    </row>
    <row r="431">
      <c r="A431" s="251"/>
    </row>
    <row r="432">
      <c r="A432" s="251"/>
    </row>
    <row r="433">
      <c r="A433" s="251"/>
    </row>
    <row r="434">
      <c r="A434" s="251"/>
    </row>
    <row r="435">
      <c r="A435" s="251"/>
    </row>
    <row r="436">
      <c r="A436" s="251"/>
    </row>
    <row r="437">
      <c r="A437" s="251"/>
    </row>
    <row r="438">
      <c r="A438" s="251"/>
    </row>
    <row r="439">
      <c r="A439" s="251"/>
    </row>
    <row r="440">
      <c r="A440" s="251"/>
    </row>
    <row r="441">
      <c r="A441" s="251"/>
    </row>
    <row r="442">
      <c r="A442" s="251"/>
    </row>
    <row r="443">
      <c r="A443" s="251"/>
    </row>
    <row r="444">
      <c r="A444" s="251"/>
    </row>
    <row r="445">
      <c r="A445" s="251"/>
    </row>
    <row r="446">
      <c r="A446" s="251"/>
    </row>
    <row r="447">
      <c r="A447" s="251"/>
    </row>
    <row r="448">
      <c r="A448" s="251"/>
    </row>
    <row r="449">
      <c r="A449" s="251"/>
    </row>
    <row r="450">
      <c r="A450" s="251"/>
    </row>
    <row r="451">
      <c r="A451" s="251"/>
    </row>
    <row r="452">
      <c r="A452" s="251"/>
    </row>
    <row r="453">
      <c r="A453" s="251"/>
    </row>
    <row r="454">
      <c r="A454" s="251"/>
    </row>
    <row r="455">
      <c r="A455" s="251"/>
    </row>
    <row r="456">
      <c r="A456" s="251"/>
    </row>
    <row r="457">
      <c r="A457" s="251"/>
    </row>
    <row r="458">
      <c r="A458" s="251"/>
    </row>
    <row r="459">
      <c r="A459" s="251"/>
    </row>
    <row r="460">
      <c r="A460" s="251"/>
    </row>
    <row r="461">
      <c r="A461" s="251"/>
    </row>
    <row r="462">
      <c r="A462" s="251"/>
    </row>
    <row r="463">
      <c r="A463" s="251"/>
    </row>
    <row r="464">
      <c r="A464" s="251"/>
    </row>
    <row r="465">
      <c r="A465" s="251"/>
    </row>
    <row r="466">
      <c r="A466" s="251"/>
    </row>
    <row r="467">
      <c r="A467" s="251"/>
    </row>
    <row r="468">
      <c r="A468" s="251"/>
    </row>
    <row r="469">
      <c r="A469" s="251"/>
    </row>
    <row r="470">
      <c r="A470" s="251"/>
    </row>
    <row r="471">
      <c r="A471" s="251"/>
    </row>
    <row r="472">
      <c r="A472" s="251"/>
    </row>
    <row r="473">
      <c r="A473" s="251"/>
    </row>
    <row r="474">
      <c r="A474" s="251"/>
    </row>
    <row r="475">
      <c r="A475" s="251"/>
    </row>
    <row r="476">
      <c r="A476" s="251"/>
    </row>
    <row r="477">
      <c r="A477" s="251"/>
    </row>
    <row r="478">
      <c r="A478" s="251"/>
    </row>
    <row r="479">
      <c r="A479" s="251"/>
    </row>
    <row r="480">
      <c r="A480" s="251"/>
    </row>
    <row r="481">
      <c r="A481" s="251"/>
    </row>
    <row r="482">
      <c r="A482" s="251"/>
    </row>
    <row r="483">
      <c r="A483" s="251"/>
    </row>
    <row r="484">
      <c r="A484" s="251"/>
    </row>
    <row r="485">
      <c r="A485" s="251"/>
    </row>
    <row r="486">
      <c r="A486" s="251"/>
    </row>
    <row r="487">
      <c r="A487" s="251"/>
    </row>
    <row r="488">
      <c r="A488" s="251"/>
    </row>
    <row r="489">
      <c r="A489" s="251"/>
    </row>
    <row r="490">
      <c r="A490" s="251"/>
    </row>
    <row r="491">
      <c r="A491" s="251"/>
    </row>
    <row r="492">
      <c r="A492" s="251"/>
    </row>
    <row r="493">
      <c r="A493" s="251"/>
    </row>
    <row r="494">
      <c r="A494" s="251"/>
    </row>
    <row r="495">
      <c r="A495" s="251"/>
    </row>
    <row r="496">
      <c r="A496" s="251"/>
    </row>
    <row r="497">
      <c r="A497" s="251"/>
    </row>
    <row r="498">
      <c r="A498" s="251"/>
    </row>
    <row r="499">
      <c r="A499" s="251"/>
    </row>
    <row r="500">
      <c r="A500" s="251"/>
    </row>
    <row r="501">
      <c r="A501" s="251"/>
    </row>
    <row r="502">
      <c r="A502" s="251"/>
    </row>
    <row r="503">
      <c r="A503" s="251"/>
    </row>
    <row r="504">
      <c r="A504" s="251"/>
    </row>
    <row r="505">
      <c r="A505" s="251"/>
    </row>
    <row r="506">
      <c r="A506" s="251"/>
    </row>
    <row r="507">
      <c r="A507" s="251"/>
    </row>
    <row r="508">
      <c r="A508" s="251"/>
    </row>
    <row r="509">
      <c r="A509" s="251"/>
    </row>
    <row r="510">
      <c r="A510" s="251"/>
    </row>
    <row r="511">
      <c r="A511" s="251"/>
    </row>
    <row r="512">
      <c r="A512" s="251"/>
    </row>
    <row r="513">
      <c r="A513" s="251"/>
    </row>
    <row r="514">
      <c r="A514" s="251"/>
    </row>
    <row r="515">
      <c r="A515" s="251"/>
    </row>
    <row r="516">
      <c r="A516" s="251"/>
    </row>
    <row r="517">
      <c r="A517" s="251"/>
    </row>
    <row r="518">
      <c r="A518" s="251"/>
    </row>
    <row r="519">
      <c r="A519" s="251"/>
    </row>
    <row r="520">
      <c r="A520" s="251"/>
    </row>
    <row r="521">
      <c r="A521" s="251"/>
    </row>
    <row r="522">
      <c r="A522" s="251"/>
    </row>
    <row r="523">
      <c r="A523" s="251"/>
    </row>
    <row r="524">
      <c r="A524" s="251"/>
    </row>
    <row r="525">
      <c r="A525" s="251"/>
    </row>
    <row r="526">
      <c r="A526" s="251"/>
    </row>
    <row r="527">
      <c r="A527" s="251"/>
    </row>
    <row r="528">
      <c r="A528" s="251"/>
    </row>
    <row r="529">
      <c r="A529" s="251"/>
    </row>
    <row r="530">
      <c r="A530" s="251"/>
    </row>
    <row r="531">
      <c r="A531" s="251"/>
    </row>
    <row r="532">
      <c r="A532" s="251"/>
    </row>
    <row r="533">
      <c r="A533" s="251"/>
    </row>
    <row r="534">
      <c r="A534" s="251"/>
    </row>
    <row r="535">
      <c r="A535" s="251"/>
    </row>
    <row r="536">
      <c r="A536" s="251"/>
    </row>
    <row r="537">
      <c r="A537" s="251"/>
    </row>
    <row r="538">
      <c r="A538" s="251"/>
    </row>
    <row r="539">
      <c r="A539" s="251"/>
    </row>
    <row r="540">
      <c r="A540" s="251"/>
    </row>
    <row r="541">
      <c r="A541" s="251"/>
    </row>
    <row r="542">
      <c r="A542" s="251"/>
    </row>
    <row r="543">
      <c r="A543" s="251"/>
    </row>
    <row r="544">
      <c r="A544" s="251"/>
    </row>
    <row r="545">
      <c r="A545" s="251"/>
    </row>
    <row r="546">
      <c r="A546" s="251"/>
    </row>
    <row r="547">
      <c r="A547" s="251"/>
    </row>
    <row r="548">
      <c r="A548" s="251"/>
    </row>
    <row r="549">
      <c r="A549" s="251"/>
    </row>
    <row r="550">
      <c r="A550" s="251"/>
    </row>
    <row r="551">
      <c r="A551" s="251"/>
    </row>
    <row r="552">
      <c r="A552" s="251"/>
    </row>
    <row r="553">
      <c r="A553" s="251"/>
    </row>
    <row r="554">
      <c r="A554" s="251"/>
    </row>
    <row r="555">
      <c r="A555" s="251"/>
    </row>
    <row r="556">
      <c r="A556" s="251"/>
    </row>
    <row r="557">
      <c r="A557" s="251"/>
    </row>
    <row r="558">
      <c r="A558" s="251"/>
    </row>
    <row r="559">
      <c r="A559" s="251"/>
    </row>
    <row r="560">
      <c r="A560" s="251"/>
    </row>
    <row r="561">
      <c r="A561" s="251"/>
    </row>
    <row r="562">
      <c r="A562" s="251"/>
    </row>
    <row r="563">
      <c r="A563" s="251"/>
    </row>
    <row r="564">
      <c r="A564" s="251"/>
    </row>
    <row r="565">
      <c r="A565" s="251"/>
    </row>
    <row r="566">
      <c r="A566" s="251"/>
    </row>
    <row r="567">
      <c r="A567" s="251"/>
    </row>
    <row r="568">
      <c r="A568" s="251"/>
    </row>
    <row r="569">
      <c r="A569" s="251"/>
    </row>
    <row r="570">
      <c r="A570" s="251"/>
    </row>
    <row r="571">
      <c r="A571" s="251"/>
    </row>
    <row r="572">
      <c r="A572" s="251"/>
    </row>
    <row r="573">
      <c r="A573" s="251"/>
    </row>
    <row r="574">
      <c r="A574" s="251"/>
    </row>
    <row r="575">
      <c r="A575" s="251"/>
    </row>
    <row r="576">
      <c r="A576" s="251"/>
    </row>
    <row r="577">
      <c r="A577" s="251"/>
    </row>
    <row r="578">
      <c r="A578" s="251"/>
    </row>
    <row r="579">
      <c r="A579" s="251"/>
    </row>
    <row r="580">
      <c r="A580" s="251"/>
    </row>
    <row r="581">
      <c r="A581" s="251"/>
    </row>
    <row r="582">
      <c r="A582" s="251"/>
    </row>
    <row r="583">
      <c r="A583" s="251"/>
    </row>
    <row r="584">
      <c r="A584" s="251"/>
    </row>
    <row r="585">
      <c r="A585" s="251"/>
    </row>
    <row r="586">
      <c r="A586" s="251"/>
    </row>
    <row r="587">
      <c r="A587" s="251"/>
    </row>
    <row r="588">
      <c r="A588" s="251"/>
    </row>
    <row r="589">
      <c r="A589" s="251"/>
    </row>
    <row r="590">
      <c r="A590" s="251"/>
    </row>
    <row r="591">
      <c r="A591" s="251"/>
    </row>
    <row r="592">
      <c r="A592" s="251"/>
    </row>
    <row r="593">
      <c r="A593" s="251"/>
    </row>
    <row r="594">
      <c r="A594" s="251"/>
    </row>
    <row r="595">
      <c r="A595" s="251"/>
    </row>
    <row r="596">
      <c r="A596" s="251"/>
    </row>
    <row r="597">
      <c r="A597" s="251"/>
    </row>
    <row r="598">
      <c r="A598" s="251"/>
    </row>
    <row r="599">
      <c r="A599" s="251"/>
    </row>
    <row r="600">
      <c r="A600" s="251"/>
    </row>
    <row r="601">
      <c r="A601" s="251"/>
    </row>
    <row r="602">
      <c r="A602" s="251"/>
    </row>
    <row r="603">
      <c r="A603" s="251"/>
    </row>
    <row r="604">
      <c r="A604" s="251"/>
    </row>
    <row r="605">
      <c r="A605" s="251"/>
    </row>
    <row r="606">
      <c r="A606" s="251"/>
    </row>
    <row r="607">
      <c r="A607" s="251"/>
    </row>
    <row r="608">
      <c r="A608" s="251"/>
    </row>
    <row r="609">
      <c r="A609" s="251"/>
    </row>
    <row r="610">
      <c r="A610" s="251"/>
    </row>
    <row r="611">
      <c r="A611" s="251"/>
    </row>
    <row r="612">
      <c r="A612" s="251"/>
    </row>
    <row r="613">
      <c r="A613" s="251"/>
    </row>
    <row r="614">
      <c r="A614" s="251"/>
    </row>
    <row r="615">
      <c r="A615" s="251"/>
    </row>
    <row r="616">
      <c r="A616" s="251"/>
    </row>
    <row r="617">
      <c r="A617" s="251"/>
    </row>
    <row r="618">
      <c r="A618" s="251"/>
    </row>
    <row r="619">
      <c r="A619" s="251"/>
    </row>
    <row r="620">
      <c r="A620" s="251"/>
    </row>
    <row r="621">
      <c r="A621" s="251"/>
    </row>
    <row r="622">
      <c r="A622" s="251"/>
    </row>
    <row r="623">
      <c r="A623" s="251"/>
    </row>
    <row r="624">
      <c r="A624" s="251"/>
    </row>
    <row r="625">
      <c r="A625" s="251"/>
    </row>
    <row r="626">
      <c r="A626" s="251"/>
    </row>
    <row r="627">
      <c r="A627" s="251"/>
    </row>
    <row r="628">
      <c r="A628" s="251"/>
    </row>
    <row r="629">
      <c r="A629" s="251"/>
    </row>
    <row r="630">
      <c r="A630" s="251"/>
    </row>
    <row r="631">
      <c r="A631" s="251"/>
    </row>
    <row r="632">
      <c r="A632" s="251"/>
    </row>
    <row r="633">
      <c r="A633" s="251"/>
    </row>
    <row r="634">
      <c r="A634" s="251"/>
    </row>
    <row r="635">
      <c r="A635" s="251"/>
    </row>
    <row r="636">
      <c r="A636" s="251"/>
    </row>
    <row r="637">
      <c r="A637" s="251"/>
    </row>
    <row r="638">
      <c r="A638" s="251"/>
    </row>
    <row r="639">
      <c r="A639" s="251"/>
    </row>
    <row r="640">
      <c r="A640" s="251"/>
    </row>
    <row r="641">
      <c r="A641" s="251"/>
    </row>
    <row r="642">
      <c r="A642" s="251"/>
    </row>
    <row r="643">
      <c r="A643" s="251"/>
    </row>
    <row r="644">
      <c r="A644" s="251"/>
    </row>
    <row r="645">
      <c r="A645" s="251"/>
    </row>
    <row r="646">
      <c r="A646" s="251"/>
    </row>
    <row r="647">
      <c r="A647" s="251"/>
    </row>
    <row r="648">
      <c r="A648" s="251"/>
    </row>
    <row r="649">
      <c r="A649" s="251"/>
    </row>
    <row r="650">
      <c r="A650" s="251"/>
    </row>
    <row r="651">
      <c r="A651" s="251"/>
    </row>
    <row r="652">
      <c r="A652" s="251"/>
    </row>
    <row r="653">
      <c r="A653" s="251"/>
    </row>
    <row r="654">
      <c r="A654" s="251"/>
    </row>
    <row r="655">
      <c r="A655" s="251"/>
    </row>
    <row r="656">
      <c r="A656" s="251"/>
    </row>
    <row r="657">
      <c r="A657" s="251"/>
    </row>
    <row r="658">
      <c r="A658" s="251"/>
    </row>
    <row r="659">
      <c r="A659" s="251"/>
    </row>
    <row r="660">
      <c r="A660" s="251"/>
    </row>
    <row r="661">
      <c r="A661" s="251"/>
    </row>
    <row r="662">
      <c r="A662" s="251"/>
    </row>
    <row r="663">
      <c r="A663" s="251"/>
    </row>
    <row r="664">
      <c r="A664" s="251"/>
    </row>
    <row r="665">
      <c r="A665" s="251"/>
    </row>
    <row r="666">
      <c r="A666" s="251"/>
    </row>
    <row r="667">
      <c r="A667" s="251"/>
    </row>
    <row r="668">
      <c r="A668" s="251"/>
    </row>
    <row r="669">
      <c r="A669" s="251"/>
    </row>
    <row r="670">
      <c r="A670" s="251"/>
    </row>
    <row r="671">
      <c r="A671" s="251"/>
    </row>
    <row r="672">
      <c r="A672" s="251"/>
    </row>
    <row r="673">
      <c r="A673" s="251"/>
    </row>
    <row r="674">
      <c r="A674" s="251"/>
    </row>
    <row r="675">
      <c r="A675" s="251"/>
    </row>
    <row r="676">
      <c r="A676" s="251"/>
    </row>
    <row r="677">
      <c r="A677" s="251"/>
    </row>
    <row r="678">
      <c r="A678" s="251"/>
    </row>
    <row r="679">
      <c r="A679" s="251"/>
    </row>
    <row r="680">
      <c r="A680" s="251"/>
    </row>
    <row r="681">
      <c r="A681" s="251"/>
    </row>
    <row r="682">
      <c r="A682" s="251"/>
    </row>
    <row r="683">
      <c r="A683" s="251"/>
    </row>
    <row r="684">
      <c r="A684" s="251"/>
    </row>
    <row r="685">
      <c r="A685" s="251"/>
    </row>
    <row r="686">
      <c r="A686" s="251"/>
    </row>
    <row r="687">
      <c r="A687" s="251"/>
    </row>
    <row r="688">
      <c r="A688" s="251"/>
    </row>
    <row r="689">
      <c r="A689" s="251"/>
    </row>
    <row r="690">
      <c r="A690" s="251"/>
    </row>
    <row r="691">
      <c r="A691" s="251"/>
    </row>
    <row r="692">
      <c r="A692" s="251"/>
    </row>
    <row r="693">
      <c r="A693" s="251"/>
    </row>
    <row r="694">
      <c r="A694" s="251"/>
    </row>
    <row r="695">
      <c r="A695" s="251"/>
    </row>
    <row r="696">
      <c r="A696" s="251"/>
    </row>
    <row r="697">
      <c r="A697" s="251"/>
    </row>
    <row r="698">
      <c r="A698" s="251"/>
    </row>
    <row r="699">
      <c r="A699" s="251"/>
    </row>
    <row r="700">
      <c r="A700" s="251"/>
    </row>
    <row r="701">
      <c r="A701" s="251"/>
    </row>
    <row r="702">
      <c r="A702" s="251"/>
    </row>
    <row r="703">
      <c r="A703" s="251"/>
    </row>
    <row r="704">
      <c r="A704" s="251"/>
    </row>
    <row r="705">
      <c r="A705" s="251"/>
    </row>
    <row r="706">
      <c r="A706" s="251"/>
    </row>
    <row r="707">
      <c r="A707" s="251"/>
    </row>
    <row r="708">
      <c r="A708" s="251"/>
    </row>
    <row r="709">
      <c r="A709" s="251"/>
    </row>
    <row r="710">
      <c r="A710" s="251"/>
    </row>
    <row r="711">
      <c r="A711" s="251"/>
    </row>
    <row r="712">
      <c r="A712" s="251"/>
    </row>
    <row r="713">
      <c r="A713" s="251"/>
    </row>
    <row r="714">
      <c r="A714" s="251"/>
    </row>
    <row r="715">
      <c r="A715" s="251"/>
    </row>
    <row r="716">
      <c r="A716" s="251"/>
    </row>
    <row r="717">
      <c r="A717" s="251"/>
    </row>
    <row r="718">
      <c r="A718" s="251"/>
    </row>
    <row r="719">
      <c r="A719" s="251"/>
    </row>
    <row r="720">
      <c r="A720" s="251"/>
    </row>
    <row r="721">
      <c r="A721" s="251"/>
    </row>
    <row r="722">
      <c r="A722" s="251"/>
    </row>
    <row r="723">
      <c r="A723" s="251"/>
    </row>
    <row r="724">
      <c r="A724" s="251"/>
    </row>
    <row r="725">
      <c r="A725" s="251"/>
    </row>
    <row r="726">
      <c r="A726" s="251"/>
    </row>
    <row r="727">
      <c r="A727" s="251"/>
    </row>
    <row r="728">
      <c r="A728" s="251"/>
    </row>
    <row r="729">
      <c r="A729" s="251"/>
    </row>
    <row r="730">
      <c r="A730" s="251"/>
    </row>
    <row r="731">
      <c r="A731" s="251"/>
    </row>
    <row r="732">
      <c r="A732" s="251"/>
    </row>
    <row r="733">
      <c r="A733" s="251"/>
    </row>
    <row r="734">
      <c r="A734" s="251"/>
    </row>
    <row r="735">
      <c r="A735" s="251"/>
    </row>
    <row r="736">
      <c r="A736" s="251"/>
    </row>
    <row r="737">
      <c r="A737" s="251"/>
    </row>
    <row r="738">
      <c r="A738" s="251"/>
    </row>
    <row r="739">
      <c r="A739" s="251"/>
    </row>
    <row r="740">
      <c r="A740" s="251"/>
    </row>
    <row r="741">
      <c r="A741" s="251"/>
    </row>
    <row r="742">
      <c r="A742" s="251"/>
    </row>
    <row r="743">
      <c r="A743" s="251"/>
    </row>
    <row r="744">
      <c r="A744" s="251"/>
    </row>
    <row r="745">
      <c r="A745" s="251"/>
    </row>
    <row r="746">
      <c r="A746" s="251"/>
    </row>
    <row r="747">
      <c r="A747" s="251"/>
    </row>
    <row r="748">
      <c r="A748" s="251"/>
    </row>
    <row r="749">
      <c r="A749" s="251"/>
    </row>
    <row r="750">
      <c r="A750" s="251"/>
    </row>
    <row r="751">
      <c r="A751" s="251"/>
    </row>
    <row r="752">
      <c r="A752" s="251"/>
    </row>
    <row r="753">
      <c r="A753" s="251"/>
    </row>
    <row r="754">
      <c r="A754" s="251"/>
    </row>
    <row r="755">
      <c r="A755" s="251"/>
    </row>
    <row r="756">
      <c r="A756" s="251"/>
    </row>
    <row r="757">
      <c r="A757" s="251"/>
    </row>
    <row r="758">
      <c r="A758" s="251"/>
    </row>
    <row r="759">
      <c r="A759" s="251"/>
    </row>
    <row r="760">
      <c r="A760" s="251"/>
    </row>
    <row r="761">
      <c r="A761" s="251"/>
    </row>
    <row r="762">
      <c r="A762" s="251"/>
    </row>
    <row r="763">
      <c r="A763" s="251"/>
    </row>
    <row r="764">
      <c r="A764" s="251"/>
    </row>
    <row r="765">
      <c r="A765" s="251"/>
    </row>
    <row r="766">
      <c r="A766" s="251"/>
    </row>
    <row r="767">
      <c r="A767" s="251"/>
    </row>
    <row r="768">
      <c r="A768" s="251"/>
    </row>
    <row r="769">
      <c r="A769" s="251"/>
    </row>
    <row r="770">
      <c r="A770" s="251"/>
    </row>
    <row r="771">
      <c r="A771" s="251"/>
    </row>
    <row r="772">
      <c r="A772" s="251"/>
    </row>
    <row r="773">
      <c r="A773" s="251"/>
    </row>
    <row r="774">
      <c r="A774" s="251"/>
    </row>
    <row r="775">
      <c r="A775" s="251"/>
    </row>
    <row r="776">
      <c r="A776" s="251"/>
    </row>
    <row r="777">
      <c r="A777" s="251"/>
    </row>
    <row r="778">
      <c r="A778" s="251"/>
    </row>
    <row r="779">
      <c r="A779" s="251"/>
    </row>
    <row r="780">
      <c r="A780" s="251"/>
    </row>
    <row r="781">
      <c r="A781" s="251"/>
    </row>
    <row r="782">
      <c r="A782" s="251"/>
    </row>
    <row r="783">
      <c r="A783" s="251"/>
    </row>
    <row r="784">
      <c r="A784" s="251"/>
    </row>
    <row r="785">
      <c r="A785" s="251"/>
    </row>
    <row r="786">
      <c r="A786" s="251"/>
    </row>
    <row r="787">
      <c r="A787" s="251"/>
    </row>
    <row r="788">
      <c r="A788" s="251"/>
    </row>
    <row r="789">
      <c r="A789" s="251"/>
    </row>
    <row r="790">
      <c r="A790" s="251"/>
    </row>
    <row r="791">
      <c r="A791" s="251"/>
    </row>
    <row r="792">
      <c r="A792" s="251"/>
    </row>
    <row r="793">
      <c r="A793" s="251"/>
    </row>
    <row r="794">
      <c r="A794" s="251"/>
    </row>
    <row r="795">
      <c r="A795" s="251"/>
    </row>
    <row r="796">
      <c r="A796" s="251"/>
    </row>
    <row r="797">
      <c r="A797" s="251"/>
    </row>
    <row r="798">
      <c r="A798" s="251"/>
    </row>
    <row r="799">
      <c r="A799" s="251"/>
    </row>
    <row r="800">
      <c r="A800" s="251"/>
    </row>
    <row r="801">
      <c r="A801" s="251"/>
    </row>
    <row r="802">
      <c r="A802" s="251"/>
    </row>
    <row r="803">
      <c r="A803" s="251"/>
    </row>
    <row r="804">
      <c r="A804" s="251"/>
    </row>
    <row r="805">
      <c r="A805" s="251"/>
    </row>
    <row r="806">
      <c r="A806" s="251"/>
    </row>
    <row r="807">
      <c r="A807" s="251"/>
    </row>
    <row r="808">
      <c r="A808" s="251"/>
    </row>
    <row r="809">
      <c r="A809" s="251"/>
    </row>
    <row r="810">
      <c r="A810" s="251"/>
    </row>
    <row r="811">
      <c r="A811" s="251"/>
    </row>
    <row r="812">
      <c r="A812" s="251"/>
    </row>
    <row r="813">
      <c r="A813" s="251"/>
    </row>
    <row r="814">
      <c r="A814" s="251"/>
    </row>
    <row r="815">
      <c r="A815" s="251"/>
    </row>
    <row r="816">
      <c r="A816" s="251"/>
    </row>
    <row r="817">
      <c r="A817" s="251"/>
    </row>
    <row r="818">
      <c r="A818" s="251"/>
    </row>
    <row r="819">
      <c r="A819" s="251"/>
    </row>
    <row r="820">
      <c r="A820" s="251"/>
    </row>
    <row r="821">
      <c r="A821" s="251"/>
    </row>
    <row r="822">
      <c r="A822" s="251"/>
    </row>
    <row r="823">
      <c r="A823" s="251"/>
    </row>
    <row r="824">
      <c r="A824" s="251"/>
    </row>
    <row r="825">
      <c r="A825" s="251"/>
    </row>
    <row r="826">
      <c r="A826" s="251"/>
    </row>
    <row r="827">
      <c r="A827" s="251"/>
    </row>
    <row r="828">
      <c r="A828" s="251"/>
    </row>
    <row r="829">
      <c r="A829" s="251"/>
    </row>
    <row r="830">
      <c r="A830" s="251"/>
    </row>
    <row r="831">
      <c r="A831" s="251"/>
    </row>
    <row r="832">
      <c r="A832" s="251"/>
    </row>
    <row r="833">
      <c r="A833" s="251"/>
    </row>
    <row r="834">
      <c r="A834" s="251"/>
    </row>
    <row r="835">
      <c r="A835" s="251"/>
    </row>
    <row r="836">
      <c r="A836" s="251"/>
    </row>
    <row r="837">
      <c r="A837" s="251"/>
    </row>
    <row r="838">
      <c r="A838" s="251"/>
    </row>
    <row r="839">
      <c r="A839" s="251"/>
    </row>
    <row r="840">
      <c r="A840" s="251"/>
    </row>
    <row r="841">
      <c r="A841" s="251"/>
    </row>
    <row r="842">
      <c r="A842" s="251"/>
    </row>
    <row r="843">
      <c r="A843" s="251"/>
    </row>
    <row r="844">
      <c r="A844" s="251"/>
    </row>
    <row r="845">
      <c r="A845" s="251"/>
    </row>
    <row r="846">
      <c r="A846" s="251"/>
    </row>
    <row r="847">
      <c r="A847" s="251"/>
    </row>
    <row r="848">
      <c r="A848" s="251"/>
    </row>
    <row r="849">
      <c r="A849" s="251"/>
    </row>
    <row r="850">
      <c r="A850" s="251"/>
    </row>
    <row r="851">
      <c r="A851" s="251"/>
    </row>
    <row r="852">
      <c r="A852" s="251"/>
    </row>
    <row r="853">
      <c r="A853" s="251"/>
    </row>
    <row r="854">
      <c r="A854" s="251"/>
    </row>
    <row r="855">
      <c r="A855" s="251"/>
    </row>
    <row r="856">
      <c r="A856" s="251"/>
    </row>
    <row r="857">
      <c r="A857" s="251"/>
    </row>
    <row r="858">
      <c r="A858" s="251"/>
    </row>
    <row r="859">
      <c r="A859" s="251"/>
    </row>
    <row r="860">
      <c r="A860" s="251"/>
    </row>
    <row r="861">
      <c r="A861" s="251"/>
    </row>
    <row r="862">
      <c r="A862" s="251"/>
    </row>
    <row r="863">
      <c r="A863" s="251"/>
    </row>
    <row r="864">
      <c r="A864" s="251"/>
    </row>
    <row r="865">
      <c r="A865" s="251"/>
    </row>
    <row r="866">
      <c r="A866" s="251"/>
    </row>
    <row r="867">
      <c r="A867" s="251"/>
    </row>
    <row r="868">
      <c r="A868" s="251"/>
    </row>
    <row r="869">
      <c r="A869" s="251"/>
    </row>
    <row r="870">
      <c r="A870" s="251"/>
    </row>
    <row r="871">
      <c r="A871" s="251"/>
    </row>
    <row r="872">
      <c r="A872" s="251"/>
    </row>
    <row r="873">
      <c r="A873" s="251"/>
    </row>
    <row r="874">
      <c r="A874" s="251"/>
    </row>
    <row r="875">
      <c r="A875" s="251"/>
    </row>
    <row r="876">
      <c r="A876" s="251"/>
    </row>
    <row r="877">
      <c r="A877" s="251"/>
    </row>
    <row r="878">
      <c r="A878" s="251"/>
    </row>
    <row r="879">
      <c r="A879" s="251"/>
    </row>
    <row r="880">
      <c r="A880" s="251"/>
    </row>
    <row r="881">
      <c r="A881" s="251"/>
    </row>
    <row r="882">
      <c r="A882" s="251"/>
    </row>
    <row r="883">
      <c r="A883" s="251"/>
    </row>
    <row r="884">
      <c r="A884" s="251"/>
    </row>
    <row r="885">
      <c r="A885" s="251"/>
    </row>
    <row r="886">
      <c r="A886" s="251"/>
    </row>
    <row r="887">
      <c r="A887" s="251"/>
    </row>
    <row r="888">
      <c r="A888" s="251"/>
    </row>
    <row r="889">
      <c r="A889" s="251"/>
    </row>
    <row r="890">
      <c r="A890" s="251"/>
    </row>
    <row r="891">
      <c r="A891" s="251"/>
    </row>
    <row r="892">
      <c r="A892" s="251"/>
    </row>
    <row r="893">
      <c r="A893" s="251"/>
    </row>
    <row r="894">
      <c r="A894" s="251"/>
    </row>
    <row r="895">
      <c r="A895" s="251"/>
    </row>
    <row r="896">
      <c r="A896" s="251"/>
    </row>
    <row r="897">
      <c r="A897" s="251"/>
    </row>
    <row r="898">
      <c r="A898" s="251"/>
    </row>
    <row r="899">
      <c r="A899" s="251"/>
    </row>
    <row r="900">
      <c r="A900" s="251"/>
    </row>
    <row r="901">
      <c r="A901" s="251"/>
    </row>
    <row r="902">
      <c r="A902" s="251"/>
    </row>
    <row r="903">
      <c r="A903" s="251"/>
    </row>
    <row r="904">
      <c r="A904" s="251"/>
    </row>
    <row r="905">
      <c r="A905" s="251"/>
    </row>
    <row r="906">
      <c r="A906" s="251"/>
    </row>
    <row r="907">
      <c r="A907" s="251"/>
    </row>
    <row r="908">
      <c r="A908" s="251"/>
    </row>
    <row r="909">
      <c r="A909" s="251"/>
    </row>
    <row r="910">
      <c r="A910" s="251"/>
    </row>
    <row r="911">
      <c r="A911" s="251"/>
    </row>
    <row r="912">
      <c r="A912" s="251"/>
    </row>
    <row r="913">
      <c r="A913" s="251"/>
    </row>
    <row r="914">
      <c r="A914" s="251"/>
    </row>
    <row r="915">
      <c r="A915" s="251"/>
    </row>
    <row r="916">
      <c r="A916" s="251"/>
    </row>
    <row r="917">
      <c r="A917" s="251"/>
    </row>
    <row r="918">
      <c r="A918" s="251"/>
    </row>
    <row r="919">
      <c r="A919" s="251"/>
    </row>
    <row r="920">
      <c r="A920" s="251"/>
    </row>
    <row r="921">
      <c r="A921" s="251"/>
    </row>
    <row r="922">
      <c r="A922" s="251"/>
    </row>
    <row r="923">
      <c r="A923" s="251"/>
    </row>
    <row r="924">
      <c r="A924" s="251"/>
    </row>
    <row r="925">
      <c r="A925" s="251"/>
    </row>
    <row r="926">
      <c r="A926" s="251"/>
    </row>
    <row r="927">
      <c r="A927" s="251"/>
    </row>
    <row r="928">
      <c r="A928" s="251"/>
    </row>
    <row r="929">
      <c r="A929" s="251"/>
    </row>
    <row r="930">
      <c r="A930" s="251"/>
    </row>
    <row r="931">
      <c r="A931" s="251"/>
    </row>
    <row r="932">
      <c r="A932" s="251"/>
    </row>
    <row r="933">
      <c r="A933" s="251"/>
    </row>
    <row r="934">
      <c r="A934" s="251"/>
    </row>
    <row r="935">
      <c r="A935" s="251"/>
    </row>
    <row r="936">
      <c r="A936" s="251"/>
    </row>
    <row r="937">
      <c r="A937" s="251"/>
    </row>
    <row r="938">
      <c r="A938" s="251"/>
    </row>
    <row r="939">
      <c r="A939" s="251"/>
    </row>
    <row r="940">
      <c r="A940" s="251"/>
    </row>
    <row r="941">
      <c r="A941" s="251"/>
    </row>
    <row r="942">
      <c r="A942" s="251"/>
    </row>
    <row r="943">
      <c r="A943" s="251"/>
    </row>
    <row r="944">
      <c r="A944" s="251"/>
    </row>
    <row r="945">
      <c r="A945" s="251"/>
    </row>
    <row r="946">
      <c r="A946" s="251"/>
    </row>
    <row r="947">
      <c r="A947" s="251"/>
    </row>
    <row r="948">
      <c r="A948" s="251"/>
    </row>
    <row r="949">
      <c r="A949" s="251"/>
    </row>
    <row r="950">
      <c r="A950" s="251"/>
    </row>
    <row r="951">
      <c r="A951" s="251"/>
    </row>
    <row r="952">
      <c r="A952" s="251"/>
    </row>
    <row r="953">
      <c r="A953" s="251"/>
    </row>
    <row r="954">
      <c r="A954" s="251"/>
    </row>
    <row r="955">
      <c r="A955" s="251"/>
    </row>
    <row r="956">
      <c r="A956" s="251"/>
    </row>
    <row r="957">
      <c r="A957" s="251"/>
    </row>
    <row r="958">
      <c r="A958" s="251"/>
    </row>
    <row r="959">
      <c r="A959" s="251"/>
    </row>
    <row r="960">
      <c r="A960" s="251"/>
    </row>
    <row r="961">
      <c r="A961" s="251"/>
    </row>
    <row r="962">
      <c r="A962" s="251"/>
    </row>
    <row r="963">
      <c r="A963" s="251"/>
    </row>
    <row r="964">
      <c r="A964" s="251"/>
    </row>
    <row r="965">
      <c r="A965" s="251"/>
    </row>
    <row r="966">
      <c r="A966" s="251"/>
    </row>
    <row r="967">
      <c r="A967" s="251"/>
    </row>
    <row r="968">
      <c r="A968" s="251"/>
    </row>
    <row r="969">
      <c r="A969" s="251"/>
    </row>
    <row r="970">
      <c r="A970" s="251"/>
    </row>
    <row r="971">
      <c r="A971" s="251"/>
    </row>
    <row r="972">
      <c r="A972" s="251"/>
    </row>
    <row r="973">
      <c r="A973" s="251"/>
    </row>
    <row r="974">
      <c r="A974" s="251"/>
    </row>
    <row r="975">
      <c r="A975" s="251"/>
    </row>
    <row r="976">
      <c r="A976" s="251"/>
    </row>
    <row r="977">
      <c r="A977" s="251"/>
    </row>
    <row r="978">
      <c r="A978" s="251"/>
    </row>
    <row r="979">
      <c r="A979" s="251"/>
    </row>
    <row r="980">
      <c r="A980" s="251"/>
    </row>
    <row r="981">
      <c r="A981" s="251"/>
    </row>
    <row r="982">
      <c r="A982" s="251"/>
    </row>
    <row r="983">
      <c r="A983" s="251"/>
    </row>
    <row r="984">
      <c r="A984" s="251"/>
    </row>
    <row r="985">
      <c r="A985" s="251"/>
    </row>
    <row r="986">
      <c r="A986" s="251"/>
    </row>
  </sheetData>
  <mergeCells count="2">
    <mergeCell ref="A20:G20"/>
    <mergeCell ref="A26:D26"/>
  </mergeCells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13"/>
    <col customWidth="1" min="4" max="4" width="11.63"/>
    <col customWidth="1" min="6" max="6" width="9.63"/>
    <col customWidth="1" min="7" max="7" width="7.38"/>
    <col customWidth="1" min="8" max="8" width="12.25"/>
    <col customWidth="1" min="9" max="9" width="15.5"/>
  </cols>
  <sheetData>
    <row r="1">
      <c r="A1" s="251"/>
      <c r="B1" s="179"/>
      <c r="C1" s="179"/>
      <c r="D1" s="179"/>
      <c r="E1" s="179"/>
      <c r="F1" s="235"/>
      <c r="G1" s="235"/>
      <c r="H1" s="235"/>
      <c r="I1" s="179"/>
    </row>
    <row r="2">
      <c r="A2" s="252" t="s">
        <v>230</v>
      </c>
      <c r="B2" s="253" t="s">
        <v>195</v>
      </c>
      <c r="C2" s="253" t="s">
        <v>196</v>
      </c>
      <c r="D2" s="253" t="s">
        <v>197</v>
      </c>
      <c r="E2" s="253" t="s">
        <v>4</v>
      </c>
      <c r="F2" s="249" t="s">
        <v>5</v>
      </c>
      <c r="G2" s="249" t="s">
        <v>9</v>
      </c>
      <c r="H2" s="253" t="s">
        <v>6</v>
      </c>
      <c r="I2" s="254" t="s">
        <v>198</v>
      </c>
      <c r="J2" s="69"/>
    </row>
    <row r="3">
      <c r="A3" s="87" t="s">
        <v>201</v>
      </c>
      <c r="B3" s="98">
        <v>1.0</v>
      </c>
      <c r="C3" s="134"/>
      <c r="D3" s="134"/>
      <c r="E3" s="177">
        <v>0.0</v>
      </c>
      <c r="F3" s="256">
        <v>12.0</v>
      </c>
      <c r="G3" s="249"/>
      <c r="H3" s="250">
        <f t="shared" ref="H3:H10" si="1">E3/F3</f>
        <v>0</v>
      </c>
      <c r="I3" s="257">
        <f>H3/B3*C3</f>
        <v>0</v>
      </c>
      <c r="J3" s="69"/>
    </row>
    <row r="4">
      <c r="A4" s="87" t="s">
        <v>154</v>
      </c>
      <c r="B4" s="134"/>
      <c r="C4" s="134"/>
      <c r="D4" s="134"/>
      <c r="E4" s="134"/>
      <c r="F4" s="256">
        <v>12.0</v>
      </c>
      <c r="G4" s="249"/>
      <c r="H4" s="250">
        <f t="shared" si="1"/>
        <v>0</v>
      </c>
      <c r="I4" s="257">
        <f t="shared" ref="I4:I11" si="2">H4</f>
        <v>0</v>
      </c>
      <c r="J4" s="69"/>
    </row>
    <row r="5">
      <c r="A5" s="87" t="s">
        <v>202</v>
      </c>
      <c r="B5" s="163"/>
      <c r="C5" s="163"/>
      <c r="D5" s="163"/>
      <c r="E5" s="134">
        <v>3240.0</v>
      </c>
      <c r="F5" s="256">
        <v>12.0</v>
      </c>
      <c r="G5" s="249"/>
      <c r="H5" s="250">
        <f t="shared" si="1"/>
        <v>270</v>
      </c>
      <c r="I5" s="257">
        <f t="shared" si="2"/>
        <v>270</v>
      </c>
      <c r="J5" s="69"/>
    </row>
    <row r="6">
      <c r="A6" s="87" t="s">
        <v>148</v>
      </c>
      <c r="B6" s="258"/>
      <c r="C6" s="258"/>
      <c r="D6" s="258"/>
      <c r="E6" s="177">
        <v>0.0</v>
      </c>
      <c r="F6" s="256">
        <v>12.0</v>
      </c>
      <c r="G6" s="249"/>
      <c r="H6" s="250">
        <f t="shared" si="1"/>
        <v>0</v>
      </c>
      <c r="I6" s="257">
        <f t="shared" si="2"/>
        <v>0</v>
      </c>
      <c r="J6" s="69"/>
    </row>
    <row r="7">
      <c r="A7" s="87" t="s">
        <v>150</v>
      </c>
      <c r="B7" s="258"/>
      <c r="C7" s="258"/>
      <c r="D7" s="258"/>
      <c r="E7" s="177">
        <v>0.0</v>
      </c>
      <c r="F7" s="256">
        <v>12.0</v>
      </c>
      <c r="G7" s="249"/>
      <c r="H7" s="250">
        <f t="shared" si="1"/>
        <v>0</v>
      </c>
      <c r="I7" s="257">
        <f t="shared" si="2"/>
        <v>0</v>
      </c>
      <c r="J7" s="69"/>
    </row>
    <row r="8">
      <c r="A8" s="87" t="s">
        <v>149</v>
      </c>
      <c r="B8" s="258"/>
      <c r="C8" s="258"/>
      <c r="D8" s="258"/>
      <c r="E8" s="177">
        <v>0.0</v>
      </c>
      <c r="F8" s="256">
        <v>12.0</v>
      </c>
      <c r="G8" s="249"/>
      <c r="H8" s="250">
        <f t="shared" si="1"/>
        <v>0</v>
      </c>
      <c r="I8" s="257">
        <f t="shared" si="2"/>
        <v>0</v>
      </c>
      <c r="J8" s="69"/>
    </row>
    <row r="9">
      <c r="A9" s="87" t="s">
        <v>203</v>
      </c>
      <c r="B9" s="258"/>
      <c r="C9" s="258"/>
      <c r="D9" s="258"/>
      <c r="E9" s="177"/>
      <c r="F9" s="256">
        <v>12.0</v>
      </c>
      <c r="G9" s="249"/>
      <c r="H9" s="250">
        <f t="shared" si="1"/>
        <v>0</v>
      </c>
      <c r="I9" s="257">
        <f t="shared" si="2"/>
        <v>0</v>
      </c>
      <c r="J9" s="69"/>
    </row>
    <row r="10">
      <c r="A10" s="87" t="s">
        <v>204</v>
      </c>
      <c r="B10" s="258"/>
      <c r="C10" s="258"/>
      <c r="D10" s="258"/>
      <c r="E10" s="177"/>
      <c r="F10" s="256">
        <v>12.0</v>
      </c>
      <c r="G10" s="249"/>
      <c r="H10" s="250">
        <f t="shared" si="1"/>
        <v>0</v>
      </c>
      <c r="I10" s="257">
        <f t="shared" si="2"/>
        <v>0</v>
      </c>
      <c r="J10" s="69"/>
    </row>
    <row r="11">
      <c r="A11" s="68" t="s">
        <v>155</v>
      </c>
      <c r="B11" s="72"/>
      <c r="C11" s="71"/>
      <c r="D11" s="71"/>
      <c r="E11" s="72"/>
      <c r="F11" s="249"/>
      <c r="G11" s="259"/>
      <c r="H11" s="250">
        <f>D28</f>
        <v>2375</v>
      </c>
      <c r="I11" s="257">
        <f t="shared" si="2"/>
        <v>2375</v>
      </c>
      <c r="J11" s="69"/>
    </row>
    <row r="12">
      <c r="A12" s="68" t="s">
        <v>152</v>
      </c>
      <c r="B12" s="72"/>
      <c r="C12" s="71"/>
      <c r="D12" s="260">
        <f>B17+B18</f>
        <v>54</v>
      </c>
      <c r="E12" s="72"/>
      <c r="F12" s="249"/>
      <c r="G12" s="259">
        <f>'Общие расходы ГЭ'!G16</f>
        <v>9.195626292</v>
      </c>
      <c r="H12" s="249"/>
      <c r="I12" s="257">
        <f t="shared" ref="I12:I14" si="3">D12*G12</f>
        <v>496.5638198</v>
      </c>
      <c r="J12" s="69"/>
    </row>
    <row r="13">
      <c r="A13" s="68" t="s">
        <v>153</v>
      </c>
      <c r="B13" s="72"/>
      <c r="C13" s="71"/>
      <c r="D13" s="260">
        <f>B17+B18</f>
        <v>54</v>
      </c>
      <c r="E13" s="72"/>
      <c r="F13" s="249"/>
      <c r="G13" s="259">
        <f>'Общие расходы г. Тюмень'!F4</f>
        <v>0.2743933235</v>
      </c>
      <c r="H13" s="249"/>
      <c r="I13" s="257">
        <f t="shared" si="3"/>
        <v>14.81723947</v>
      </c>
      <c r="J13" s="69"/>
    </row>
    <row r="14">
      <c r="A14" s="68" t="s">
        <v>156</v>
      </c>
      <c r="B14" s="72"/>
      <c r="C14" s="71"/>
      <c r="D14" s="260">
        <f>B17+B18</f>
        <v>54</v>
      </c>
      <c r="E14" s="72"/>
      <c r="F14" s="249"/>
      <c r="G14" s="250">
        <f>'Общие расходы г. Тюмень'!F30</f>
        <v>0.7480139342</v>
      </c>
      <c r="H14" s="249"/>
      <c r="I14" s="261">
        <f t="shared" si="3"/>
        <v>40.39275245</v>
      </c>
      <c r="J14" s="69"/>
    </row>
    <row r="15">
      <c r="A15" s="262" t="s">
        <v>62</v>
      </c>
      <c r="B15" s="263"/>
      <c r="C15" s="263"/>
      <c r="D15" s="263"/>
      <c r="E15" s="263"/>
      <c r="F15" s="263"/>
      <c r="G15" s="185"/>
      <c r="H15" s="264"/>
      <c r="I15" s="261">
        <f>SUM(I3:I14)</f>
        <v>3196.773812</v>
      </c>
    </row>
    <row r="16">
      <c r="A16" s="251"/>
      <c r="B16" s="179"/>
      <c r="C16" s="179"/>
      <c r="D16" s="179"/>
      <c r="E16" s="179"/>
      <c r="F16" s="235"/>
      <c r="G16" s="235"/>
      <c r="H16" s="235"/>
      <c r="I16" s="179"/>
    </row>
    <row r="17">
      <c r="A17" s="68" t="s">
        <v>205</v>
      </c>
      <c r="B17" s="265" t="str">
        <f>'Исходные данные'!B36</f>
        <v/>
      </c>
      <c r="C17" s="179"/>
      <c r="D17" s="179"/>
      <c r="E17" s="179"/>
      <c r="F17" s="235"/>
      <c r="G17" s="235"/>
      <c r="H17" s="235"/>
      <c r="I17" s="179"/>
    </row>
    <row r="18">
      <c r="A18" s="68" t="s">
        <v>206</v>
      </c>
      <c r="B18" s="265">
        <f>'Исходные данные'!C36</f>
        <v>54</v>
      </c>
      <c r="C18" s="179"/>
      <c r="D18" s="179"/>
      <c r="E18" s="179"/>
      <c r="F18" s="235"/>
      <c r="G18" s="235"/>
      <c r="H18" s="235"/>
      <c r="I18" s="179"/>
    </row>
    <row r="19">
      <c r="A19" s="68" t="s">
        <v>207</v>
      </c>
      <c r="B19" s="265" t="str">
        <f>'Исходные данные'!D25</f>
        <v/>
      </c>
      <c r="C19" s="179"/>
      <c r="D19" s="179"/>
      <c r="E19" s="179"/>
      <c r="F19" s="235"/>
      <c r="G19" s="235"/>
      <c r="H19" s="235"/>
      <c r="I19" s="179"/>
    </row>
    <row r="20">
      <c r="A20" s="251"/>
      <c r="B20" s="179"/>
      <c r="C20" s="179"/>
      <c r="D20" s="179"/>
      <c r="E20" s="179"/>
      <c r="F20" s="235"/>
      <c r="G20" s="235"/>
      <c r="H20" s="235"/>
      <c r="I20" s="74"/>
    </row>
    <row r="21">
      <c r="A21" s="266" t="s">
        <v>208</v>
      </c>
      <c r="B21" s="263"/>
      <c r="C21" s="263"/>
      <c r="D21" s="185"/>
      <c r="E21" s="267"/>
      <c r="F21" s="69"/>
      <c r="G21" s="69"/>
      <c r="H21" s="69"/>
      <c r="I21" s="69"/>
    </row>
    <row r="22">
      <c r="A22" s="268" t="s">
        <v>209</v>
      </c>
      <c r="B22" s="269" t="s">
        <v>210</v>
      </c>
      <c r="C22" s="93" t="s">
        <v>5</v>
      </c>
      <c r="D22" s="269" t="s">
        <v>211</v>
      </c>
      <c r="E22" s="270"/>
    </row>
    <row r="23">
      <c r="A23" s="87" t="s">
        <v>212</v>
      </c>
      <c r="B23" s="271">
        <v>20000.0</v>
      </c>
      <c r="C23" s="134">
        <v>12.0</v>
      </c>
      <c r="D23" s="271">
        <f t="shared" ref="D23:D25" si="4">B23/C23</f>
        <v>1666.666667</v>
      </c>
      <c r="E23" s="74"/>
    </row>
    <row r="24">
      <c r="A24" s="87" t="s">
        <v>231</v>
      </c>
      <c r="B24" s="271">
        <v>7500.0</v>
      </c>
      <c r="C24" s="134">
        <v>12.0</v>
      </c>
      <c r="D24" s="271">
        <f t="shared" si="4"/>
        <v>625</v>
      </c>
      <c r="E24" s="74"/>
    </row>
    <row r="25">
      <c r="A25" s="87" t="s">
        <v>214</v>
      </c>
      <c r="B25" s="271">
        <v>1000.0</v>
      </c>
      <c r="C25" s="134">
        <v>12.0</v>
      </c>
      <c r="D25" s="271">
        <f t="shared" si="4"/>
        <v>83.33333333</v>
      </c>
      <c r="E25" s="74"/>
    </row>
    <row r="26">
      <c r="A26" s="272"/>
      <c r="B26" s="271"/>
      <c r="C26" s="134"/>
      <c r="D26" s="271"/>
      <c r="E26" s="74"/>
    </row>
    <row r="27">
      <c r="A27" s="272"/>
      <c r="B27" s="271"/>
      <c r="C27" s="134"/>
      <c r="D27" s="271"/>
      <c r="E27" s="74"/>
    </row>
    <row r="28">
      <c r="A28" s="273"/>
      <c r="B28" s="274">
        <f>SUM(B23:B27)</f>
        <v>28500</v>
      </c>
      <c r="C28" s="275">
        <v>12.0</v>
      </c>
      <c r="D28" s="274">
        <f>B28/C28</f>
        <v>2375</v>
      </c>
      <c r="E28" s="276"/>
      <c r="F28" s="169"/>
      <c r="G28" s="168"/>
    </row>
    <row r="29">
      <c r="A29" s="251"/>
    </row>
    <row r="30">
      <c r="A30" s="251"/>
    </row>
    <row r="31">
      <c r="A31" s="251"/>
    </row>
    <row r="32">
      <c r="A32" s="251"/>
    </row>
    <row r="33">
      <c r="A33" s="251"/>
    </row>
    <row r="34">
      <c r="A34" s="251"/>
    </row>
    <row r="35">
      <c r="A35" s="251"/>
    </row>
    <row r="36">
      <c r="A36" s="251"/>
    </row>
    <row r="37">
      <c r="A37" s="251"/>
    </row>
    <row r="38">
      <c r="A38" s="251"/>
    </row>
    <row r="39">
      <c r="A39" s="251"/>
    </row>
    <row r="40">
      <c r="A40" s="251"/>
    </row>
    <row r="41">
      <c r="A41" s="251"/>
    </row>
    <row r="42">
      <c r="A42" s="251"/>
    </row>
    <row r="43">
      <c r="A43" s="251"/>
    </row>
    <row r="44">
      <c r="A44" s="251"/>
    </row>
    <row r="45">
      <c r="A45" s="251"/>
    </row>
    <row r="46">
      <c r="A46" s="251"/>
    </row>
    <row r="47">
      <c r="A47" s="251"/>
    </row>
    <row r="48">
      <c r="A48" s="251"/>
    </row>
    <row r="49">
      <c r="A49" s="251"/>
    </row>
    <row r="50">
      <c r="A50" s="251"/>
    </row>
    <row r="51">
      <c r="A51" s="251"/>
    </row>
    <row r="52">
      <c r="A52" s="251"/>
    </row>
    <row r="53">
      <c r="A53" s="251"/>
    </row>
    <row r="54">
      <c r="A54" s="251"/>
    </row>
    <row r="55">
      <c r="A55" s="251"/>
    </row>
    <row r="56">
      <c r="A56" s="251"/>
    </row>
    <row r="57">
      <c r="A57" s="251"/>
    </row>
    <row r="58">
      <c r="A58" s="251"/>
    </row>
    <row r="59">
      <c r="A59" s="251"/>
    </row>
    <row r="60">
      <c r="A60" s="251"/>
    </row>
    <row r="61">
      <c r="A61" s="251"/>
    </row>
    <row r="62">
      <c r="A62" s="251"/>
    </row>
    <row r="63">
      <c r="A63" s="251"/>
    </row>
    <row r="64">
      <c r="A64" s="251"/>
    </row>
    <row r="65">
      <c r="A65" s="251"/>
    </row>
    <row r="66">
      <c r="A66" s="251"/>
    </row>
    <row r="67">
      <c r="A67" s="251"/>
    </row>
    <row r="68">
      <c r="A68" s="251"/>
    </row>
    <row r="69">
      <c r="A69" s="251"/>
    </row>
    <row r="70">
      <c r="A70" s="251"/>
    </row>
    <row r="71">
      <c r="A71" s="251"/>
    </row>
    <row r="72">
      <c r="A72" s="251"/>
    </row>
    <row r="73">
      <c r="A73" s="251"/>
    </row>
    <row r="74">
      <c r="A74" s="251"/>
    </row>
    <row r="75">
      <c r="A75" s="251"/>
    </row>
    <row r="76">
      <c r="A76" s="251"/>
    </row>
    <row r="77">
      <c r="A77" s="251"/>
    </row>
    <row r="78">
      <c r="A78" s="251"/>
    </row>
    <row r="79">
      <c r="A79" s="251"/>
    </row>
    <row r="80">
      <c r="A80" s="251"/>
    </row>
    <row r="81">
      <c r="A81" s="251"/>
    </row>
    <row r="82">
      <c r="A82" s="251"/>
    </row>
    <row r="83">
      <c r="A83" s="251"/>
    </row>
    <row r="84">
      <c r="A84" s="251"/>
    </row>
    <row r="85">
      <c r="A85" s="251"/>
    </row>
    <row r="86">
      <c r="A86" s="251"/>
    </row>
    <row r="87">
      <c r="A87" s="251"/>
    </row>
    <row r="88">
      <c r="A88" s="251"/>
    </row>
    <row r="89">
      <c r="A89" s="251"/>
    </row>
    <row r="90">
      <c r="A90" s="251"/>
    </row>
    <row r="91">
      <c r="A91" s="251"/>
    </row>
    <row r="92">
      <c r="A92" s="251"/>
    </row>
    <row r="93">
      <c r="A93" s="251"/>
    </row>
    <row r="94">
      <c r="A94" s="251"/>
    </row>
    <row r="95">
      <c r="A95" s="251"/>
    </row>
    <row r="96">
      <c r="A96" s="251"/>
    </row>
    <row r="97">
      <c r="A97" s="251"/>
    </row>
    <row r="98">
      <c r="A98" s="251"/>
    </row>
    <row r="99">
      <c r="A99" s="251"/>
    </row>
    <row r="100">
      <c r="A100" s="251"/>
    </row>
    <row r="101">
      <c r="A101" s="251"/>
    </row>
    <row r="102">
      <c r="A102" s="251"/>
    </row>
    <row r="103">
      <c r="A103" s="251"/>
    </row>
    <row r="104">
      <c r="A104" s="251"/>
    </row>
    <row r="105">
      <c r="A105" s="251"/>
    </row>
    <row r="106">
      <c r="A106" s="251"/>
    </row>
    <row r="107">
      <c r="A107" s="251"/>
    </row>
    <row r="108">
      <c r="A108" s="251"/>
    </row>
    <row r="109">
      <c r="A109" s="251"/>
    </row>
    <row r="110">
      <c r="A110" s="251"/>
    </row>
    <row r="111">
      <c r="A111" s="251"/>
    </row>
    <row r="112">
      <c r="A112" s="251"/>
    </row>
    <row r="113">
      <c r="A113" s="251"/>
    </row>
    <row r="114">
      <c r="A114" s="251"/>
    </row>
    <row r="115">
      <c r="A115" s="251"/>
    </row>
    <row r="116">
      <c r="A116" s="251"/>
    </row>
    <row r="117">
      <c r="A117" s="251"/>
    </row>
    <row r="118">
      <c r="A118" s="251"/>
    </row>
    <row r="119">
      <c r="A119" s="251"/>
    </row>
    <row r="120">
      <c r="A120" s="251"/>
    </row>
    <row r="121">
      <c r="A121" s="251"/>
    </row>
    <row r="122">
      <c r="A122" s="251"/>
    </row>
    <row r="123">
      <c r="A123" s="251"/>
    </row>
    <row r="124">
      <c r="A124" s="251"/>
    </row>
    <row r="125">
      <c r="A125" s="251"/>
    </row>
    <row r="126">
      <c r="A126" s="251"/>
    </row>
    <row r="127">
      <c r="A127" s="251"/>
    </row>
    <row r="128">
      <c r="A128" s="251"/>
    </row>
    <row r="129">
      <c r="A129" s="251"/>
    </row>
    <row r="130">
      <c r="A130" s="251"/>
    </row>
    <row r="131">
      <c r="A131" s="251"/>
    </row>
    <row r="132">
      <c r="A132" s="251"/>
    </row>
    <row r="133">
      <c r="A133" s="251"/>
    </row>
    <row r="134">
      <c r="A134" s="251"/>
    </row>
    <row r="135">
      <c r="A135" s="251"/>
    </row>
    <row r="136">
      <c r="A136" s="251"/>
    </row>
    <row r="137">
      <c r="A137" s="251"/>
    </row>
    <row r="138">
      <c r="A138" s="251"/>
    </row>
    <row r="139">
      <c r="A139" s="251"/>
    </row>
    <row r="140">
      <c r="A140" s="251"/>
    </row>
    <row r="141">
      <c r="A141" s="251"/>
    </row>
    <row r="142">
      <c r="A142" s="251"/>
    </row>
    <row r="143">
      <c r="A143" s="251"/>
    </row>
    <row r="144">
      <c r="A144" s="251"/>
    </row>
    <row r="145">
      <c r="A145" s="251"/>
    </row>
    <row r="146">
      <c r="A146" s="251"/>
    </row>
    <row r="147">
      <c r="A147" s="251"/>
    </row>
    <row r="148">
      <c r="A148" s="251"/>
    </row>
    <row r="149">
      <c r="A149" s="251"/>
    </row>
    <row r="150">
      <c r="A150" s="251"/>
    </row>
    <row r="151">
      <c r="A151" s="251"/>
    </row>
    <row r="152">
      <c r="A152" s="251"/>
    </row>
    <row r="153">
      <c r="A153" s="251"/>
    </row>
    <row r="154">
      <c r="A154" s="251"/>
    </row>
    <row r="155">
      <c r="A155" s="251"/>
    </row>
    <row r="156">
      <c r="A156" s="251"/>
    </row>
    <row r="157">
      <c r="A157" s="251"/>
    </row>
    <row r="158">
      <c r="A158" s="251"/>
    </row>
    <row r="159">
      <c r="A159" s="251"/>
    </row>
    <row r="160">
      <c r="A160" s="251"/>
    </row>
    <row r="161">
      <c r="A161" s="251"/>
    </row>
    <row r="162">
      <c r="A162" s="251"/>
    </row>
    <row r="163">
      <c r="A163" s="251"/>
    </row>
    <row r="164">
      <c r="A164" s="251"/>
    </row>
    <row r="165">
      <c r="A165" s="251"/>
    </row>
    <row r="166">
      <c r="A166" s="251"/>
    </row>
    <row r="167">
      <c r="A167" s="251"/>
    </row>
    <row r="168">
      <c r="A168" s="251"/>
    </row>
    <row r="169">
      <c r="A169" s="251"/>
    </row>
    <row r="170">
      <c r="A170" s="251"/>
    </row>
    <row r="171">
      <c r="A171" s="251"/>
    </row>
    <row r="172">
      <c r="A172" s="251"/>
    </row>
    <row r="173">
      <c r="A173" s="251"/>
    </row>
    <row r="174">
      <c r="A174" s="251"/>
    </row>
    <row r="175">
      <c r="A175" s="251"/>
    </row>
    <row r="176">
      <c r="A176" s="251"/>
    </row>
    <row r="177">
      <c r="A177" s="251"/>
    </row>
    <row r="178">
      <c r="A178" s="251"/>
    </row>
    <row r="179">
      <c r="A179" s="251"/>
    </row>
    <row r="180">
      <c r="A180" s="251"/>
    </row>
    <row r="181">
      <c r="A181" s="251"/>
    </row>
    <row r="182">
      <c r="A182" s="251"/>
    </row>
    <row r="183">
      <c r="A183" s="251"/>
    </row>
    <row r="184">
      <c r="A184" s="251"/>
    </row>
    <row r="185">
      <c r="A185" s="251"/>
    </row>
    <row r="186">
      <c r="A186" s="251"/>
    </row>
    <row r="187">
      <c r="A187" s="251"/>
    </row>
    <row r="188">
      <c r="A188" s="251"/>
    </row>
    <row r="189">
      <c r="A189" s="251"/>
    </row>
    <row r="190">
      <c r="A190" s="251"/>
    </row>
    <row r="191">
      <c r="A191" s="251"/>
    </row>
    <row r="192">
      <c r="A192" s="251"/>
    </row>
    <row r="193">
      <c r="A193" s="251"/>
    </row>
    <row r="194">
      <c r="A194" s="251"/>
    </row>
    <row r="195">
      <c r="A195" s="251"/>
    </row>
    <row r="196">
      <c r="A196" s="251"/>
    </row>
    <row r="197">
      <c r="A197" s="251"/>
    </row>
    <row r="198">
      <c r="A198" s="251"/>
    </row>
    <row r="199">
      <c r="A199" s="251"/>
    </row>
    <row r="200">
      <c r="A200" s="251"/>
    </row>
    <row r="201">
      <c r="A201" s="251"/>
    </row>
    <row r="202">
      <c r="A202" s="251"/>
    </row>
    <row r="203">
      <c r="A203" s="251"/>
    </row>
    <row r="204">
      <c r="A204" s="251"/>
    </row>
    <row r="205">
      <c r="A205" s="251"/>
    </row>
    <row r="206">
      <c r="A206" s="251"/>
    </row>
    <row r="207">
      <c r="A207" s="251"/>
    </row>
    <row r="208">
      <c r="A208" s="251"/>
    </row>
    <row r="209">
      <c r="A209" s="251"/>
    </row>
    <row r="210">
      <c r="A210" s="251"/>
    </row>
    <row r="211">
      <c r="A211" s="251"/>
    </row>
    <row r="212">
      <c r="A212" s="251"/>
    </row>
    <row r="213">
      <c r="A213" s="251"/>
    </row>
    <row r="214">
      <c r="A214" s="251"/>
    </row>
    <row r="215">
      <c r="A215" s="251"/>
    </row>
    <row r="216">
      <c r="A216" s="251"/>
    </row>
    <row r="217">
      <c r="A217" s="251"/>
    </row>
    <row r="218">
      <c r="A218" s="251"/>
    </row>
    <row r="219">
      <c r="A219" s="251"/>
    </row>
    <row r="220">
      <c r="A220" s="251"/>
    </row>
    <row r="221">
      <c r="A221" s="251"/>
    </row>
    <row r="222">
      <c r="A222" s="251"/>
    </row>
    <row r="223">
      <c r="A223" s="251"/>
    </row>
    <row r="224">
      <c r="A224" s="251"/>
    </row>
    <row r="225">
      <c r="A225" s="251"/>
    </row>
    <row r="226">
      <c r="A226" s="251"/>
    </row>
    <row r="227">
      <c r="A227" s="251"/>
    </row>
    <row r="228">
      <c r="A228" s="251"/>
    </row>
    <row r="229">
      <c r="A229" s="251"/>
    </row>
    <row r="230">
      <c r="A230" s="251"/>
    </row>
    <row r="231">
      <c r="A231" s="251"/>
    </row>
    <row r="232">
      <c r="A232" s="251"/>
    </row>
    <row r="233">
      <c r="A233" s="251"/>
    </row>
    <row r="234">
      <c r="A234" s="251"/>
    </row>
    <row r="235">
      <c r="A235" s="251"/>
    </row>
    <row r="236">
      <c r="A236" s="251"/>
    </row>
    <row r="237">
      <c r="A237" s="251"/>
    </row>
    <row r="238">
      <c r="A238" s="251"/>
    </row>
    <row r="239">
      <c r="A239" s="251"/>
    </row>
    <row r="240">
      <c r="A240" s="251"/>
    </row>
    <row r="241">
      <c r="A241" s="251"/>
    </row>
    <row r="242">
      <c r="A242" s="251"/>
    </row>
    <row r="243">
      <c r="A243" s="251"/>
    </row>
    <row r="244">
      <c r="A244" s="251"/>
    </row>
    <row r="245">
      <c r="A245" s="251"/>
    </row>
    <row r="246">
      <c r="A246" s="251"/>
    </row>
    <row r="247">
      <c r="A247" s="251"/>
    </row>
    <row r="248">
      <c r="A248" s="251"/>
    </row>
    <row r="249">
      <c r="A249" s="251"/>
    </row>
    <row r="250">
      <c r="A250" s="251"/>
    </row>
    <row r="251">
      <c r="A251" s="251"/>
    </row>
    <row r="252">
      <c r="A252" s="251"/>
    </row>
    <row r="253">
      <c r="A253" s="251"/>
    </row>
    <row r="254">
      <c r="A254" s="251"/>
    </row>
    <row r="255">
      <c r="A255" s="251"/>
    </row>
    <row r="256">
      <c r="A256" s="251"/>
    </row>
    <row r="257">
      <c r="A257" s="251"/>
    </row>
    <row r="258">
      <c r="A258" s="251"/>
    </row>
    <row r="259">
      <c r="A259" s="251"/>
    </row>
    <row r="260">
      <c r="A260" s="251"/>
    </row>
    <row r="261">
      <c r="A261" s="251"/>
    </row>
    <row r="262">
      <c r="A262" s="251"/>
    </row>
    <row r="263">
      <c r="A263" s="251"/>
    </row>
    <row r="264">
      <c r="A264" s="251"/>
    </row>
    <row r="265">
      <c r="A265" s="251"/>
    </row>
    <row r="266">
      <c r="A266" s="251"/>
    </row>
    <row r="267">
      <c r="A267" s="251"/>
    </row>
    <row r="268">
      <c r="A268" s="251"/>
    </row>
    <row r="269">
      <c r="A269" s="251"/>
    </row>
    <row r="270">
      <c r="A270" s="251"/>
    </row>
    <row r="271">
      <c r="A271" s="251"/>
    </row>
    <row r="272">
      <c r="A272" s="251"/>
    </row>
    <row r="273">
      <c r="A273" s="251"/>
    </row>
    <row r="274">
      <c r="A274" s="251"/>
    </row>
    <row r="275">
      <c r="A275" s="251"/>
    </row>
    <row r="276">
      <c r="A276" s="251"/>
    </row>
    <row r="277">
      <c r="A277" s="251"/>
    </row>
    <row r="278">
      <c r="A278" s="251"/>
    </row>
    <row r="279">
      <c r="A279" s="251"/>
    </row>
    <row r="280">
      <c r="A280" s="251"/>
    </row>
    <row r="281">
      <c r="A281" s="251"/>
    </row>
    <row r="282">
      <c r="A282" s="251"/>
    </row>
    <row r="283">
      <c r="A283" s="251"/>
    </row>
    <row r="284">
      <c r="A284" s="251"/>
    </row>
    <row r="285">
      <c r="A285" s="251"/>
    </row>
    <row r="286">
      <c r="A286" s="251"/>
    </row>
    <row r="287">
      <c r="A287" s="251"/>
    </row>
    <row r="288">
      <c r="A288" s="251"/>
    </row>
    <row r="289">
      <c r="A289" s="251"/>
    </row>
    <row r="290">
      <c r="A290" s="251"/>
    </row>
    <row r="291">
      <c r="A291" s="251"/>
    </row>
    <row r="292">
      <c r="A292" s="251"/>
    </row>
    <row r="293">
      <c r="A293" s="251"/>
    </row>
    <row r="294">
      <c r="A294" s="251"/>
    </row>
    <row r="295">
      <c r="A295" s="251"/>
    </row>
    <row r="296">
      <c r="A296" s="251"/>
    </row>
    <row r="297">
      <c r="A297" s="251"/>
    </row>
    <row r="298">
      <c r="A298" s="251"/>
    </row>
    <row r="299">
      <c r="A299" s="251"/>
    </row>
    <row r="300">
      <c r="A300" s="251"/>
    </row>
    <row r="301">
      <c r="A301" s="251"/>
    </row>
    <row r="302">
      <c r="A302" s="251"/>
    </row>
    <row r="303">
      <c r="A303" s="251"/>
    </row>
    <row r="304">
      <c r="A304" s="251"/>
    </row>
    <row r="305">
      <c r="A305" s="251"/>
    </row>
    <row r="306">
      <c r="A306" s="251"/>
    </row>
    <row r="307">
      <c r="A307" s="251"/>
    </row>
    <row r="308">
      <c r="A308" s="251"/>
    </row>
    <row r="309">
      <c r="A309" s="251"/>
    </row>
    <row r="310">
      <c r="A310" s="251"/>
    </row>
    <row r="311">
      <c r="A311" s="251"/>
    </row>
    <row r="312">
      <c r="A312" s="251"/>
    </row>
    <row r="313">
      <c r="A313" s="251"/>
    </row>
    <row r="314">
      <c r="A314" s="251"/>
    </row>
    <row r="315">
      <c r="A315" s="251"/>
    </row>
    <row r="316">
      <c r="A316" s="251"/>
    </row>
    <row r="317">
      <c r="A317" s="251"/>
    </row>
    <row r="318">
      <c r="A318" s="251"/>
    </row>
    <row r="319">
      <c r="A319" s="251"/>
    </row>
    <row r="320">
      <c r="A320" s="251"/>
    </row>
    <row r="321">
      <c r="A321" s="251"/>
    </row>
    <row r="322">
      <c r="A322" s="251"/>
    </row>
    <row r="323">
      <c r="A323" s="251"/>
    </row>
    <row r="324">
      <c r="A324" s="251"/>
    </row>
    <row r="325">
      <c r="A325" s="251"/>
    </row>
    <row r="326">
      <c r="A326" s="251"/>
    </row>
    <row r="327">
      <c r="A327" s="251"/>
    </row>
    <row r="328">
      <c r="A328" s="251"/>
    </row>
    <row r="329">
      <c r="A329" s="251"/>
    </row>
    <row r="330">
      <c r="A330" s="251"/>
    </row>
    <row r="331">
      <c r="A331" s="251"/>
    </row>
    <row r="332">
      <c r="A332" s="251"/>
    </row>
    <row r="333">
      <c r="A333" s="251"/>
    </row>
    <row r="334">
      <c r="A334" s="251"/>
    </row>
    <row r="335">
      <c r="A335" s="251"/>
    </row>
    <row r="336">
      <c r="A336" s="251"/>
    </row>
    <row r="337">
      <c r="A337" s="251"/>
    </row>
    <row r="338">
      <c r="A338" s="251"/>
    </row>
    <row r="339">
      <c r="A339" s="251"/>
    </row>
    <row r="340">
      <c r="A340" s="251"/>
    </row>
    <row r="341">
      <c r="A341" s="251"/>
    </row>
    <row r="342">
      <c r="A342" s="251"/>
    </row>
    <row r="343">
      <c r="A343" s="251"/>
    </row>
    <row r="344">
      <c r="A344" s="251"/>
    </row>
    <row r="345">
      <c r="A345" s="251"/>
    </row>
    <row r="346">
      <c r="A346" s="251"/>
    </row>
    <row r="347">
      <c r="A347" s="251"/>
    </row>
    <row r="348">
      <c r="A348" s="251"/>
    </row>
    <row r="349">
      <c r="A349" s="251"/>
    </row>
    <row r="350">
      <c r="A350" s="251"/>
    </row>
    <row r="351">
      <c r="A351" s="251"/>
    </row>
    <row r="352">
      <c r="A352" s="251"/>
    </row>
    <row r="353">
      <c r="A353" s="251"/>
    </row>
    <row r="354">
      <c r="A354" s="251"/>
    </row>
    <row r="355">
      <c r="A355" s="251"/>
    </row>
    <row r="356">
      <c r="A356" s="251"/>
    </row>
    <row r="357">
      <c r="A357" s="251"/>
    </row>
    <row r="358">
      <c r="A358" s="251"/>
    </row>
    <row r="359">
      <c r="A359" s="251"/>
    </row>
    <row r="360">
      <c r="A360" s="251"/>
    </row>
    <row r="361">
      <c r="A361" s="251"/>
    </row>
    <row r="362">
      <c r="A362" s="251"/>
    </row>
    <row r="363">
      <c r="A363" s="251"/>
    </row>
    <row r="364">
      <c r="A364" s="251"/>
    </row>
    <row r="365">
      <c r="A365" s="251"/>
    </row>
    <row r="366">
      <c r="A366" s="251"/>
    </row>
    <row r="367">
      <c r="A367" s="251"/>
    </row>
    <row r="368">
      <c r="A368" s="251"/>
    </row>
    <row r="369">
      <c r="A369" s="251"/>
    </row>
    <row r="370">
      <c r="A370" s="251"/>
    </row>
    <row r="371">
      <c r="A371" s="251"/>
    </row>
    <row r="372">
      <c r="A372" s="251"/>
    </row>
    <row r="373">
      <c r="A373" s="251"/>
    </row>
    <row r="374">
      <c r="A374" s="251"/>
    </row>
    <row r="375">
      <c r="A375" s="251"/>
    </row>
    <row r="376">
      <c r="A376" s="251"/>
    </row>
    <row r="377">
      <c r="A377" s="251"/>
    </row>
    <row r="378">
      <c r="A378" s="251"/>
    </row>
    <row r="379">
      <c r="A379" s="251"/>
    </row>
    <row r="380">
      <c r="A380" s="251"/>
    </row>
    <row r="381">
      <c r="A381" s="251"/>
    </row>
    <row r="382">
      <c r="A382" s="251"/>
    </row>
    <row r="383">
      <c r="A383" s="251"/>
    </row>
    <row r="384">
      <c r="A384" s="251"/>
    </row>
    <row r="385">
      <c r="A385" s="251"/>
    </row>
    <row r="386">
      <c r="A386" s="251"/>
    </row>
    <row r="387">
      <c r="A387" s="251"/>
    </row>
    <row r="388">
      <c r="A388" s="251"/>
    </row>
    <row r="389">
      <c r="A389" s="251"/>
    </row>
    <row r="390">
      <c r="A390" s="251"/>
    </row>
    <row r="391">
      <c r="A391" s="251"/>
    </row>
    <row r="392">
      <c r="A392" s="251"/>
    </row>
    <row r="393">
      <c r="A393" s="251"/>
    </row>
    <row r="394">
      <c r="A394" s="251"/>
    </row>
    <row r="395">
      <c r="A395" s="251"/>
    </row>
    <row r="396">
      <c r="A396" s="251"/>
    </row>
    <row r="397">
      <c r="A397" s="251"/>
    </row>
    <row r="398">
      <c r="A398" s="251"/>
    </row>
    <row r="399">
      <c r="A399" s="251"/>
    </row>
    <row r="400">
      <c r="A400" s="251"/>
    </row>
    <row r="401">
      <c r="A401" s="251"/>
    </row>
    <row r="402">
      <c r="A402" s="251"/>
    </row>
    <row r="403">
      <c r="A403" s="251"/>
    </row>
    <row r="404">
      <c r="A404" s="251"/>
    </row>
    <row r="405">
      <c r="A405" s="251"/>
    </row>
    <row r="406">
      <c r="A406" s="251"/>
    </row>
    <row r="407">
      <c r="A407" s="251"/>
    </row>
    <row r="408">
      <c r="A408" s="251"/>
    </row>
    <row r="409">
      <c r="A409" s="251"/>
    </row>
    <row r="410">
      <c r="A410" s="251"/>
    </row>
    <row r="411">
      <c r="A411" s="251"/>
    </row>
    <row r="412">
      <c r="A412" s="251"/>
    </row>
    <row r="413">
      <c r="A413" s="251"/>
    </row>
    <row r="414">
      <c r="A414" s="251"/>
    </row>
    <row r="415">
      <c r="A415" s="251"/>
    </row>
    <row r="416">
      <c r="A416" s="251"/>
    </row>
    <row r="417">
      <c r="A417" s="251"/>
    </row>
    <row r="418">
      <c r="A418" s="251"/>
    </row>
    <row r="419">
      <c r="A419" s="251"/>
    </row>
    <row r="420">
      <c r="A420" s="251"/>
    </row>
    <row r="421">
      <c r="A421" s="251"/>
    </row>
    <row r="422">
      <c r="A422" s="251"/>
    </row>
    <row r="423">
      <c r="A423" s="251"/>
    </row>
    <row r="424">
      <c r="A424" s="251"/>
    </row>
    <row r="425">
      <c r="A425" s="251"/>
    </row>
    <row r="426">
      <c r="A426" s="251"/>
    </row>
    <row r="427">
      <c r="A427" s="251"/>
    </row>
    <row r="428">
      <c r="A428" s="251"/>
    </row>
    <row r="429">
      <c r="A429" s="251"/>
    </row>
    <row r="430">
      <c r="A430" s="251"/>
    </row>
    <row r="431">
      <c r="A431" s="251"/>
    </row>
    <row r="432">
      <c r="A432" s="251"/>
    </row>
    <row r="433">
      <c r="A433" s="251"/>
    </row>
    <row r="434">
      <c r="A434" s="251"/>
    </row>
    <row r="435">
      <c r="A435" s="251"/>
    </row>
    <row r="436">
      <c r="A436" s="251"/>
    </row>
    <row r="437">
      <c r="A437" s="251"/>
    </row>
    <row r="438">
      <c r="A438" s="251"/>
    </row>
    <row r="439">
      <c r="A439" s="251"/>
    </row>
    <row r="440">
      <c r="A440" s="251"/>
    </row>
    <row r="441">
      <c r="A441" s="251"/>
    </row>
    <row r="442">
      <c r="A442" s="251"/>
    </row>
    <row r="443">
      <c r="A443" s="251"/>
    </row>
    <row r="444">
      <c r="A444" s="251"/>
    </row>
    <row r="445">
      <c r="A445" s="251"/>
    </row>
    <row r="446">
      <c r="A446" s="251"/>
    </row>
    <row r="447">
      <c r="A447" s="251"/>
    </row>
    <row r="448">
      <c r="A448" s="251"/>
    </row>
    <row r="449">
      <c r="A449" s="251"/>
    </row>
    <row r="450">
      <c r="A450" s="251"/>
    </row>
    <row r="451">
      <c r="A451" s="251"/>
    </row>
    <row r="452">
      <c r="A452" s="251"/>
    </row>
    <row r="453">
      <c r="A453" s="251"/>
    </row>
    <row r="454">
      <c r="A454" s="251"/>
    </row>
    <row r="455">
      <c r="A455" s="251"/>
    </row>
    <row r="456">
      <c r="A456" s="251"/>
    </row>
    <row r="457">
      <c r="A457" s="251"/>
    </row>
    <row r="458">
      <c r="A458" s="251"/>
    </row>
    <row r="459">
      <c r="A459" s="251"/>
    </row>
    <row r="460">
      <c r="A460" s="251"/>
    </row>
    <row r="461">
      <c r="A461" s="251"/>
    </row>
    <row r="462">
      <c r="A462" s="251"/>
    </row>
    <row r="463">
      <c r="A463" s="251"/>
    </row>
    <row r="464">
      <c r="A464" s="251"/>
    </row>
    <row r="465">
      <c r="A465" s="251"/>
    </row>
    <row r="466">
      <c r="A466" s="251"/>
    </row>
    <row r="467">
      <c r="A467" s="251"/>
    </row>
    <row r="468">
      <c r="A468" s="251"/>
    </row>
    <row r="469">
      <c r="A469" s="251"/>
    </row>
    <row r="470">
      <c r="A470" s="251"/>
    </row>
    <row r="471">
      <c r="A471" s="251"/>
    </row>
    <row r="472">
      <c r="A472" s="251"/>
    </row>
    <row r="473">
      <c r="A473" s="251"/>
    </row>
    <row r="474">
      <c r="A474" s="251"/>
    </row>
    <row r="475">
      <c r="A475" s="251"/>
    </row>
    <row r="476">
      <c r="A476" s="251"/>
    </row>
    <row r="477">
      <c r="A477" s="251"/>
    </row>
    <row r="478">
      <c r="A478" s="251"/>
    </row>
    <row r="479">
      <c r="A479" s="251"/>
    </row>
    <row r="480">
      <c r="A480" s="251"/>
    </row>
    <row r="481">
      <c r="A481" s="251"/>
    </row>
    <row r="482">
      <c r="A482" s="251"/>
    </row>
    <row r="483">
      <c r="A483" s="251"/>
    </row>
    <row r="484">
      <c r="A484" s="251"/>
    </row>
    <row r="485">
      <c r="A485" s="251"/>
    </row>
    <row r="486">
      <c r="A486" s="251"/>
    </row>
    <row r="487">
      <c r="A487" s="251"/>
    </row>
    <row r="488">
      <c r="A488" s="251"/>
    </row>
    <row r="489">
      <c r="A489" s="251"/>
    </row>
    <row r="490">
      <c r="A490" s="251"/>
    </row>
    <row r="491">
      <c r="A491" s="251"/>
    </row>
    <row r="492">
      <c r="A492" s="251"/>
    </row>
    <row r="493">
      <c r="A493" s="251"/>
    </row>
    <row r="494">
      <c r="A494" s="251"/>
    </row>
    <row r="495">
      <c r="A495" s="251"/>
    </row>
    <row r="496">
      <c r="A496" s="251"/>
    </row>
    <row r="497">
      <c r="A497" s="251"/>
    </row>
    <row r="498">
      <c r="A498" s="251"/>
    </row>
    <row r="499">
      <c r="A499" s="251"/>
    </row>
    <row r="500">
      <c r="A500" s="251"/>
    </row>
    <row r="501">
      <c r="A501" s="251"/>
    </row>
    <row r="502">
      <c r="A502" s="251"/>
    </row>
    <row r="503">
      <c r="A503" s="251"/>
    </row>
    <row r="504">
      <c r="A504" s="251"/>
    </row>
    <row r="505">
      <c r="A505" s="251"/>
    </row>
    <row r="506">
      <c r="A506" s="251"/>
    </row>
    <row r="507">
      <c r="A507" s="251"/>
    </row>
    <row r="508">
      <c r="A508" s="251"/>
    </row>
    <row r="509">
      <c r="A509" s="251"/>
    </row>
    <row r="510">
      <c r="A510" s="251"/>
    </row>
    <row r="511">
      <c r="A511" s="251"/>
    </row>
    <row r="512">
      <c r="A512" s="251"/>
    </row>
    <row r="513">
      <c r="A513" s="251"/>
    </row>
    <row r="514">
      <c r="A514" s="251"/>
    </row>
    <row r="515">
      <c r="A515" s="251"/>
    </row>
    <row r="516">
      <c r="A516" s="251"/>
    </row>
    <row r="517">
      <c r="A517" s="251"/>
    </row>
    <row r="518">
      <c r="A518" s="251"/>
    </row>
    <row r="519">
      <c r="A519" s="251"/>
    </row>
    <row r="520">
      <c r="A520" s="251"/>
    </row>
    <row r="521">
      <c r="A521" s="251"/>
    </row>
    <row r="522">
      <c r="A522" s="251"/>
    </row>
    <row r="523">
      <c r="A523" s="251"/>
    </row>
    <row r="524">
      <c r="A524" s="251"/>
    </row>
    <row r="525">
      <c r="A525" s="251"/>
    </row>
    <row r="526">
      <c r="A526" s="251"/>
    </row>
    <row r="527">
      <c r="A527" s="251"/>
    </row>
    <row r="528">
      <c r="A528" s="251"/>
    </row>
    <row r="529">
      <c r="A529" s="251"/>
    </row>
    <row r="530">
      <c r="A530" s="251"/>
    </row>
    <row r="531">
      <c r="A531" s="251"/>
    </row>
    <row r="532">
      <c r="A532" s="251"/>
    </row>
    <row r="533">
      <c r="A533" s="251"/>
    </row>
    <row r="534">
      <c r="A534" s="251"/>
    </row>
    <row r="535">
      <c r="A535" s="251"/>
    </row>
    <row r="536">
      <c r="A536" s="251"/>
    </row>
    <row r="537">
      <c r="A537" s="251"/>
    </row>
    <row r="538">
      <c r="A538" s="251"/>
    </row>
    <row r="539">
      <c r="A539" s="251"/>
    </row>
    <row r="540">
      <c r="A540" s="251"/>
    </row>
    <row r="541">
      <c r="A541" s="251"/>
    </row>
    <row r="542">
      <c r="A542" s="251"/>
    </row>
    <row r="543">
      <c r="A543" s="251"/>
    </row>
    <row r="544">
      <c r="A544" s="251"/>
    </row>
    <row r="545">
      <c r="A545" s="251"/>
    </row>
    <row r="546">
      <c r="A546" s="251"/>
    </row>
    <row r="547">
      <c r="A547" s="251"/>
    </row>
    <row r="548">
      <c r="A548" s="251"/>
    </row>
    <row r="549">
      <c r="A549" s="251"/>
    </row>
    <row r="550">
      <c r="A550" s="251"/>
    </row>
    <row r="551">
      <c r="A551" s="251"/>
    </row>
    <row r="552">
      <c r="A552" s="251"/>
    </row>
    <row r="553">
      <c r="A553" s="251"/>
    </row>
    <row r="554">
      <c r="A554" s="251"/>
    </row>
    <row r="555">
      <c r="A555" s="251"/>
    </row>
    <row r="556">
      <c r="A556" s="251"/>
    </row>
    <row r="557">
      <c r="A557" s="251"/>
    </row>
    <row r="558">
      <c r="A558" s="251"/>
    </row>
    <row r="559">
      <c r="A559" s="251"/>
    </row>
    <row r="560">
      <c r="A560" s="251"/>
    </row>
    <row r="561">
      <c r="A561" s="251"/>
    </row>
    <row r="562">
      <c r="A562" s="251"/>
    </row>
    <row r="563">
      <c r="A563" s="251"/>
    </row>
    <row r="564">
      <c r="A564" s="251"/>
    </row>
    <row r="565">
      <c r="A565" s="251"/>
    </row>
    <row r="566">
      <c r="A566" s="251"/>
    </row>
    <row r="567">
      <c r="A567" s="251"/>
    </row>
    <row r="568">
      <c r="A568" s="251"/>
    </row>
    <row r="569">
      <c r="A569" s="251"/>
    </row>
    <row r="570">
      <c r="A570" s="251"/>
    </row>
    <row r="571">
      <c r="A571" s="251"/>
    </row>
    <row r="572">
      <c r="A572" s="251"/>
    </row>
    <row r="573">
      <c r="A573" s="251"/>
    </row>
    <row r="574">
      <c r="A574" s="251"/>
    </row>
    <row r="575">
      <c r="A575" s="251"/>
    </row>
    <row r="576">
      <c r="A576" s="251"/>
    </row>
    <row r="577">
      <c r="A577" s="251"/>
    </row>
    <row r="578">
      <c r="A578" s="251"/>
    </row>
    <row r="579">
      <c r="A579" s="251"/>
    </row>
    <row r="580">
      <c r="A580" s="251"/>
    </row>
    <row r="581">
      <c r="A581" s="251"/>
    </row>
    <row r="582">
      <c r="A582" s="251"/>
    </row>
    <row r="583">
      <c r="A583" s="251"/>
    </row>
    <row r="584">
      <c r="A584" s="251"/>
    </row>
    <row r="585">
      <c r="A585" s="251"/>
    </row>
    <row r="586">
      <c r="A586" s="251"/>
    </row>
    <row r="587">
      <c r="A587" s="251"/>
    </row>
    <row r="588">
      <c r="A588" s="251"/>
    </row>
    <row r="589">
      <c r="A589" s="251"/>
    </row>
    <row r="590">
      <c r="A590" s="251"/>
    </row>
    <row r="591">
      <c r="A591" s="251"/>
    </row>
    <row r="592">
      <c r="A592" s="251"/>
    </row>
    <row r="593">
      <c r="A593" s="251"/>
    </row>
    <row r="594">
      <c r="A594" s="251"/>
    </row>
    <row r="595">
      <c r="A595" s="251"/>
    </row>
    <row r="596">
      <c r="A596" s="251"/>
    </row>
    <row r="597">
      <c r="A597" s="251"/>
    </row>
    <row r="598">
      <c r="A598" s="251"/>
    </row>
    <row r="599">
      <c r="A599" s="251"/>
    </row>
    <row r="600">
      <c r="A600" s="251"/>
    </row>
    <row r="601">
      <c r="A601" s="251"/>
    </row>
    <row r="602">
      <c r="A602" s="251"/>
    </row>
    <row r="603">
      <c r="A603" s="251"/>
    </row>
    <row r="604">
      <c r="A604" s="251"/>
    </row>
    <row r="605">
      <c r="A605" s="251"/>
    </row>
    <row r="606">
      <c r="A606" s="251"/>
    </row>
    <row r="607">
      <c r="A607" s="251"/>
    </row>
    <row r="608">
      <c r="A608" s="251"/>
    </row>
    <row r="609">
      <c r="A609" s="251"/>
    </row>
    <row r="610">
      <c r="A610" s="251"/>
    </row>
    <row r="611">
      <c r="A611" s="251"/>
    </row>
    <row r="612">
      <c r="A612" s="251"/>
    </row>
    <row r="613">
      <c r="A613" s="251"/>
    </row>
    <row r="614">
      <c r="A614" s="251"/>
    </row>
    <row r="615">
      <c r="A615" s="251"/>
    </row>
    <row r="616">
      <c r="A616" s="251"/>
    </row>
    <row r="617">
      <c r="A617" s="251"/>
    </row>
    <row r="618">
      <c r="A618" s="251"/>
    </row>
    <row r="619">
      <c r="A619" s="251"/>
    </row>
    <row r="620">
      <c r="A620" s="251"/>
    </row>
    <row r="621">
      <c r="A621" s="251"/>
    </row>
    <row r="622">
      <c r="A622" s="251"/>
    </row>
    <row r="623">
      <c r="A623" s="251"/>
    </row>
    <row r="624">
      <c r="A624" s="251"/>
    </row>
    <row r="625">
      <c r="A625" s="251"/>
    </row>
    <row r="626">
      <c r="A626" s="251"/>
    </row>
    <row r="627">
      <c r="A627" s="251"/>
    </row>
    <row r="628">
      <c r="A628" s="251"/>
    </row>
    <row r="629">
      <c r="A629" s="251"/>
    </row>
    <row r="630">
      <c r="A630" s="251"/>
    </row>
    <row r="631">
      <c r="A631" s="251"/>
    </row>
    <row r="632">
      <c r="A632" s="251"/>
    </row>
    <row r="633">
      <c r="A633" s="251"/>
    </row>
    <row r="634">
      <c r="A634" s="251"/>
    </row>
    <row r="635">
      <c r="A635" s="251"/>
    </row>
    <row r="636">
      <c r="A636" s="251"/>
    </row>
    <row r="637">
      <c r="A637" s="251"/>
    </row>
    <row r="638">
      <c r="A638" s="251"/>
    </row>
    <row r="639">
      <c r="A639" s="251"/>
    </row>
    <row r="640">
      <c r="A640" s="251"/>
    </row>
    <row r="641">
      <c r="A641" s="251"/>
    </row>
    <row r="642">
      <c r="A642" s="251"/>
    </row>
    <row r="643">
      <c r="A643" s="251"/>
    </row>
    <row r="644">
      <c r="A644" s="251"/>
    </row>
    <row r="645">
      <c r="A645" s="251"/>
    </row>
    <row r="646">
      <c r="A646" s="251"/>
    </row>
    <row r="647">
      <c r="A647" s="251"/>
    </row>
    <row r="648">
      <c r="A648" s="251"/>
    </row>
    <row r="649">
      <c r="A649" s="251"/>
    </row>
    <row r="650">
      <c r="A650" s="251"/>
    </row>
    <row r="651">
      <c r="A651" s="251"/>
    </row>
    <row r="652">
      <c r="A652" s="251"/>
    </row>
    <row r="653">
      <c r="A653" s="251"/>
    </row>
    <row r="654">
      <c r="A654" s="251"/>
    </row>
    <row r="655">
      <c r="A655" s="251"/>
    </row>
    <row r="656">
      <c r="A656" s="251"/>
    </row>
    <row r="657">
      <c r="A657" s="251"/>
    </row>
    <row r="658">
      <c r="A658" s="251"/>
    </row>
    <row r="659">
      <c r="A659" s="251"/>
    </row>
    <row r="660">
      <c r="A660" s="251"/>
    </row>
    <row r="661">
      <c r="A661" s="251"/>
    </row>
    <row r="662">
      <c r="A662" s="251"/>
    </row>
    <row r="663">
      <c r="A663" s="251"/>
    </row>
    <row r="664">
      <c r="A664" s="251"/>
    </row>
    <row r="665">
      <c r="A665" s="251"/>
    </row>
    <row r="666">
      <c r="A666" s="251"/>
    </row>
    <row r="667">
      <c r="A667" s="251"/>
    </row>
    <row r="668">
      <c r="A668" s="251"/>
    </row>
    <row r="669">
      <c r="A669" s="251"/>
    </row>
    <row r="670">
      <c r="A670" s="251"/>
    </row>
    <row r="671">
      <c r="A671" s="251"/>
    </row>
    <row r="672">
      <c r="A672" s="251"/>
    </row>
    <row r="673">
      <c r="A673" s="251"/>
    </row>
    <row r="674">
      <c r="A674" s="251"/>
    </row>
    <row r="675">
      <c r="A675" s="251"/>
    </row>
    <row r="676">
      <c r="A676" s="251"/>
    </row>
    <row r="677">
      <c r="A677" s="251"/>
    </row>
    <row r="678">
      <c r="A678" s="251"/>
    </row>
    <row r="679">
      <c r="A679" s="251"/>
    </row>
    <row r="680">
      <c r="A680" s="251"/>
    </row>
    <row r="681">
      <c r="A681" s="251"/>
    </row>
    <row r="682">
      <c r="A682" s="251"/>
    </row>
    <row r="683">
      <c r="A683" s="251"/>
    </row>
    <row r="684">
      <c r="A684" s="251"/>
    </row>
    <row r="685">
      <c r="A685" s="251"/>
    </row>
    <row r="686">
      <c r="A686" s="251"/>
    </row>
    <row r="687">
      <c r="A687" s="251"/>
    </row>
    <row r="688">
      <c r="A688" s="251"/>
    </row>
    <row r="689">
      <c r="A689" s="251"/>
    </row>
    <row r="690">
      <c r="A690" s="251"/>
    </row>
    <row r="691">
      <c r="A691" s="251"/>
    </row>
    <row r="692">
      <c r="A692" s="251"/>
    </row>
    <row r="693">
      <c r="A693" s="251"/>
    </row>
    <row r="694">
      <c r="A694" s="251"/>
    </row>
    <row r="695">
      <c r="A695" s="251"/>
    </row>
    <row r="696">
      <c r="A696" s="251"/>
    </row>
    <row r="697">
      <c r="A697" s="251"/>
    </row>
    <row r="698">
      <c r="A698" s="251"/>
    </row>
    <row r="699">
      <c r="A699" s="251"/>
    </row>
    <row r="700">
      <c r="A700" s="251"/>
    </row>
    <row r="701">
      <c r="A701" s="251"/>
    </row>
    <row r="702">
      <c r="A702" s="251"/>
    </row>
    <row r="703">
      <c r="A703" s="251"/>
    </row>
    <row r="704">
      <c r="A704" s="251"/>
    </row>
    <row r="705">
      <c r="A705" s="251"/>
    </row>
    <row r="706">
      <c r="A706" s="251"/>
    </row>
    <row r="707">
      <c r="A707" s="251"/>
    </row>
    <row r="708">
      <c r="A708" s="251"/>
    </row>
    <row r="709">
      <c r="A709" s="251"/>
    </row>
    <row r="710">
      <c r="A710" s="251"/>
    </row>
    <row r="711">
      <c r="A711" s="251"/>
    </row>
    <row r="712">
      <c r="A712" s="251"/>
    </row>
    <row r="713">
      <c r="A713" s="251"/>
    </row>
    <row r="714">
      <c r="A714" s="251"/>
    </row>
    <row r="715">
      <c r="A715" s="251"/>
    </row>
    <row r="716">
      <c r="A716" s="251"/>
    </row>
    <row r="717">
      <c r="A717" s="251"/>
    </row>
    <row r="718">
      <c r="A718" s="251"/>
    </row>
    <row r="719">
      <c r="A719" s="251"/>
    </row>
    <row r="720">
      <c r="A720" s="251"/>
    </row>
    <row r="721">
      <c r="A721" s="251"/>
    </row>
    <row r="722">
      <c r="A722" s="251"/>
    </row>
    <row r="723">
      <c r="A723" s="251"/>
    </row>
    <row r="724">
      <c r="A724" s="251"/>
    </row>
    <row r="725">
      <c r="A725" s="251"/>
    </row>
    <row r="726">
      <c r="A726" s="251"/>
    </row>
    <row r="727">
      <c r="A727" s="251"/>
    </row>
    <row r="728">
      <c r="A728" s="251"/>
    </row>
    <row r="729">
      <c r="A729" s="251"/>
    </row>
    <row r="730">
      <c r="A730" s="251"/>
    </row>
    <row r="731">
      <c r="A731" s="251"/>
    </row>
    <row r="732">
      <c r="A732" s="251"/>
    </row>
    <row r="733">
      <c r="A733" s="251"/>
    </row>
    <row r="734">
      <c r="A734" s="251"/>
    </row>
    <row r="735">
      <c r="A735" s="251"/>
    </row>
    <row r="736">
      <c r="A736" s="251"/>
    </row>
    <row r="737">
      <c r="A737" s="251"/>
    </row>
    <row r="738">
      <c r="A738" s="251"/>
    </row>
    <row r="739">
      <c r="A739" s="251"/>
    </row>
    <row r="740">
      <c r="A740" s="251"/>
    </row>
    <row r="741">
      <c r="A741" s="251"/>
    </row>
    <row r="742">
      <c r="A742" s="251"/>
    </row>
    <row r="743">
      <c r="A743" s="251"/>
    </row>
    <row r="744">
      <c r="A744" s="251"/>
    </row>
    <row r="745">
      <c r="A745" s="251"/>
    </row>
    <row r="746">
      <c r="A746" s="251"/>
    </row>
    <row r="747">
      <c r="A747" s="251"/>
    </row>
    <row r="748">
      <c r="A748" s="251"/>
    </row>
    <row r="749">
      <c r="A749" s="251"/>
    </row>
    <row r="750">
      <c r="A750" s="251"/>
    </row>
    <row r="751">
      <c r="A751" s="251"/>
    </row>
    <row r="752">
      <c r="A752" s="251"/>
    </row>
    <row r="753">
      <c r="A753" s="251"/>
    </row>
    <row r="754">
      <c r="A754" s="251"/>
    </row>
    <row r="755">
      <c r="A755" s="251"/>
    </row>
    <row r="756">
      <c r="A756" s="251"/>
    </row>
    <row r="757">
      <c r="A757" s="251"/>
    </row>
    <row r="758">
      <c r="A758" s="251"/>
    </row>
    <row r="759">
      <c r="A759" s="251"/>
    </row>
    <row r="760">
      <c r="A760" s="251"/>
    </row>
    <row r="761">
      <c r="A761" s="251"/>
    </row>
    <row r="762">
      <c r="A762" s="251"/>
    </row>
    <row r="763">
      <c r="A763" s="251"/>
    </row>
    <row r="764">
      <c r="A764" s="251"/>
    </row>
    <row r="765">
      <c r="A765" s="251"/>
    </row>
    <row r="766">
      <c r="A766" s="251"/>
    </row>
    <row r="767">
      <c r="A767" s="251"/>
    </row>
    <row r="768">
      <c r="A768" s="251"/>
    </row>
    <row r="769">
      <c r="A769" s="251"/>
    </row>
    <row r="770">
      <c r="A770" s="251"/>
    </row>
    <row r="771">
      <c r="A771" s="251"/>
    </row>
    <row r="772">
      <c r="A772" s="251"/>
    </row>
    <row r="773">
      <c r="A773" s="251"/>
    </row>
    <row r="774">
      <c r="A774" s="251"/>
    </row>
    <row r="775">
      <c r="A775" s="251"/>
    </row>
    <row r="776">
      <c r="A776" s="251"/>
    </row>
    <row r="777">
      <c r="A777" s="251"/>
    </row>
    <row r="778">
      <c r="A778" s="251"/>
    </row>
    <row r="779">
      <c r="A779" s="251"/>
    </row>
    <row r="780">
      <c r="A780" s="251"/>
    </row>
    <row r="781">
      <c r="A781" s="251"/>
    </row>
    <row r="782">
      <c r="A782" s="251"/>
    </row>
    <row r="783">
      <c r="A783" s="251"/>
    </row>
    <row r="784">
      <c r="A784" s="251"/>
    </row>
    <row r="785">
      <c r="A785" s="251"/>
    </row>
    <row r="786">
      <c r="A786" s="251"/>
    </row>
    <row r="787">
      <c r="A787" s="251"/>
    </row>
    <row r="788">
      <c r="A788" s="251"/>
    </row>
    <row r="789">
      <c r="A789" s="251"/>
    </row>
    <row r="790">
      <c r="A790" s="251"/>
    </row>
    <row r="791">
      <c r="A791" s="251"/>
    </row>
    <row r="792">
      <c r="A792" s="251"/>
    </row>
    <row r="793">
      <c r="A793" s="251"/>
    </row>
    <row r="794">
      <c r="A794" s="251"/>
    </row>
    <row r="795">
      <c r="A795" s="251"/>
    </row>
    <row r="796">
      <c r="A796" s="251"/>
    </row>
    <row r="797">
      <c r="A797" s="251"/>
    </row>
    <row r="798">
      <c r="A798" s="251"/>
    </row>
    <row r="799">
      <c r="A799" s="251"/>
    </row>
    <row r="800">
      <c r="A800" s="251"/>
    </row>
    <row r="801">
      <c r="A801" s="251"/>
    </row>
    <row r="802">
      <c r="A802" s="251"/>
    </row>
    <row r="803">
      <c r="A803" s="251"/>
    </row>
    <row r="804">
      <c r="A804" s="251"/>
    </row>
    <row r="805">
      <c r="A805" s="251"/>
    </row>
    <row r="806">
      <c r="A806" s="251"/>
    </row>
    <row r="807">
      <c r="A807" s="251"/>
    </row>
    <row r="808">
      <c r="A808" s="251"/>
    </row>
    <row r="809">
      <c r="A809" s="251"/>
    </row>
    <row r="810">
      <c r="A810" s="251"/>
    </row>
    <row r="811">
      <c r="A811" s="251"/>
    </row>
    <row r="812">
      <c r="A812" s="251"/>
    </row>
    <row r="813">
      <c r="A813" s="251"/>
    </row>
    <row r="814">
      <c r="A814" s="251"/>
    </row>
    <row r="815">
      <c r="A815" s="251"/>
    </row>
    <row r="816">
      <c r="A816" s="251"/>
    </row>
    <row r="817">
      <c r="A817" s="251"/>
    </row>
    <row r="818">
      <c r="A818" s="251"/>
    </row>
    <row r="819">
      <c r="A819" s="251"/>
    </row>
    <row r="820">
      <c r="A820" s="251"/>
    </row>
    <row r="821">
      <c r="A821" s="251"/>
    </row>
    <row r="822">
      <c r="A822" s="251"/>
    </row>
    <row r="823">
      <c r="A823" s="251"/>
    </row>
    <row r="824">
      <c r="A824" s="251"/>
    </row>
    <row r="825">
      <c r="A825" s="251"/>
    </row>
    <row r="826">
      <c r="A826" s="251"/>
    </row>
    <row r="827">
      <c r="A827" s="251"/>
    </row>
    <row r="828">
      <c r="A828" s="251"/>
    </row>
    <row r="829">
      <c r="A829" s="251"/>
    </row>
    <row r="830">
      <c r="A830" s="251"/>
    </row>
    <row r="831">
      <c r="A831" s="251"/>
    </row>
    <row r="832">
      <c r="A832" s="251"/>
    </row>
    <row r="833">
      <c r="A833" s="251"/>
    </row>
    <row r="834">
      <c r="A834" s="251"/>
    </row>
    <row r="835">
      <c r="A835" s="251"/>
    </row>
    <row r="836">
      <c r="A836" s="251"/>
    </row>
    <row r="837">
      <c r="A837" s="251"/>
    </row>
    <row r="838">
      <c r="A838" s="251"/>
    </row>
    <row r="839">
      <c r="A839" s="251"/>
    </row>
    <row r="840">
      <c r="A840" s="251"/>
    </row>
    <row r="841">
      <c r="A841" s="251"/>
    </row>
    <row r="842">
      <c r="A842" s="251"/>
    </row>
    <row r="843">
      <c r="A843" s="251"/>
    </row>
    <row r="844">
      <c r="A844" s="251"/>
    </row>
    <row r="845">
      <c r="A845" s="251"/>
    </row>
    <row r="846">
      <c r="A846" s="251"/>
    </row>
    <row r="847">
      <c r="A847" s="251"/>
    </row>
    <row r="848">
      <c r="A848" s="251"/>
    </row>
    <row r="849">
      <c r="A849" s="251"/>
    </row>
    <row r="850">
      <c r="A850" s="251"/>
    </row>
    <row r="851">
      <c r="A851" s="251"/>
    </row>
    <row r="852">
      <c r="A852" s="251"/>
    </row>
    <row r="853">
      <c r="A853" s="251"/>
    </row>
    <row r="854">
      <c r="A854" s="251"/>
    </row>
    <row r="855">
      <c r="A855" s="251"/>
    </row>
    <row r="856">
      <c r="A856" s="251"/>
    </row>
    <row r="857">
      <c r="A857" s="251"/>
    </row>
    <row r="858">
      <c r="A858" s="251"/>
    </row>
    <row r="859">
      <c r="A859" s="251"/>
    </row>
    <row r="860">
      <c r="A860" s="251"/>
    </row>
    <row r="861">
      <c r="A861" s="251"/>
    </row>
    <row r="862">
      <c r="A862" s="251"/>
    </row>
    <row r="863">
      <c r="A863" s="251"/>
    </row>
    <row r="864">
      <c r="A864" s="251"/>
    </row>
    <row r="865">
      <c r="A865" s="251"/>
    </row>
    <row r="866">
      <c r="A866" s="251"/>
    </row>
    <row r="867">
      <c r="A867" s="251"/>
    </row>
    <row r="868">
      <c r="A868" s="251"/>
    </row>
    <row r="869">
      <c r="A869" s="251"/>
    </row>
    <row r="870">
      <c r="A870" s="251"/>
    </row>
    <row r="871">
      <c r="A871" s="251"/>
    </row>
    <row r="872">
      <c r="A872" s="251"/>
    </row>
    <row r="873">
      <c r="A873" s="251"/>
    </row>
    <row r="874">
      <c r="A874" s="251"/>
    </row>
    <row r="875">
      <c r="A875" s="251"/>
    </row>
    <row r="876">
      <c r="A876" s="251"/>
    </row>
    <row r="877">
      <c r="A877" s="251"/>
    </row>
    <row r="878">
      <c r="A878" s="251"/>
    </row>
    <row r="879">
      <c r="A879" s="251"/>
    </row>
    <row r="880">
      <c r="A880" s="251"/>
    </row>
    <row r="881">
      <c r="A881" s="251"/>
    </row>
    <row r="882">
      <c r="A882" s="251"/>
    </row>
    <row r="883">
      <c r="A883" s="251"/>
    </row>
    <row r="884">
      <c r="A884" s="251"/>
    </row>
    <row r="885">
      <c r="A885" s="251"/>
    </row>
    <row r="886">
      <c r="A886" s="251"/>
    </row>
    <row r="887">
      <c r="A887" s="251"/>
    </row>
    <row r="888">
      <c r="A888" s="251"/>
    </row>
    <row r="889">
      <c r="A889" s="251"/>
    </row>
    <row r="890">
      <c r="A890" s="251"/>
    </row>
    <row r="891">
      <c r="A891" s="251"/>
    </row>
    <row r="892">
      <c r="A892" s="251"/>
    </row>
    <row r="893">
      <c r="A893" s="251"/>
    </row>
    <row r="894">
      <c r="A894" s="251"/>
    </row>
    <row r="895">
      <c r="A895" s="251"/>
    </row>
    <row r="896">
      <c r="A896" s="251"/>
    </row>
    <row r="897">
      <c r="A897" s="251"/>
    </row>
    <row r="898">
      <c r="A898" s="251"/>
    </row>
    <row r="899">
      <c r="A899" s="251"/>
    </row>
    <row r="900">
      <c r="A900" s="251"/>
    </row>
    <row r="901">
      <c r="A901" s="251"/>
    </row>
    <row r="902">
      <c r="A902" s="251"/>
    </row>
    <row r="903">
      <c r="A903" s="251"/>
    </row>
    <row r="904">
      <c r="A904" s="251"/>
    </row>
    <row r="905">
      <c r="A905" s="251"/>
    </row>
    <row r="906">
      <c r="A906" s="251"/>
    </row>
    <row r="907">
      <c r="A907" s="251"/>
    </row>
    <row r="908">
      <c r="A908" s="251"/>
    </row>
    <row r="909">
      <c r="A909" s="251"/>
    </row>
    <row r="910">
      <c r="A910" s="251"/>
    </row>
    <row r="911">
      <c r="A911" s="251"/>
    </row>
    <row r="912">
      <c r="A912" s="251"/>
    </row>
    <row r="913">
      <c r="A913" s="251"/>
    </row>
    <row r="914">
      <c r="A914" s="251"/>
    </row>
    <row r="915">
      <c r="A915" s="251"/>
    </row>
    <row r="916">
      <c r="A916" s="251"/>
    </row>
    <row r="917">
      <c r="A917" s="251"/>
    </row>
    <row r="918">
      <c r="A918" s="251"/>
    </row>
    <row r="919">
      <c r="A919" s="251"/>
    </row>
    <row r="920">
      <c r="A920" s="251"/>
    </row>
    <row r="921">
      <c r="A921" s="251"/>
    </row>
    <row r="922">
      <c r="A922" s="251"/>
    </row>
    <row r="923">
      <c r="A923" s="251"/>
    </row>
    <row r="924">
      <c r="A924" s="251"/>
    </row>
    <row r="925">
      <c r="A925" s="251"/>
    </row>
    <row r="926">
      <c r="A926" s="251"/>
    </row>
    <row r="927">
      <c r="A927" s="251"/>
    </row>
    <row r="928">
      <c r="A928" s="251"/>
    </row>
    <row r="929">
      <c r="A929" s="251"/>
    </row>
    <row r="930">
      <c r="A930" s="251"/>
    </row>
    <row r="931">
      <c r="A931" s="251"/>
    </row>
    <row r="932">
      <c r="A932" s="251"/>
    </row>
    <row r="933">
      <c r="A933" s="251"/>
    </row>
    <row r="934">
      <c r="A934" s="251"/>
    </row>
    <row r="935">
      <c r="A935" s="251"/>
    </row>
    <row r="936">
      <c r="A936" s="251"/>
    </row>
    <row r="937">
      <c r="A937" s="251"/>
    </row>
    <row r="938">
      <c r="A938" s="251"/>
    </row>
    <row r="939">
      <c r="A939" s="251"/>
    </row>
    <row r="940">
      <c r="A940" s="251"/>
    </row>
    <row r="941">
      <c r="A941" s="251"/>
    </row>
    <row r="942">
      <c r="A942" s="251"/>
    </row>
    <row r="943">
      <c r="A943" s="251"/>
    </row>
    <row r="944">
      <c r="A944" s="251"/>
    </row>
    <row r="945">
      <c r="A945" s="251"/>
    </row>
    <row r="946">
      <c r="A946" s="251"/>
    </row>
    <row r="947">
      <c r="A947" s="251"/>
    </row>
    <row r="948">
      <c r="A948" s="251"/>
    </row>
    <row r="949">
      <c r="A949" s="251"/>
    </row>
    <row r="950">
      <c r="A950" s="251"/>
    </row>
    <row r="951">
      <c r="A951" s="251"/>
    </row>
    <row r="952">
      <c r="A952" s="251"/>
    </row>
    <row r="953">
      <c r="A953" s="251"/>
    </row>
    <row r="954">
      <c r="A954" s="251"/>
    </row>
    <row r="955">
      <c r="A955" s="251"/>
    </row>
    <row r="956">
      <c r="A956" s="251"/>
    </row>
    <row r="957">
      <c r="A957" s="251"/>
    </row>
    <row r="958">
      <c r="A958" s="251"/>
    </row>
    <row r="959">
      <c r="A959" s="251"/>
    </row>
    <row r="960">
      <c r="A960" s="251"/>
    </row>
    <row r="961">
      <c r="A961" s="251"/>
    </row>
    <row r="962">
      <c r="A962" s="251"/>
    </row>
    <row r="963">
      <c r="A963" s="251"/>
    </row>
    <row r="964">
      <c r="A964" s="251"/>
    </row>
    <row r="965">
      <c r="A965" s="251"/>
    </row>
    <row r="966">
      <c r="A966" s="251"/>
    </row>
    <row r="967">
      <c r="A967" s="251"/>
    </row>
    <row r="968">
      <c r="A968" s="251"/>
    </row>
    <row r="969">
      <c r="A969" s="251"/>
    </row>
    <row r="970">
      <c r="A970" s="251"/>
    </row>
    <row r="971">
      <c r="A971" s="251"/>
    </row>
    <row r="972">
      <c r="A972" s="251"/>
    </row>
    <row r="973">
      <c r="A973" s="251"/>
    </row>
    <row r="974">
      <c r="A974" s="251"/>
    </row>
    <row r="975">
      <c r="A975" s="251"/>
    </row>
    <row r="976">
      <c r="A976" s="251"/>
    </row>
    <row r="977">
      <c r="A977" s="251"/>
    </row>
    <row r="978">
      <c r="A978" s="251"/>
    </row>
    <row r="979">
      <c r="A979" s="251"/>
    </row>
    <row r="980">
      <c r="A980" s="251"/>
    </row>
    <row r="981">
      <c r="A981" s="251"/>
    </row>
  </sheetData>
  <mergeCells count="2">
    <mergeCell ref="A15:G15"/>
    <mergeCell ref="A21:D21"/>
  </mergeCells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13"/>
    <col customWidth="1" min="4" max="4" width="11.63"/>
    <col customWidth="1" min="6" max="6" width="9.63"/>
    <col customWidth="1" min="7" max="7" width="7.38"/>
    <col customWidth="1" min="8" max="8" width="12.25"/>
    <col customWidth="1" min="9" max="9" width="15.5"/>
  </cols>
  <sheetData>
    <row r="1">
      <c r="A1" s="251"/>
      <c r="B1" s="179"/>
      <c r="C1" s="179"/>
      <c r="D1" s="179"/>
      <c r="E1" s="179"/>
      <c r="F1" s="235"/>
      <c r="G1" s="235"/>
      <c r="H1" s="235"/>
      <c r="I1" s="277"/>
      <c r="J1" s="69"/>
    </row>
    <row r="2">
      <c r="A2" s="252" t="s">
        <v>223</v>
      </c>
      <c r="B2" s="253" t="s">
        <v>195</v>
      </c>
      <c r="C2" s="253" t="s">
        <v>196</v>
      </c>
      <c r="D2" s="253" t="s">
        <v>197</v>
      </c>
      <c r="E2" s="253" t="s">
        <v>4</v>
      </c>
      <c r="F2" s="249" t="s">
        <v>5</v>
      </c>
      <c r="G2" s="249" t="s">
        <v>9</v>
      </c>
      <c r="H2" s="253" t="s">
        <v>6</v>
      </c>
      <c r="I2" s="254" t="s">
        <v>198</v>
      </c>
      <c r="J2" s="69"/>
    </row>
    <row r="3">
      <c r="A3" s="87" t="s">
        <v>232</v>
      </c>
      <c r="B3" s="108">
        <f>'Исходные данные'!D10</f>
        <v>276</v>
      </c>
      <c r="C3" s="71">
        <f>'Исходные данные'!E26</f>
        <v>1</v>
      </c>
      <c r="D3" s="71"/>
      <c r="E3" s="70">
        <v>402810.0</v>
      </c>
      <c r="F3" s="249">
        <v>12.0</v>
      </c>
      <c r="G3" s="249"/>
      <c r="H3" s="250">
        <f t="shared" ref="H3:H9" si="1">E3/F3</f>
        <v>33567.5</v>
      </c>
      <c r="I3" s="257">
        <f t="shared" ref="I3:I4" si="2">H3/B3*C3</f>
        <v>121.6213768</v>
      </c>
      <c r="J3" s="69"/>
    </row>
    <row r="4">
      <c r="A4" s="87" t="s">
        <v>233</v>
      </c>
      <c r="B4" s="108">
        <f>'Исходные данные'!E13</f>
        <v>30</v>
      </c>
      <c r="C4" s="71">
        <f>'Исходные данные'!H26</f>
        <v>2</v>
      </c>
      <c r="D4" s="71"/>
      <c r="E4" s="177">
        <v>305868.0</v>
      </c>
      <c r="F4" s="249">
        <v>12.0</v>
      </c>
      <c r="G4" s="249"/>
      <c r="H4" s="250">
        <f t="shared" si="1"/>
        <v>25489</v>
      </c>
      <c r="I4" s="257">
        <f t="shared" si="2"/>
        <v>1699.266667</v>
      </c>
      <c r="J4" s="69"/>
    </row>
    <row r="5">
      <c r="A5" s="87" t="s">
        <v>151</v>
      </c>
      <c r="B5" s="98"/>
      <c r="C5" s="134"/>
      <c r="D5" s="134"/>
      <c r="E5" s="134">
        <v>8475.0</v>
      </c>
      <c r="F5" s="256">
        <v>12.0</v>
      </c>
      <c r="G5" s="249"/>
      <c r="H5" s="250">
        <f t="shared" si="1"/>
        <v>706.25</v>
      </c>
      <c r="I5" s="257">
        <f t="shared" ref="I5:I9" si="3">H5</f>
        <v>706.25</v>
      </c>
      <c r="J5" s="69"/>
    </row>
    <row r="6">
      <c r="A6" s="87" t="s">
        <v>148</v>
      </c>
      <c r="B6" s="72"/>
      <c r="C6" s="71"/>
      <c r="D6" s="71"/>
      <c r="E6" s="71">
        <v>4000.0</v>
      </c>
      <c r="F6" s="249">
        <v>12.0</v>
      </c>
      <c r="G6" s="259"/>
      <c r="H6" s="250">
        <f t="shared" si="1"/>
        <v>333.3333333</v>
      </c>
      <c r="I6" s="257">
        <f t="shared" si="3"/>
        <v>333.3333333</v>
      </c>
      <c r="J6" s="69"/>
    </row>
    <row r="7">
      <c r="A7" s="87" t="s">
        <v>150</v>
      </c>
      <c r="B7" s="72"/>
      <c r="C7" s="71"/>
      <c r="D7" s="71"/>
      <c r="E7" s="71">
        <v>0.0</v>
      </c>
      <c r="F7" s="249">
        <v>12.0</v>
      </c>
      <c r="G7" s="259"/>
      <c r="H7" s="250">
        <f t="shared" si="1"/>
        <v>0</v>
      </c>
      <c r="I7" s="257">
        <f t="shared" si="3"/>
        <v>0</v>
      </c>
      <c r="J7" s="69"/>
    </row>
    <row r="8">
      <c r="A8" s="87" t="s">
        <v>149</v>
      </c>
      <c r="B8" s="72"/>
      <c r="C8" s="71"/>
      <c r="D8" s="71"/>
      <c r="E8" s="71">
        <v>0.0</v>
      </c>
      <c r="F8" s="249">
        <v>12.0</v>
      </c>
      <c r="G8" s="259"/>
      <c r="H8" s="250">
        <f t="shared" si="1"/>
        <v>0</v>
      </c>
      <c r="I8" s="257">
        <f t="shared" si="3"/>
        <v>0</v>
      </c>
      <c r="J8" s="69"/>
    </row>
    <row r="9">
      <c r="A9" s="87" t="s">
        <v>93</v>
      </c>
      <c r="B9" s="72"/>
      <c r="C9" s="71"/>
      <c r="D9" s="71"/>
      <c r="E9" s="71">
        <v>726.0</v>
      </c>
      <c r="F9" s="249">
        <v>12.0</v>
      </c>
      <c r="G9" s="259"/>
      <c r="H9" s="250">
        <f t="shared" si="1"/>
        <v>60.5</v>
      </c>
      <c r="I9" s="257">
        <f t="shared" si="3"/>
        <v>60.5</v>
      </c>
      <c r="J9" s="69"/>
    </row>
    <row r="10">
      <c r="A10" s="68" t="s">
        <v>152</v>
      </c>
      <c r="B10" s="72"/>
      <c r="C10" s="71"/>
      <c r="D10" s="260">
        <f>B15+B16</f>
        <v>266</v>
      </c>
      <c r="E10" s="72"/>
      <c r="F10" s="249"/>
      <c r="G10" s="259">
        <f>'Общие расходы ГЭ'!G16</f>
        <v>9.195626292</v>
      </c>
      <c r="H10" s="249"/>
      <c r="I10" s="257">
        <f t="shared" ref="I10:I12" si="4">D10*G10</f>
        <v>2446.036594</v>
      </c>
      <c r="J10" s="69"/>
    </row>
    <row r="11">
      <c r="A11" s="68" t="s">
        <v>153</v>
      </c>
      <c r="B11" s="72"/>
      <c r="C11" s="71"/>
      <c r="D11" s="260">
        <f>B15+B16</f>
        <v>266</v>
      </c>
      <c r="E11" s="72"/>
      <c r="F11" s="249"/>
      <c r="G11" s="259">
        <f>'Общие расходы г. Тюмень'!F4</f>
        <v>0.2743933235</v>
      </c>
      <c r="H11" s="249"/>
      <c r="I11" s="257">
        <f t="shared" si="4"/>
        <v>72.98862405</v>
      </c>
      <c r="J11" s="69"/>
    </row>
    <row r="12">
      <c r="A12" s="68" t="s">
        <v>156</v>
      </c>
      <c r="B12" s="72"/>
      <c r="C12" s="71"/>
      <c r="D12" s="260">
        <f>B15+B16</f>
        <v>266</v>
      </c>
      <c r="E12" s="72"/>
      <c r="F12" s="249"/>
      <c r="G12" s="250">
        <f>'Общие расходы г. Тюмень'!F30</f>
        <v>0.7480139342</v>
      </c>
      <c r="H12" s="249"/>
      <c r="I12" s="261">
        <f t="shared" si="4"/>
        <v>198.9717065</v>
      </c>
      <c r="J12" s="69"/>
    </row>
    <row r="13">
      <c r="A13" s="262" t="s">
        <v>62</v>
      </c>
      <c r="B13" s="263"/>
      <c r="C13" s="263"/>
      <c r="D13" s="263"/>
      <c r="E13" s="263"/>
      <c r="F13" s="263"/>
      <c r="G13" s="185"/>
      <c r="H13" s="264"/>
      <c r="I13" s="261">
        <f>SUM(I3:I12)</f>
        <v>5638.968301</v>
      </c>
      <c r="J13" s="69"/>
    </row>
    <row r="14">
      <c r="A14" s="251"/>
      <c r="B14" s="179"/>
      <c r="C14" s="179"/>
      <c r="D14" s="179"/>
      <c r="E14" s="179"/>
      <c r="F14" s="235"/>
      <c r="G14" s="235"/>
      <c r="H14" s="235"/>
      <c r="I14" s="277"/>
      <c r="J14" s="69"/>
    </row>
    <row r="15">
      <c r="A15" s="68" t="s">
        <v>205</v>
      </c>
      <c r="B15" s="260">
        <f>'Исходные данные'!B26</f>
        <v>43</v>
      </c>
      <c r="C15" s="179"/>
      <c r="D15" s="179"/>
      <c r="E15" s="179"/>
      <c r="F15" s="235"/>
      <c r="G15" s="235"/>
      <c r="H15" s="235"/>
      <c r="I15" s="277"/>
      <c r="J15" s="69"/>
    </row>
    <row r="16">
      <c r="A16" s="68" t="s">
        <v>206</v>
      </c>
      <c r="B16" s="260">
        <f>'Исходные данные'!C26</f>
        <v>223</v>
      </c>
      <c r="C16" s="179"/>
      <c r="D16" s="179"/>
      <c r="E16" s="179"/>
      <c r="F16" s="235"/>
      <c r="G16" s="235"/>
      <c r="H16" s="235"/>
      <c r="I16" s="277"/>
      <c r="J16" s="69"/>
    </row>
    <row r="17">
      <c r="A17" s="68" t="s">
        <v>207</v>
      </c>
      <c r="B17" s="265" t="str">
        <f>'Исходные данные'!D26</f>
        <v/>
      </c>
      <c r="C17" s="179"/>
      <c r="D17" s="179"/>
      <c r="E17" s="179"/>
      <c r="F17" s="235"/>
      <c r="G17" s="235"/>
      <c r="H17" s="235"/>
      <c r="I17" s="277"/>
      <c r="J17" s="69"/>
    </row>
    <row r="18">
      <c r="A18" s="251"/>
      <c r="B18" s="179"/>
      <c r="C18" s="179"/>
      <c r="D18" s="179"/>
      <c r="E18" s="179"/>
      <c r="F18" s="235"/>
      <c r="G18" s="235"/>
      <c r="H18" s="235"/>
      <c r="I18" s="278"/>
      <c r="J18" s="69"/>
    </row>
    <row r="19">
      <c r="A19" s="266" t="s">
        <v>208</v>
      </c>
      <c r="B19" s="263"/>
      <c r="C19" s="263"/>
      <c r="D19" s="185"/>
      <c r="E19" s="267"/>
      <c r="F19" s="69"/>
      <c r="G19" s="69"/>
      <c r="H19" s="69"/>
      <c r="I19" s="279"/>
      <c r="J19" s="69"/>
    </row>
    <row r="20">
      <c r="A20" s="268" t="s">
        <v>209</v>
      </c>
      <c r="B20" s="269" t="s">
        <v>210</v>
      </c>
      <c r="C20" s="93" t="s">
        <v>5</v>
      </c>
      <c r="D20" s="269" t="s">
        <v>211</v>
      </c>
      <c r="E20" s="270"/>
      <c r="I20" s="180"/>
      <c r="J20" s="69"/>
    </row>
    <row r="21">
      <c r="A21" s="272"/>
      <c r="B21" s="134"/>
      <c r="C21" s="134">
        <v>12.0</v>
      </c>
      <c r="D21" s="271">
        <f t="shared" ref="D21:D22" si="5">B21/C21</f>
        <v>0</v>
      </c>
      <c r="E21" s="74"/>
      <c r="I21" s="180"/>
      <c r="J21" s="69"/>
    </row>
    <row r="22">
      <c r="A22" s="272"/>
      <c r="B22" s="134"/>
      <c r="C22" s="134">
        <v>12.0</v>
      </c>
      <c r="D22" s="271">
        <f t="shared" si="5"/>
        <v>0</v>
      </c>
      <c r="E22" s="74"/>
      <c r="I22" s="180"/>
      <c r="J22" s="69"/>
    </row>
    <row r="23">
      <c r="A23" s="273"/>
      <c r="B23" s="280"/>
      <c r="C23" s="280"/>
      <c r="D23" s="274">
        <f>SUM(D21)</f>
        <v>0</v>
      </c>
      <c r="E23" s="276"/>
      <c r="F23" s="169"/>
      <c r="G23" s="168"/>
      <c r="I23" s="180"/>
      <c r="J23" s="69"/>
    </row>
    <row r="24">
      <c r="A24" s="251"/>
      <c r="I24" s="180"/>
      <c r="J24" s="69"/>
    </row>
    <row r="25">
      <c r="A25" s="251"/>
      <c r="I25" s="180"/>
      <c r="J25" s="69"/>
    </row>
    <row r="26">
      <c r="A26" s="251"/>
      <c r="I26" s="180"/>
      <c r="J26" s="69"/>
    </row>
    <row r="27">
      <c r="A27" s="251"/>
      <c r="I27" s="180"/>
      <c r="J27" s="69"/>
    </row>
    <row r="28">
      <c r="A28" s="251"/>
      <c r="I28" s="180"/>
      <c r="J28" s="69"/>
    </row>
    <row r="29">
      <c r="A29" s="251"/>
      <c r="I29" s="180"/>
      <c r="J29" s="69"/>
    </row>
    <row r="30">
      <c r="A30" s="251"/>
      <c r="I30" s="180"/>
      <c r="J30" s="69"/>
    </row>
    <row r="31">
      <c r="A31" s="251"/>
      <c r="I31" s="180"/>
      <c r="J31" s="69"/>
    </row>
    <row r="32">
      <c r="A32" s="251"/>
      <c r="I32" s="180"/>
      <c r="J32" s="69"/>
    </row>
    <row r="33">
      <c r="A33" s="251"/>
      <c r="I33" s="180"/>
      <c r="J33" s="69"/>
    </row>
    <row r="34">
      <c r="A34" s="251"/>
      <c r="I34" s="180"/>
      <c r="J34" s="69"/>
    </row>
    <row r="35">
      <c r="A35" s="251"/>
      <c r="I35" s="180"/>
      <c r="J35" s="69"/>
    </row>
    <row r="36">
      <c r="A36" s="251"/>
      <c r="I36" s="180"/>
      <c r="J36" s="69"/>
    </row>
    <row r="37">
      <c r="A37" s="251"/>
      <c r="I37" s="180"/>
      <c r="J37" s="69"/>
    </row>
    <row r="38">
      <c r="A38" s="251"/>
      <c r="I38" s="180"/>
      <c r="J38" s="69"/>
    </row>
    <row r="39">
      <c r="A39" s="251"/>
      <c r="I39" s="180"/>
      <c r="J39" s="69"/>
    </row>
    <row r="40">
      <c r="A40" s="251"/>
      <c r="I40" s="180"/>
      <c r="J40" s="69"/>
    </row>
    <row r="41">
      <c r="A41" s="251"/>
      <c r="I41" s="180"/>
      <c r="J41" s="69"/>
    </row>
    <row r="42">
      <c r="A42" s="251"/>
      <c r="I42" s="180"/>
      <c r="J42" s="69"/>
    </row>
    <row r="43">
      <c r="A43" s="251"/>
      <c r="I43" s="180"/>
      <c r="J43" s="69"/>
    </row>
    <row r="44">
      <c r="A44" s="251"/>
      <c r="I44" s="180"/>
      <c r="J44" s="69"/>
    </row>
    <row r="45">
      <c r="A45" s="251"/>
      <c r="I45" s="180"/>
      <c r="J45" s="69"/>
    </row>
    <row r="46">
      <c r="A46" s="251"/>
      <c r="I46" s="180"/>
      <c r="J46" s="69"/>
    </row>
    <row r="47">
      <c r="A47" s="251"/>
      <c r="I47" s="180"/>
      <c r="J47" s="69"/>
    </row>
    <row r="48">
      <c r="A48" s="251"/>
      <c r="I48" s="180"/>
      <c r="J48" s="69"/>
    </row>
    <row r="49">
      <c r="A49" s="251"/>
      <c r="I49" s="180"/>
      <c r="J49" s="69"/>
    </row>
    <row r="50">
      <c r="A50" s="251"/>
      <c r="I50" s="180"/>
      <c r="J50" s="69"/>
    </row>
    <row r="51">
      <c r="A51" s="251"/>
      <c r="I51" s="180"/>
      <c r="J51" s="69"/>
    </row>
    <row r="52">
      <c r="A52" s="251"/>
      <c r="I52" s="180"/>
      <c r="J52" s="69"/>
    </row>
    <row r="53">
      <c r="A53" s="251"/>
      <c r="I53" s="180"/>
      <c r="J53" s="69"/>
    </row>
    <row r="54">
      <c r="A54" s="251"/>
      <c r="I54" s="180"/>
      <c r="J54" s="69"/>
    </row>
    <row r="55">
      <c r="A55" s="251"/>
      <c r="I55" s="180"/>
      <c r="J55" s="69"/>
    </row>
    <row r="56">
      <c r="A56" s="251"/>
      <c r="I56" s="180"/>
      <c r="J56" s="69"/>
    </row>
    <row r="57">
      <c r="A57" s="251"/>
      <c r="I57" s="180"/>
      <c r="J57" s="69"/>
    </row>
    <row r="58">
      <c r="A58" s="251"/>
      <c r="I58" s="180"/>
      <c r="J58" s="69"/>
    </row>
    <row r="59">
      <c r="A59" s="251"/>
      <c r="I59" s="180"/>
      <c r="J59" s="69"/>
    </row>
    <row r="60">
      <c r="A60" s="251"/>
      <c r="I60" s="180"/>
      <c r="J60" s="69"/>
    </row>
    <row r="61">
      <c r="A61" s="251"/>
      <c r="I61" s="180"/>
      <c r="J61" s="69"/>
    </row>
    <row r="62">
      <c r="A62" s="251"/>
      <c r="I62" s="180"/>
      <c r="J62" s="69"/>
    </row>
    <row r="63">
      <c r="A63" s="251"/>
      <c r="I63" s="180"/>
      <c r="J63" s="69"/>
    </row>
    <row r="64">
      <c r="A64" s="251"/>
      <c r="I64" s="180"/>
      <c r="J64" s="69"/>
    </row>
    <row r="65">
      <c r="A65" s="251"/>
      <c r="I65" s="180"/>
      <c r="J65" s="69"/>
    </row>
    <row r="66">
      <c r="A66" s="251"/>
      <c r="I66" s="180"/>
      <c r="J66" s="69"/>
    </row>
    <row r="67">
      <c r="A67" s="251"/>
      <c r="I67" s="180"/>
      <c r="J67" s="69"/>
    </row>
    <row r="68">
      <c r="A68" s="251"/>
      <c r="I68" s="180"/>
      <c r="J68" s="69"/>
    </row>
    <row r="69">
      <c r="A69" s="251"/>
      <c r="I69" s="180"/>
      <c r="J69" s="69"/>
    </row>
    <row r="70">
      <c r="A70" s="251"/>
      <c r="I70" s="180"/>
      <c r="J70" s="69"/>
    </row>
    <row r="71">
      <c r="A71" s="251"/>
      <c r="I71" s="180"/>
      <c r="J71" s="69"/>
    </row>
    <row r="72">
      <c r="A72" s="251"/>
      <c r="I72" s="180"/>
      <c r="J72" s="69"/>
    </row>
    <row r="73">
      <c r="A73" s="251"/>
      <c r="I73" s="180"/>
      <c r="J73" s="69"/>
    </row>
    <row r="74">
      <c r="A74" s="251"/>
      <c r="I74" s="180"/>
      <c r="J74" s="69"/>
    </row>
    <row r="75">
      <c r="A75" s="251"/>
      <c r="I75" s="180"/>
      <c r="J75" s="69"/>
    </row>
    <row r="76">
      <c r="A76" s="251"/>
      <c r="I76" s="180"/>
      <c r="J76" s="69"/>
    </row>
    <row r="77">
      <c r="A77" s="251"/>
      <c r="I77" s="180"/>
      <c r="J77" s="69"/>
    </row>
    <row r="78">
      <c r="A78" s="251"/>
      <c r="I78" s="180"/>
      <c r="J78" s="69"/>
    </row>
    <row r="79">
      <c r="A79" s="251"/>
      <c r="I79" s="180"/>
      <c r="J79" s="69"/>
    </row>
    <row r="80">
      <c r="A80" s="251"/>
      <c r="I80" s="180"/>
      <c r="J80" s="69"/>
    </row>
    <row r="81">
      <c r="A81" s="251"/>
      <c r="I81" s="180"/>
      <c r="J81" s="69"/>
    </row>
    <row r="82">
      <c r="A82" s="251"/>
      <c r="I82" s="180"/>
      <c r="J82" s="69"/>
    </row>
    <row r="83">
      <c r="A83" s="251"/>
      <c r="I83" s="180"/>
      <c r="J83" s="69"/>
    </row>
    <row r="84">
      <c r="A84" s="251"/>
      <c r="I84" s="180"/>
      <c r="J84" s="69"/>
    </row>
    <row r="85">
      <c r="A85" s="251"/>
      <c r="I85" s="180"/>
      <c r="J85" s="69"/>
    </row>
    <row r="86">
      <c r="A86" s="251"/>
      <c r="I86" s="180"/>
      <c r="J86" s="69"/>
    </row>
    <row r="87">
      <c r="A87" s="251"/>
      <c r="I87" s="180"/>
      <c r="J87" s="69"/>
    </row>
    <row r="88">
      <c r="A88" s="251"/>
      <c r="I88" s="180"/>
      <c r="J88" s="69"/>
    </row>
    <row r="89">
      <c r="A89" s="251"/>
      <c r="I89" s="180"/>
      <c r="J89" s="69"/>
    </row>
    <row r="90">
      <c r="A90" s="251"/>
      <c r="I90" s="180"/>
      <c r="J90" s="69"/>
    </row>
    <row r="91">
      <c r="A91" s="251"/>
      <c r="I91" s="180"/>
      <c r="J91" s="69"/>
    </row>
    <row r="92">
      <c r="A92" s="251"/>
      <c r="I92" s="180"/>
      <c r="J92" s="69"/>
    </row>
    <row r="93">
      <c r="A93" s="251"/>
      <c r="I93" s="180"/>
      <c r="J93" s="69"/>
    </row>
    <row r="94">
      <c r="A94" s="251"/>
      <c r="I94" s="180"/>
      <c r="J94" s="69"/>
    </row>
    <row r="95">
      <c r="A95" s="251"/>
      <c r="I95" s="180"/>
      <c r="J95" s="69"/>
    </row>
    <row r="96">
      <c r="A96" s="251"/>
      <c r="I96" s="180"/>
      <c r="J96" s="69"/>
    </row>
    <row r="97">
      <c r="A97" s="251"/>
      <c r="I97" s="180"/>
      <c r="J97" s="69"/>
    </row>
    <row r="98">
      <c r="A98" s="251"/>
      <c r="I98" s="180"/>
      <c r="J98" s="69"/>
    </row>
    <row r="99">
      <c r="A99" s="251"/>
      <c r="I99" s="180"/>
      <c r="J99" s="69"/>
    </row>
    <row r="100">
      <c r="A100" s="251"/>
      <c r="I100" s="180"/>
      <c r="J100" s="69"/>
    </row>
    <row r="101">
      <c r="A101" s="251"/>
      <c r="I101" s="180"/>
      <c r="J101" s="69"/>
    </row>
    <row r="102">
      <c r="A102" s="251"/>
      <c r="I102" s="180"/>
      <c r="J102" s="69"/>
    </row>
    <row r="103">
      <c r="A103" s="251"/>
      <c r="I103" s="180"/>
      <c r="J103" s="69"/>
    </row>
    <row r="104">
      <c r="A104" s="251"/>
      <c r="I104" s="180"/>
      <c r="J104" s="69"/>
    </row>
    <row r="105">
      <c r="A105" s="251"/>
      <c r="I105" s="180"/>
      <c r="J105" s="69"/>
    </row>
    <row r="106">
      <c r="A106" s="251"/>
      <c r="I106" s="180"/>
      <c r="J106" s="69"/>
    </row>
    <row r="107">
      <c r="A107" s="251"/>
      <c r="I107" s="180"/>
      <c r="J107" s="69"/>
    </row>
    <row r="108">
      <c r="A108" s="251"/>
      <c r="I108" s="180"/>
      <c r="J108" s="69"/>
    </row>
    <row r="109">
      <c r="A109" s="251"/>
      <c r="I109" s="180"/>
      <c r="J109" s="69"/>
    </row>
    <row r="110">
      <c r="A110" s="251"/>
      <c r="I110" s="180"/>
      <c r="J110" s="69"/>
    </row>
    <row r="111">
      <c r="A111" s="251"/>
      <c r="I111" s="180"/>
      <c r="J111" s="69"/>
    </row>
    <row r="112">
      <c r="A112" s="251"/>
      <c r="I112" s="180"/>
      <c r="J112" s="69"/>
    </row>
    <row r="113">
      <c r="A113" s="251"/>
      <c r="I113" s="180"/>
      <c r="J113" s="69"/>
    </row>
    <row r="114">
      <c r="A114" s="251"/>
      <c r="I114" s="180"/>
      <c r="J114" s="69"/>
    </row>
    <row r="115">
      <c r="A115" s="251"/>
      <c r="I115" s="180"/>
      <c r="J115" s="69"/>
    </row>
    <row r="116">
      <c r="A116" s="251"/>
      <c r="I116" s="180"/>
      <c r="J116" s="69"/>
    </row>
    <row r="117">
      <c r="A117" s="251"/>
      <c r="I117" s="180"/>
      <c r="J117" s="69"/>
    </row>
    <row r="118">
      <c r="A118" s="251"/>
      <c r="I118" s="180"/>
      <c r="J118" s="69"/>
    </row>
    <row r="119">
      <c r="A119" s="251"/>
      <c r="I119" s="180"/>
      <c r="J119" s="69"/>
    </row>
    <row r="120">
      <c r="A120" s="251"/>
      <c r="I120" s="180"/>
      <c r="J120" s="69"/>
    </row>
    <row r="121">
      <c r="A121" s="251"/>
      <c r="I121" s="180"/>
      <c r="J121" s="69"/>
    </row>
    <row r="122">
      <c r="A122" s="251"/>
      <c r="I122" s="180"/>
      <c r="J122" s="69"/>
    </row>
    <row r="123">
      <c r="A123" s="251"/>
      <c r="I123" s="180"/>
      <c r="J123" s="69"/>
    </row>
    <row r="124">
      <c r="A124" s="251"/>
      <c r="I124" s="180"/>
      <c r="J124" s="69"/>
    </row>
    <row r="125">
      <c r="A125" s="251"/>
      <c r="I125" s="180"/>
      <c r="J125" s="69"/>
    </row>
    <row r="126">
      <c r="A126" s="251"/>
      <c r="I126" s="180"/>
      <c r="J126" s="69"/>
    </row>
    <row r="127">
      <c r="A127" s="251"/>
      <c r="I127" s="180"/>
      <c r="J127" s="69"/>
    </row>
    <row r="128">
      <c r="A128" s="251"/>
      <c r="I128" s="180"/>
      <c r="J128" s="69"/>
    </row>
    <row r="129">
      <c r="A129" s="251"/>
      <c r="I129" s="180"/>
      <c r="J129" s="69"/>
    </row>
    <row r="130">
      <c r="A130" s="251"/>
      <c r="I130" s="180"/>
      <c r="J130" s="69"/>
    </row>
    <row r="131">
      <c r="A131" s="251"/>
      <c r="I131" s="180"/>
      <c r="J131" s="69"/>
    </row>
    <row r="132">
      <c r="A132" s="251"/>
      <c r="I132" s="180"/>
      <c r="J132" s="69"/>
    </row>
    <row r="133">
      <c r="A133" s="251"/>
      <c r="I133" s="180"/>
      <c r="J133" s="69"/>
    </row>
    <row r="134">
      <c r="A134" s="251"/>
      <c r="I134" s="180"/>
      <c r="J134" s="69"/>
    </row>
    <row r="135">
      <c r="A135" s="251"/>
      <c r="I135" s="180"/>
      <c r="J135" s="69"/>
    </row>
    <row r="136">
      <c r="A136" s="251"/>
      <c r="I136" s="180"/>
      <c r="J136" s="69"/>
    </row>
    <row r="137">
      <c r="A137" s="251"/>
      <c r="I137" s="180"/>
      <c r="J137" s="69"/>
    </row>
    <row r="138">
      <c r="A138" s="251"/>
      <c r="I138" s="180"/>
      <c r="J138" s="69"/>
    </row>
    <row r="139">
      <c r="A139" s="251"/>
      <c r="I139" s="180"/>
      <c r="J139" s="69"/>
    </row>
    <row r="140">
      <c r="A140" s="251"/>
      <c r="I140" s="180"/>
      <c r="J140" s="69"/>
    </row>
    <row r="141">
      <c r="A141" s="251"/>
      <c r="I141" s="180"/>
      <c r="J141" s="69"/>
    </row>
    <row r="142">
      <c r="A142" s="251"/>
      <c r="I142" s="180"/>
      <c r="J142" s="69"/>
    </row>
    <row r="143">
      <c r="A143" s="251"/>
      <c r="I143" s="180"/>
      <c r="J143" s="69"/>
    </row>
    <row r="144">
      <c r="A144" s="251"/>
      <c r="I144" s="180"/>
      <c r="J144" s="69"/>
    </row>
    <row r="145">
      <c r="A145" s="251"/>
      <c r="I145" s="180"/>
      <c r="J145" s="69"/>
    </row>
    <row r="146">
      <c r="A146" s="251"/>
      <c r="I146" s="180"/>
      <c r="J146" s="69"/>
    </row>
    <row r="147">
      <c r="A147" s="251"/>
      <c r="I147" s="180"/>
      <c r="J147" s="69"/>
    </row>
    <row r="148">
      <c r="A148" s="251"/>
      <c r="I148" s="180"/>
      <c r="J148" s="69"/>
    </row>
    <row r="149">
      <c r="A149" s="251"/>
      <c r="I149" s="180"/>
      <c r="J149" s="69"/>
    </row>
    <row r="150">
      <c r="A150" s="251"/>
      <c r="I150" s="180"/>
      <c r="J150" s="69"/>
    </row>
    <row r="151">
      <c r="A151" s="251"/>
      <c r="I151" s="180"/>
      <c r="J151" s="69"/>
    </row>
    <row r="152">
      <c r="A152" s="251"/>
      <c r="I152" s="180"/>
      <c r="J152" s="69"/>
    </row>
    <row r="153">
      <c r="A153" s="251"/>
      <c r="I153" s="180"/>
      <c r="J153" s="69"/>
    </row>
    <row r="154">
      <c r="A154" s="251"/>
      <c r="I154" s="180"/>
      <c r="J154" s="69"/>
    </row>
    <row r="155">
      <c r="A155" s="251"/>
      <c r="I155" s="180"/>
      <c r="J155" s="69"/>
    </row>
    <row r="156">
      <c r="A156" s="251"/>
      <c r="I156" s="180"/>
      <c r="J156" s="69"/>
    </row>
    <row r="157">
      <c r="A157" s="251"/>
      <c r="I157" s="180"/>
      <c r="J157" s="69"/>
    </row>
    <row r="158">
      <c r="A158" s="251"/>
      <c r="I158" s="180"/>
      <c r="J158" s="69"/>
    </row>
    <row r="159">
      <c r="A159" s="251"/>
      <c r="I159" s="180"/>
      <c r="J159" s="69"/>
    </row>
    <row r="160">
      <c r="A160" s="251"/>
      <c r="I160" s="180"/>
      <c r="J160" s="69"/>
    </row>
    <row r="161">
      <c r="A161" s="251"/>
      <c r="I161" s="180"/>
      <c r="J161" s="69"/>
    </row>
    <row r="162">
      <c r="A162" s="251"/>
      <c r="I162" s="180"/>
      <c r="J162" s="69"/>
    </row>
    <row r="163">
      <c r="A163" s="251"/>
      <c r="I163" s="180"/>
      <c r="J163" s="69"/>
    </row>
    <row r="164">
      <c r="A164" s="251"/>
      <c r="I164" s="180"/>
      <c r="J164" s="69"/>
    </row>
    <row r="165">
      <c r="A165" s="251"/>
      <c r="I165" s="180"/>
      <c r="J165" s="69"/>
    </row>
    <row r="166">
      <c r="A166" s="251"/>
      <c r="I166" s="180"/>
      <c r="J166" s="69"/>
    </row>
    <row r="167">
      <c r="A167" s="251"/>
      <c r="I167" s="180"/>
      <c r="J167" s="69"/>
    </row>
    <row r="168">
      <c r="A168" s="251"/>
      <c r="I168" s="180"/>
      <c r="J168" s="69"/>
    </row>
    <row r="169">
      <c r="A169" s="251"/>
      <c r="I169" s="180"/>
      <c r="J169" s="69"/>
    </row>
    <row r="170">
      <c r="A170" s="251"/>
      <c r="I170" s="180"/>
      <c r="J170" s="69"/>
    </row>
    <row r="171">
      <c r="A171" s="251"/>
      <c r="I171" s="180"/>
      <c r="J171" s="69"/>
    </row>
    <row r="172">
      <c r="A172" s="251"/>
      <c r="I172" s="180"/>
      <c r="J172" s="69"/>
    </row>
    <row r="173">
      <c r="A173" s="251"/>
      <c r="I173" s="180"/>
      <c r="J173" s="69"/>
    </row>
    <row r="174">
      <c r="A174" s="251"/>
      <c r="I174" s="180"/>
      <c r="J174" s="69"/>
    </row>
    <row r="175">
      <c r="A175" s="251"/>
      <c r="I175" s="180"/>
      <c r="J175" s="69"/>
    </row>
    <row r="176">
      <c r="A176" s="251"/>
      <c r="I176" s="180"/>
      <c r="J176" s="69"/>
    </row>
    <row r="177">
      <c r="A177" s="251"/>
      <c r="I177" s="180"/>
      <c r="J177" s="69"/>
    </row>
    <row r="178">
      <c r="A178" s="251"/>
      <c r="I178" s="180"/>
      <c r="J178" s="69"/>
    </row>
    <row r="179">
      <c r="A179" s="251"/>
      <c r="I179" s="180"/>
      <c r="J179" s="69"/>
    </row>
    <row r="180">
      <c r="A180" s="251"/>
      <c r="I180" s="180"/>
      <c r="J180" s="69"/>
    </row>
    <row r="181">
      <c r="A181" s="251"/>
      <c r="I181" s="180"/>
      <c r="J181" s="69"/>
    </row>
    <row r="182">
      <c r="A182" s="251"/>
      <c r="I182" s="180"/>
      <c r="J182" s="69"/>
    </row>
    <row r="183">
      <c r="A183" s="251"/>
      <c r="I183" s="180"/>
      <c r="J183" s="69"/>
    </row>
    <row r="184">
      <c r="A184" s="251"/>
      <c r="I184" s="180"/>
      <c r="J184" s="69"/>
    </row>
    <row r="185">
      <c r="A185" s="251"/>
      <c r="I185" s="180"/>
      <c r="J185" s="69"/>
    </row>
    <row r="186">
      <c r="A186" s="251"/>
      <c r="I186" s="180"/>
      <c r="J186" s="69"/>
    </row>
    <row r="187">
      <c r="A187" s="251"/>
      <c r="I187" s="180"/>
      <c r="J187" s="69"/>
    </row>
    <row r="188">
      <c r="A188" s="251"/>
      <c r="I188" s="180"/>
      <c r="J188" s="69"/>
    </row>
    <row r="189">
      <c r="A189" s="251"/>
      <c r="I189" s="180"/>
      <c r="J189" s="69"/>
    </row>
    <row r="190">
      <c r="A190" s="251"/>
      <c r="I190" s="180"/>
      <c r="J190" s="69"/>
    </row>
    <row r="191">
      <c r="A191" s="251"/>
      <c r="I191" s="180"/>
      <c r="J191" s="69"/>
    </row>
    <row r="192">
      <c r="A192" s="251"/>
      <c r="I192" s="180"/>
      <c r="J192" s="69"/>
    </row>
    <row r="193">
      <c r="A193" s="251"/>
      <c r="I193" s="180"/>
      <c r="J193" s="69"/>
    </row>
    <row r="194">
      <c r="A194" s="251"/>
      <c r="I194" s="180"/>
      <c r="J194" s="69"/>
    </row>
    <row r="195">
      <c r="A195" s="251"/>
      <c r="I195" s="180"/>
      <c r="J195" s="69"/>
    </row>
    <row r="196">
      <c r="A196" s="251"/>
      <c r="I196" s="180"/>
      <c r="J196" s="69"/>
    </row>
    <row r="197">
      <c r="A197" s="251"/>
      <c r="I197" s="180"/>
      <c r="J197" s="69"/>
    </row>
    <row r="198">
      <c r="A198" s="251"/>
      <c r="I198" s="180"/>
      <c r="J198" s="69"/>
    </row>
    <row r="199">
      <c r="A199" s="251"/>
      <c r="I199" s="180"/>
      <c r="J199" s="69"/>
    </row>
    <row r="200">
      <c r="A200" s="251"/>
      <c r="I200" s="180"/>
      <c r="J200" s="69"/>
    </row>
    <row r="201">
      <c r="A201" s="251"/>
      <c r="I201" s="180"/>
      <c r="J201" s="69"/>
    </row>
    <row r="202">
      <c r="A202" s="251"/>
      <c r="I202" s="180"/>
      <c r="J202" s="69"/>
    </row>
    <row r="203">
      <c r="A203" s="251"/>
      <c r="I203" s="180"/>
      <c r="J203" s="69"/>
    </row>
    <row r="204">
      <c r="A204" s="251"/>
      <c r="I204" s="180"/>
      <c r="J204" s="69"/>
    </row>
    <row r="205">
      <c r="A205" s="251"/>
      <c r="I205" s="180"/>
      <c r="J205" s="69"/>
    </row>
    <row r="206">
      <c r="A206" s="251"/>
      <c r="I206" s="180"/>
      <c r="J206" s="69"/>
    </row>
    <row r="207">
      <c r="A207" s="251"/>
      <c r="I207" s="180"/>
      <c r="J207" s="69"/>
    </row>
    <row r="208">
      <c r="A208" s="251"/>
      <c r="I208" s="180"/>
      <c r="J208" s="69"/>
    </row>
    <row r="209">
      <c r="A209" s="251"/>
      <c r="I209" s="180"/>
      <c r="J209" s="69"/>
    </row>
    <row r="210">
      <c r="A210" s="251"/>
      <c r="I210" s="180"/>
      <c r="J210" s="69"/>
    </row>
    <row r="211">
      <c r="A211" s="251"/>
      <c r="I211" s="180"/>
      <c r="J211" s="69"/>
    </row>
    <row r="212">
      <c r="A212" s="251"/>
      <c r="I212" s="180"/>
      <c r="J212" s="69"/>
    </row>
    <row r="213">
      <c r="A213" s="251"/>
      <c r="I213" s="180"/>
      <c r="J213" s="69"/>
    </row>
    <row r="214">
      <c r="A214" s="251"/>
      <c r="I214" s="180"/>
      <c r="J214" s="69"/>
    </row>
    <row r="215">
      <c r="A215" s="251"/>
      <c r="I215" s="180"/>
      <c r="J215" s="69"/>
    </row>
    <row r="216">
      <c r="A216" s="251"/>
      <c r="I216" s="180"/>
      <c r="J216" s="69"/>
    </row>
    <row r="217">
      <c r="A217" s="251"/>
      <c r="I217" s="180"/>
      <c r="J217" s="69"/>
    </row>
    <row r="218">
      <c r="A218" s="251"/>
      <c r="I218" s="180"/>
      <c r="J218" s="69"/>
    </row>
    <row r="219">
      <c r="A219" s="251"/>
      <c r="I219" s="180"/>
      <c r="J219" s="69"/>
    </row>
    <row r="220">
      <c r="A220" s="251"/>
      <c r="I220" s="180"/>
      <c r="J220" s="69"/>
    </row>
    <row r="221">
      <c r="A221" s="251"/>
      <c r="I221" s="180"/>
      <c r="J221" s="69"/>
    </row>
    <row r="222">
      <c r="A222" s="251"/>
      <c r="I222" s="180"/>
      <c r="J222" s="69"/>
    </row>
    <row r="223">
      <c r="A223" s="251"/>
      <c r="I223" s="180"/>
      <c r="J223" s="69"/>
    </row>
    <row r="224">
      <c r="A224" s="251"/>
      <c r="I224" s="180"/>
      <c r="J224" s="69"/>
    </row>
    <row r="225">
      <c r="A225" s="251"/>
      <c r="I225" s="180"/>
      <c r="J225" s="69"/>
    </row>
    <row r="226">
      <c r="A226" s="251"/>
      <c r="I226" s="180"/>
      <c r="J226" s="69"/>
    </row>
    <row r="227">
      <c r="A227" s="251"/>
      <c r="I227" s="180"/>
      <c r="J227" s="69"/>
    </row>
    <row r="228">
      <c r="A228" s="251"/>
      <c r="I228" s="180"/>
      <c r="J228" s="69"/>
    </row>
    <row r="229">
      <c r="A229" s="251"/>
      <c r="I229" s="180"/>
      <c r="J229" s="69"/>
    </row>
    <row r="230">
      <c r="A230" s="251"/>
      <c r="I230" s="180"/>
      <c r="J230" s="69"/>
    </row>
    <row r="231">
      <c r="A231" s="251"/>
      <c r="I231" s="180"/>
      <c r="J231" s="69"/>
    </row>
    <row r="232">
      <c r="A232" s="251"/>
      <c r="I232" s="180"/>
      <c r="J232" s="69"/>
    </row>
    <row r="233">
      <c r="A233" s="251"/>
      <c r="I233" s="180"/>
      <c r="J233" s="69"/>
    </row>
    <row r="234">
      <c r="A234" s="251"/>
      <c r="I234" s="180"/>
      <c r="J234" s="69"/>
    </row>
    <row r="235">
      <c r="A235" s="251"/>
      <c r="I235" s="180"/>
      <c r="J235" s="69"/>
    </row>
    <row r="236">
      <c r="A236" s="251"/>
      <c r="I236" s="180"/>
      <c r="J236" s="69"/>
    </row>
    <row r="237">
      <c r="A237" s="251"/>
      <c r="I237" s="180"/>
      <c r="J237" s="69"/>
    </row>
    <row r="238">
      <c r="A238" s="251"/>
      <c r="I238" s="180"/>
      <c r="J238" s="69"/>
    </row>
    <row r="239">
      <c r="A239" s="251"/>
      <c r="I239" s="180"/>
      <c r="J239" s="69"/>
    </row>
    <row r="240">
      <c r="A240" s="251"/>
      <c r="I240" s="180"/>
      <c r="J240" s="69"/>
    </row>
    <row r="241">
      <c r="A241" s="251"/>
      <c r="I241" s="180"/>
      <c r="J241" s="69"/>
    </row>
    <row r="242">
      <c r="A242" s="251"/>
      <c r="I242" s="180"/>
      <c r="J242" s="69"/>
    </row>
    <row r="243">
      <c r="A243" s="251"/>
      <c r="I243" s="180"/>
      <c r="J243" s="69"/>
    </row>
    <row r="244">
      <c r="A244" s="251"/>
      <c r="I244" s="180"/>
      <c r="J244" s="69"/>
    </row>
    <row r="245">
      <c r="A245" s="251"/>
      <c r="I245" s="180"/>
      <c r="J245" s="69"/>
    </row>
    <row r="246">
      <c r="A246" s="251"/>
      <c r="I246" s="180"/>
      <c r="J246" s="69"/>
    </row>
    <row r="247">
      <c r="A247" s="251"/>
      <c r="I247" s="180"/>
      <c r="J247" s="69"/>
    </row>
    <row r="248">
      <c r="A248" s="251"/>
      <c r="I248" s="180"/>
      <c r="J248" s="69"/>
    </row>
    <row r="249">
      <c r="A249" s="251"/>
      <c r="I249" s="180"/>
      <c r="J249" s="69"/>
    </row>
    <row r="250">
      <c r="A250" s="251"/>
      <c r="I250" s="180"/>
      <c r="J250" s="69"/>
    </row>
    <row r="251">
      <c r="A251" s="251"/>
      <c r="I251" s="180"/>
      <c r="J251" s="69"/>
    </row>
    <row r="252">
      <c r="A252" s="251"/>
      <c r="I252" s="180"/>
      <c r="J252" s="69"/>
    </row>
    <row r="253">
      <c r="A253" s="251"/>
      <c r="I253" s="180"/>
      <c r="J253" s="69"/>
    </row>
    <row r="254">
      <c r="A254" s="251"/>
      <c r="I254" s="180"/>
      <c r="J254" s="69"/>
    </row>
    <row r="255">
      <c r="A255" s="251"/>
      <c r="I255" s="180"/>
      <c r="J255" s="69"/>
    </row>
    <row r="256">
      <c r="A256" s="251"/>
      <c r="I256" s="180"/>
      <c r="J256" s="69"/>
    </row>
    <row r="257">
      <c r="A257" s="251"/>
      <c r="I257" s="180"/>
      <c r="J257" s="69"/>
    </row>
    <row r="258">
      <c r="A258" s="251"/>
      <c r="I258" s="180"/>
      <c r="J258" s="69"/>
    </row>
    <row r="259">
      <c r="A259" s="251"/>
      <c r="I259" s="180"/>
      <c r="J259" s="69"/>
    </row>
    <row r="260">
      <c r="A260" s="251"/>
      <c r="I260" s="180"/>
      <c r="J260" s="69"/>
    </row>
    <row r="261">
      <c r="A261" s="251"/>
      <c r="I261" s="180"/>
      <c r="J261" s="69"/>
    </row>
    <row r="262">
      <c r="A262" s="251"/>
      <c r="I262" s="180"/>
      <c r="J262" s="69"/>
    </row>
    <row r="263">
      <c r="A263" s="251"/>
      <c r="I263" s="180"/>
      <c r="J263" s="69"/>
    </row>
    <row r="264">
      <c r="A264" s="251"/>
      <c r="I264" s="180"/>
      <c r="J264" s="69"/>
    </row>
    <row r="265">
      <c r="A265" s="251"/>
      <c r="I265" s="180"/>
      <c r="J265" s="69"/>
    </row>
    <row r="266">
      <c r="A266" s="251"/>
      <c r="I266" s="180"/>
      <c r="J266" s="69"/>
    </row>
    <row r="267">
      <c r="A267" s="251"/>
      <c r="I267" s="180"/>
      <c r="J267" s="69"/>
    </row>
    <row r="268">
      <c r="A268" s="251"/>
      <c r="I268" s="180"/>
      <c r="J268" s="69"/>
    </row>
    <row r="269">
      <c r="A269" s="251"/>
      <c r="I269" s="180"/>
      <c r="J269" s="69"/>
    </row>
    <row r="270">
      <c r="A270" s="251"/>
      <c r="I270" s="180"/>
      <c r="J270" s="69"/>
    </row>
    <row r="271">
      <c r="A271" s="251"/>
      <c r="I271" s="180"/>
      <c r="J271" s="69"/>
    </row>
    <row r="272">
      <c r="A272" s="251"/>
      <c r="I272" s="180"/>
      <c r="J272" s="69"/>
    </row>
    <row r="273">
      <c r="A273" s="251"/>
      <c r="I273" s="180"/>
      <c r="J273" s="69"/>
    </row>
    <row r="274">
      <c r="A274" s="251"/>
      <c r="I274" s="180"/>
      <c r="J274" s="69"/>
    </row>
    <row r="275">
      <c r="A275" s="251"/>
      <c r="I275" s="180"/>
      <c r="J275" s="69"/>
    </row>
    <row r="276">
      <c r="A276" s="251"/>
      <c r="I276" s="180"/>
      <c r="J276" s="69"/>
    </row>
    <row r="277">
      <c r="A277" s="251"/>
      <c r="I277" s="180"/>
      <c r="J277" s="69"/>
    </row>
    <row r="278">
      <c r="A278" s="251"/>
      <c r="I278" s="180"/>
      <c r="J278" s="69"/>
    </row>
    <row r="279">
      <c r="A279" s="251"/>
      <c r="I279" s="180"/>
      <c r="J279" s="69"/>
    </row>
    <row r="280">
      <c r="A280" s="251"/>
      <c r="I280" s="180"/>
      <c r="J280" s="69"/>
    </row>
    <row r="281">
      <c r="A281" s="251"/>
      <c r="I281" s="180"/>
      <c r="J281" s="69"/>
    </row>
    <row r="282">
      <c r="A282" s="251"/>
      <c r="I282" s="180"/>
      <c r="J282" s="69"/>
    </row>
    <row r="283">
      <c r="A283" s="251"/>
      <c r="I283" s="180"/>
      <c r="J283" s="69"/>
    </row>
    <row r="284">
      <c r="A284" s="251"/>
      <c r="I284" s="180"/>
      <c r="J284" s="69"/>
    </row>
    <row r="285">
      <c r="A285" s="251"/>
      <c r="I285" s="180"/>
      <c r="J285" s="69"/>
    </row>
    <row r="286">
      <c r="A286" s="251"/>
      <c r="I286" s="180"/>
      <c r="J286" s="69"/>
    </row>
    <row r="287">
      <c r="A287" s="251"/>
      <c r="I287" s="180"/>
      <c r="J287" s="69"/>
    </row>
    <row r="288">
      <c r="A288" s="251"/>
      <c r="I288" s="180"/>
      <c r="J288" s="69"/>
    </row>
    <row r="289">
      <c r="A289" s="251"/>
      <c r="I289" s="180"/>
      <c r="J289" s="69"/>
    </row>
    <row r="290">
      <c r="A290" s="251"/>
      <c r="I290" s="180"/>
      <c r="J290" s="69"/>
    </row>
    <row r="291">
      <c r="A291" s="251"/>
      <c r="I291" s="180"/>
      <c r="J291" s="69"/>
    </row>
    <row r="292">
      <c r="A292" s="251"/>
      <c r="I292" s="180"/>
      <c r="J292" s="69"/>
    </row>
    <row r="293">
      <c r="A293" s="251"/>
      <c r="I293" s="180"/>
      <c r="J293" s="69"/>
    </row>
    <row r="294">
      <c r="A294" s="251"/>
      <c r="I294" s="180"/>
      <c r="J294" s="69"/>
    </row>
    <row r="295">
      <c r="A295" s="251"/>
      <c r="I295" s="180"/>
      <c r="J295" s="69"/>
    </row>
    <row r="296">
      <c r="A296" s="251"/>
      <c r="I296" s="180"/>
      <c r="J296" s="69"/>
    </row>
    <row r="297">
      <c r="A297" s="251"/>
      <c r="I297" s="180"/>
      <c r="J297" s="69"/>
    </row>
    <row r="298">
      <c r="A298" s="251"/>
      <c r="I298" s="180"/>
      <c r="J298" s="69"/>
    </row>
    <row r="299">
      <c r="A299" s="251"/>
      <c r="I299" s="180"/>
      <c r="J299" s="69"/>
    </row>
    <row r="300">
      <c r="A300" s="251"/>
      <c r="I300" s="180"/>
      <c r="J300" s="69"/>
    </row>
    <row r="301">
      <c r="A301" s="251"/>
      <c r="I301" s="180"/>
      <c r="J301" s="69"/>
    </row>
    <row r="302">
      <c r="A302" s="251"/>
      <c r="I302" s="180"/>
      <c r="J302" s="69"/>
    </row>
    <row r="303">
      <c r="A303" s="251"/>
      <c r="I303" s="180"/>
      <c r="J303" s="69"/>
    </row>
    <row r="304">
      <c r="A304" s="251"/>
      <c r="I304" s="180"/>
      <c r="J304" s="69"/>
    </row>
    <row r="305">
      <c r="A305" s="251"/>
      <c r="I305" s="180"/>
      <c r="J305" s="69"/>
    </row>
    <row r="306">
      <c r="A306" s="251"/>
      <c r="I306" s="180"/>
      <c r="J306" s="69"/>
    </row>
    <row r="307">
      <c r="A307" s="251"/>
      <c r="I307" s="180"/>
      <c r="J307" s="69"/>
    </row>
    <row r="308">
      <c r="A308" s="251"/>
      <c r="I308" s="180"/>
      <c r="J308" s="69"/>
    </row>
    <row r="309">
      <c r="A309" s="251"/>
      <c r="I309" s="180"/>
      <c r="J309" s="69"/>
    </row>
    <row r="310">
      <c r="A310" s="251"/>
      <c r="I310" s="180"/>
      <c r="J310" s="69"/>
    </row>
    <row r="311">
      <c r="A311" s="251"/>
      <c r="I311" s="180"/>
      <c r="J311" s="69"/>
    </row>
    <row r="312">
      <c r="A312" s="251"/>
      <c r="I312" s="180"/>
      <c r="J312" s="69"/>
    </row>
    <row r="313">
      <c r="A313" s="251"/>
      <c r="I313" s="180"/>
      <c r="J313" s="69"/>
    </row>
    <row r="314">
      <c r="A314" s="251"/>
      <c r="I314" s="180"/>
      <c r="J314" s="69"/>
    </row>
    <row r="315">
      <c r="A315" s="251"/>
      <c r="I315" s="180"/>
      <c r="J315" s="69"/>
    </row>
    <row r="316">
      <c r="A316" s="251"/>
      <c r="I316" s="180"/>
      <c r="J316" s="69"/>
    </row>
    <row r="317">
      <c r="A317" s="251"/>
      <c r="I317" s="180"/>
      <c r="J317" s="69"/>
    </row>
    <row r="318">
      <c r="A318" s="251"/>
      <c r="I318" s="180"/>
      <c r="J318" s="69"/>
    </row>
    <row r="319">
      <c r="A319" s="251"/>
      <c r="I319" s="180"/>
      <c r="J319" s="69"/>
    </row>
    <row r="320">
      <c r="A320" s="251"/>
      <c r="I320" s="180"/>
      <c r="J320" s="69"/>
    </row>
    <row r="321">
      <c r="A321" s="251"/>
      <c r="I321" s="180"/>
      <c r="J321" s="69"/>
    </row>
    <row r="322">
      <c r="A322" s="251"/>
      <c r="I322" s="180"/>
      <c r="J322" s="69"/>
    </row>
    <row r="323">
      <c r="A323" s="251"/>
      <c r="I323" s="180"/>
      <c r="J323" s="69"/>
    </row>
    <row r="324">
      <c r="A324" s="251"/>
      <c r="I324" s="180"/>
      <c r="J324" s="69"/>
    </row>
    <row r="325">
      <c r="A325" s="251"/>
      <c r="I325" s="180"/>
      <c r="J325" s="69"/>
    </row>
    <row r="326">
      <c r="A326" s="251"/>
      <c r="I326" s="180"/>
      <c r="J326" s="69"/>
    </row>
    <row r="327">
      <c r="A327" s="251"/>
      <c r="I327" s="180"/>
      <c r="J327" s="69"/>
    </row>
    <row r="328">
      <c r="A328" s="251"/>
      <c r="I328" s="180"/>
      <c r="J328" s="69"/>
    </row>
    <row r="329">
      <c r="A329" s="251"/>
      <c r="I329" s="180"/>
      <c r="J329" s="69"/>
    </row>
    <row r="330">
      <c r="A330" s="251"/>
      <c r="I330" s="180"/>
      <c r="J330" s="69"/>
    </row>
    <row r="331">
      <c r="A331" s="251"/>
      <c r="I331" s="180"/>
      <c r="J331" s="69"/>
    </row>
    <row r="332">
      <c r="A332" s="251"/>
      <c r="I332" s="180"/>
      <c r="J332" s="69"/>
    </row>
    <row r="333">
      <c r="A333" s="251"/>
      <c r="I333" s="180"/>
      <c r="J333" s="69"/>
    </row>
    <row r="334">
      <c r="A334" s="251"/>
      <c r="I334" s="180"/>
      <c r="J334" s="69"/>
    </row>
    <row r="335">
      <c r="A335" s="251"/>
      <c r="I335" s="180"/>
      <c r="J335" s="69"/>
    </row>
    <row r="336">
      <c r="A336" s="251"/>
      <c r="I336" s="180"/>
      <c r="J336" s="69"/>
    </row>
    <row r="337">
      <c r="A337" s="251"/>
      <c r="I337" s="180"/>
      <c r="J337" s="69"/>
    </row>
    <row r="338">
      <c r="A338" s="251"/>
      <c r="I338" s="180"/>
      <c r="J338" s="69"/>
    </row>
    <row r="339">
      <c r="A339" s="251"/>
      <c r="I339" s="180"/>
      <c r="J339" s="69"/>
    </row>
    <row r="340">
      <c r="A340" s="251"/>
      <c r="I340" s="180"/>
      <c r="J340" s="69"/>
    </row>
    <row r="341">
      <c r="A341" s="251"/>
      <c r="I341" s="180"/>
      <c r="J341" s="69"/>
    </row>
    <row r="342">
      <c r="A342" s="251"/>
      <c r="I342" s="180"/>
      <c r="J342" s="69"/>
    </row>
    <row r="343">
      <c r="A343" s="251"/>
      <c r="I343" s="180"/>
      <c r="J343" s="69"/>
    </row>
    <row r="344">
      <c r="A344" s="251"/>
      <c r="I344" s="180"/>
      <c r="J344" s="69"/>
    </row>
    <row r="345">
      <c r="A345" s="251"/>
      <c r="I345" s="180"/>
      <c r="J345" s="69"/>
    </row>
    <row r="346">
      <c r="A346" s="251"/>
      <c r="I346" s="180"/>
      <c r="J346" s="69"/>
    </row>
    <row r="347">
      <c r="A347" s="251"/>
      <c r="I347" s="180"/>
      <c r="J347" s="69"/>
    </row>
    <row r="348">
      <c r="A348" s="251"/>
      <c r="I348" s="180"/>
      <c r="J348" s="69"/>
    </row>
    <row r="349">
      <c r="A349" s="251"/>
      <c r="I349" s="180"/>
      <c r="J349" s="69"/>
    </row>
    <row r="350">
      <c r="A350" s="251"/>
      <c r="I350" s="180"/>
      <c r="J350" s="69"/>
    </row>
    <row r="351">
      <c r="A351" s="251"/>
      <c r="I351" s="180"/>
      <c r="J351" s="69"/>
    </row>
    <row r="352">
      <c r="A352" s="251"/>
      <c r="I352" s="180"/>
      <c r="J352" s="69"/>
    </row>
    <row r="353">
      <c r="A353" s="251"/>
      <c r="I353" s="180"/>
      <c r="J353" s="69"/>
    </row>
    <row r="354">
      <c r="A354" s="251"/>
      <c r="I354" s="180"/>
      <c r="J354" s="69"/>
    </row>
    <row r="355">
      <c r="A355" s="251"/>
      <c r="I355" s="180"/>
      <c r="J355" s="69"/>
    </row>
    <row r="356">
      <c r="A356" s="251"/>
      <c r="I356" s="180"/>
      <c r="J356" s="69"/>
    </row>
    <row r="357">
      <c r="A357" s="251"/>
      <c r="I357" s="180"/>
      <c r="J357" s="69"/>
    </row>
    <row r="358">
      <c r="A358" s="251"/>
      <c r="I358" s="180"/>
      <c r="J358" s="69"/>
    </row>
    <row r="359">
      <c r="A359" s="251"/>
      <c r="I359" s="180"/>
      <c r="J359" s="69"/>
    </row>
    <row r="360">
      <c r="A360" s="251"/>
      <c r="I360" s="180"/>
      <c r="J360" s="69"/>
    </row>
    <row r="361">
      <c r="A361" s="251"/>
      <c r="I361" s="180"/>
      <c r="J361" s="69"/>
    </row>
    <row r="362">
      <c r="A362" s="251"/>
      <c r="I362" s="180"/>
      <c r="J362" s="69"/>
    </row>
    <row r="363">
      <c r="A363" s="251"/>
      <c r="I363" s="180"/>
      <c r="J363" s="69"/>
    </row>
    <row r="364">
      <c r="A364" s="251"/>
      <c r="I364" s="180"/>
      <c r="J364" s="69"/>
    </row>
    <row r="365">
      <c r="A365" s="251"/>
      <c r="I365" s="180"/>
      <c r="J365" s="69"/>
    </row>
    <row r="366">
      <c r="A366" s="251"/>
      <c r="I366" s="180"/>
      <c r="J366" s="69"/>
    </row>
    <row r="367">
      <c r="A367" s="251"/>
      <c r="I367" s="180"/>
      <c r="J367" s="69"/>
    </row>
    <row r="368">
      <c r="A368" s="251"/>
      <c r="I368" s="180"/>
      <c r="J368" s="69"/>
    </row>
    <row r="369">
      <c r="A369" s="251"/>
      <c r="I369" s="180"/>
      <c r="J369" s="69"/>
    </row>
    <row r="370">
      <c r="A370" s="251"/>
      <c r="I370" s="180"/>
      <c r="J370" s="69"/>
    </row>
    <row r="371">
      <c r="A371" s="251"/>
      <c r="I371" s="180"/>
      <c r="J371" s="69"/>
    </row>
    <row r="372">
      <c r="A372" s="251"/>
      <c r="I372" s="180"/>
      <c r="J372" s="69"/>
    </row>
    <row r="373">
      <c r="A373" s="251"/>
      <c r="I373" s="180"/>
      <c r="J373" s="69"/>
    </row>
    <row r="374">
      <c r="A374" s="251"/>
      <c r="I374" s="180"/>
      <c r="J374" s="69"/>
    </row>
    <row r="375">
      <c r="A375" s="251"/>
      <c r="I375" s="180"/>
      <c r="J375" s="69"/>
    </row>
    <row r="376">
      <c r="A376" s="251"/>
      <c r="I376" s="180"/>
      <c r="J376" s="69"/>
    </row>
    <row r="377">
      <c r="A377" s="251"/>
      <c r="I377" s="180"/>
      <c r="J377" s="69"/>
    </row>
    <row r="378">
      <c r="A378" s="251"/>
      <c r="I378" s="180"/>
      <c r="J378" s="69"/>
    </row>
    <row r="379">
      <c r="A379" s="251"/>
      <c r="I379" s="180"/>
      <c r="J379" s="69"/>
    </row>
    <row r="380">
      <c r="A380" s="251"/>
      <c r="I380" s="180"/>
      <c r="J380" s="69"/>
    </row>
    <row r="381">
      <c r="A381" s="251"/>
      <c r="I381" s="180"/>
      <c r="J381" s="69"/>
    </row>
    <row r="382">
      <c r="A382" s="251"/>
      <c r="I382" s="180"/>
      <c r="J382" s="69"/>
    </row>
    <row r="383">
      <c r="A383" s="251"/>
      <c r="I383" s="180"/>
      <c r="J383" s="69"/>
    </row>
    <row r="384">
      <c r="A384" s="251"/>
      <c r="I384" s="180"/>
      <c r="J384" s="69"/>
    </row>
    <row r="385">
      <c r="A385" s="251"/>
      <c r="I385" s="180"/>
      <c r="J385" s="69"/>
    </row>
    <row r="386">
      <c r="A386" s="251"/>
      <c r="I386" s="180"/>
      <c r="J386" s="69"/>
    </row>
    <row r="387">
      <c r="A387" s="251"/>
      <c r="I387" s="180"/>
      <c r="J387" s="69"/>
    </row>
    <row r="388">
      <c r="A388" s="251"/>
      <c r="I388" s="180"/>
      <c r="J388" s="69"/>
    </row>
    <row r="389">
      <c r="A389" s="251"/>
      <c r="I389" s="180"/>
      <c r="J389" s="69"/>
    </row>
    <row r="390">
      <c r="A390" s="251"/>
      <c r="I390" s="180"/>
      <c r="J390" s="69"/>
    </row>
    <row r="391">
      <c r="A391" s="251"/>
      <c r="I391" s="180"/>
      <c r="J391" s="69"/>
    </row>
    <row r="392">
      <c r="A392" s="251"/>
      <c r="I392" s="180"/>
      <c r="J392" s="69"/>
    </row>
    <row r="393">
      <c r="A393" s="251"/>
      <c r="I393" s="180"/>
      <c r="J393" s="69"/>
    </row>
    <row r="394">
      <c r="A394" s="251"/>
      <c r="I394" s="180"/>
      <c r="J394" s="69"/>
    </row>
    <row r="395">
      <c r="A395" s="251"/>
      <c r="I395" s="180"/>
      <c r="J395" s="69"/>
    </row>
    <row r="396">
      <c r="A396" s="251"/>
      <c r="I396" s="180"/>
      <c r="J396" s="69"/>
    </row>
    <row r="397">
      <c r="A397" s="251"/>
      <c r="I397" s="180"/>
      <c r="J397" s="69"/>
    </row>
    <row r="398">
      <c r="A398" s="251"/>
      <c r="I398" s="180"/>
      <c r="J398" s="69"/>
    </row>
    <row r="399">
      <c r="A399" s="251"/>
      <c r="I399" s="180"/>
      <c r="J399" s="69"/>
    </row>
    <row r="400">
      <c r="A400" s="251"/>
      <c r="I400" s="180"/>
      <c r="J400" s="69"/>
    </row>
    <row r="401">
      <c r="A401" s="251"/>
      <c r="I401" s="180"/>
      <c r="J401" s="69"/>
    </row>
    <row r="402">
      <c r="A402" s="251"/>
      <c r="I402" s="180"/>
      <c r="J402" s="69"/>
    </row>
    <row r="403">
      <c r="A403" s="251"/>
      <c r="I403" s="180"/>
      <c r="J403" s="69"/>
    </row>
    <row r="404">
      <c r="A404" s="251"/>
      <c r="I404" s="180"/>
      <c r="J404" s="69"/>
    </row>
    <row r="405">
      <c r="A405" s="251"/>
      <c r="I405" s="180"/>
      <c r="J405" s="69"/>
    </row>
    <row r="406">
      <c r="A406" s="251"/>
      <c r="I406" s="180"/>
      <c r="J406" s="69"/>
    </row>
    <row r="407">
      <c r="A407" s="251"/>
      <c r="I407" s="180"/>
      <c r="J407" s="69"/>
    </row>
    <row r="408">
      <c r="A408" s="251"/>
      <c r="I408" s="180"/>
      <c r="J408" s="69"/>
    </row>
    <row r="409">
      <c r="A409" s="251"/>
      <c r="I409" s="180"/>
      <c r="J409" s="69"/>
    </row>
    <row r="410">
      <c r="A410" s="251"/>
      <c r="I410" s="180"/>
      <c r="J410" s="69"/>
    </row>
    <row r="411">
      <c r="A411" s="251"/>
      <c r="I411" s="180"/>
      <c r="J411" s="69"/>
    </row>
    <row r="412">
      <c r="A412" s="251"/>
      <c r="I412" s="180"/>
      <c r="J412" s="69"/>
    </row>
    <row r="413">
      <c r="A413" s="251"/>
      <c r="I413" s="180"/>
      <c r="J413" s="69"/>
    </row>
    <row r="414">
      <c r="A414" s="251"/>
      <c r="I414" s="180"/>
      <c r="J414" s="69"/>
    </row>
    <row r="415">
      <c r="A415" s="251"/>
      <c r="I415" s="180"/>
      <c r="J415" s="69"/>
    </row>
    <row r="416">
      <c r="A416" s="251"/>
      <c r="I416" s="180"/>
      <c r="J416" s="69"/>
    </row>
    <row r="417">
      <c r="A417" s="251"/>
      <c r="I417" s="180"/>
      <c r="J417" s="69"/>
    </row>
    <row r="418">
      <c r="A418" s="251"/>
      <c r="I418" s="180"/>
      <c r="J418" s="69"/>
    </row>
    <row r="419">
      <c r="A419" s="251"/>
      <c r="I419" s="180"/>
      <c r="J419" s="69"/>
    </row>
    <row r="420">
      <c r="A420" s="251"/>
      <c r="I420" s="180"/>
      <c r="J420" s="69"/>
    </row>
    <row r="421">
      <c r="A421" s="251"/>
      <c r="I421" s="180"/>
      <c r="J421" s="69"/>
    </row>
    <row r="422">
      <c r="A422" s="251"/>
      <c r="I422" s="180"/>
      <c r="J422" s="69"/>
    </row>
    <row r="423">
      <c r="A423" s="251"/>
      <c r="I423" s="180"/>
      <c r="J423" s="69"/>
    </row>
    <row r="424">
      <c r="A424" s="251"/>
      <c r="I424" s="180"/>
      <c r="J424" s="69"/>
    </row>
    <row r="425">
      <c r="A425" s="251"/>
      <c r="I425" s="180"/>
      <c r="J425" s="69"/>
    </row>
    <row r="426">
      <c r="A426" s="251"/>
      <c r="I426" s="180"/>
      <c r="J426" s="69"/>
    </row>
    <row r="427">
      <c r="A427" s="251"/>
      <c r="I427" s="180"/>
      <c r="J427" s="69"/>
    </row>
    <row r="428">
      <c r="A428" s="251"/>
      <c r="I428" s="180"/>
      <c r="J428" s="69"/>
    </row>
    <row r="429">
      <c r="A429" s="251"/>
      <c r="I429" s="180"/>
      <c r="J429" s="69"/>
    </row>
    <row r="430">
      <c r="A430" s="251"/>
      <c r="I430" s="180"/>
      <c r="J430" s="69"/>
    </row>
    <row r="431">
      <c r="A431" s="251"/>
      <c r="I431" s="180"/>
      <c r="J431" s="69"/>
    </row>
    <row r="432">
      <c r="A432" s="251"/>
      <c r="I432" s="180"/>
      <c r="J432" s="69"/>
    </row>
    <row r="433">
      <c r="A433" s="251"/>
      <c r="I433" s="180"/>
      <c r="J433" s="69"/>
    </row>
    <row r="434">
      <c r="A434" s="251"/>
      <c r="I434" s="180"/>
      <c r="J434" s="69"/>
    </row>
    <row r="435">
      <c r="A435" s="251"/>
      <c r="I435" s="180"/>
      <c r="J435" s="69"/>
    </row>
    <row r="436">
      <c r="A436" s="251"/>
      <c r="I436" s="180"/>
      <c r="J436" s="69"/>
    </row>
    <row r="437">
      <c r="A437" s="251"/>
      <c r="I437" s="180"/>
      <c r="J437" s="69"/>
    </row>
    <row r="438">
      <c r="A438" s="251"/>
      <c r="I438" s="180"/>
      <c r="J438" s="69"/>
    </row>
    <row r="439">
      <c r="A439" s="251"/>
      <c r="I439" s="180"/>
      <c r="J439" s="69"/>
    </row>
    <row r="440">
      <c r="A440" s="251"/>
      <c r="I440" s="180"/>
      <c r="J440" s="69"/>
    </row>
    <row r="441">
      <c r="A441" s="251"/>
      <c r="I441" s="180"/>
      <c r="J441" s="69"/>
    </row>
    <row r="442">
      <c r="A442" s="251"/>
      <c r="I442" s="180"/>
      <c r="J442" s="69"/>
    </row>
    <row r="443">
      <c r="A443" s="251"/>
      <c r="I443" s="180"/>
      <c r="J443" s="69"/>
    </row>
    <row r="444">
      <c r="A444" s="251"/>
      <c r="I444" s="180"/>
      <c r="J444" s="69"/>
    </row>
    <row r="445">
      <c r="A445" s="251"/>
      <c r="I445" s="180"/>
      <c r="J445" s="69"/>
    </row>
    <row r="446">
      <c r="A446" s="251"/>
      <c r="I446" s="180"/>
      <c r="J446" s="69"/>
    </row>
    <row r="447">
      <c r="A447" s="251"/>
      <c r="I447" s="180"/>
      <c r="J447" s="69"/>
    </row>
    <row r="448">
      <c r="A448" s="251"/>
      <c r="I448" s="180"/>
      <c r="J448" s="69"/>
    </row>
    <row r="449">
      <c r="A449" s="251"/>
      <c r="I449" s="180"/>
      <c r="J449" s="69"/>
    </row>
    <row r="450">
      <c r="A450" s="251"/>
      <c r="I450" s="180"/>
      <c r="J450" s="69"/>
    </row>
    <row r="451">
      <c r="A451" s="251"/>
      <c r="I451" s="180"/>
      <c r="J451" s="69"/>
    </row>
    <row r="452">
      <c r="A452" s="251"/>
      <c r="I452" s="180"/>
      <c r="J452" s="69"/>
    </row>
    <row r="453">
      <c r="A453" s="251"/>
      <c r="I453" s="180"/>
      <c r="J453" s="69"/>
    </row>
    <row r="454">
      <c r="A454" s="251"/>
      <c r="I454" s="180"/>
      <c r="J454" s="69"/>
    </row>
    <row r="455">
      <c r="A455" s="251"/>
      <c r="I455" s="180"/>
      <c r="J455" s="69"/>
    </row>
    <row r="456">
      <c r="A456" s="251"/>
      <c r="I456" s="180"/>
      <c r="J456" s="69"/>
    </row>
    <row r="457">
      <c r="A457" s="251"/>
      <c r="I457" s="180"/>
      <c r="J457" s="69"/>
    </row>
    <row r="458">
      <c r="A458" s="251"/>
      <c r="I458" s="180"/>
      <c r="J458" s="69"/>
    </row>
    <row r="459">
      <c r="A459" s="251"/>
      <c r="I459" s="180"/>
      <c r="J459" s="69"/>
    </row>
    <row r="460">
      <c r="A460" s="251"/>
      <c r="I460" s="180"/>
      <c r="J460" s="69"/>
    </row>
    <row r="461">
      <c r="A461" s="251"/>
      <c r="I461" s="180"/>
      <c r="J461" s="69"/>
    </row>
    <row r="462">
      <c r="A462" s="251"/>
      <c r="I462" s="180"/>
      <c r="J462" s="69"/>
    </row>
    <row r="463">
      <c r="A463" s="251"/>
      <c r="I463" s="180"/>
      <c r="J463" s="69"/>
    </row>
    <row r="464">
      <c r="A464" s="251"/>
      <c r="I464" s="180"/>
      <c r="J464" s="69"/>
    </row>
    <row r="465">
      <c r="A465" s="251"/>
      <c r="I465" s="180"/>
      <c r="J465" s="69"/>
    </row>
    <row r="466">
      <c r="A466" s="251"/>
      <c r="I466" s="180"/>
      <c r="J466" s="69"/>
    </row>
    <row r="467">
      <c r="A467" s="251"/>
      <c r="I467" s="180"/>
      <c r="J467" s="69"/>
    </row>
    <row r="468">
      <c r="A468" s="251"/>
      <c r="I468" s="180"/>
      <c r="J468" s="69"/>
    </row>
    <row r="469">
      <c r="A469" s="251"/>
      <c r="I469" s="180"/>
      <c r="J469" s="69"/>
    </row>
    <row r="470">
      <c r="A470" s="251"/>
      <c r="I470" s="180"/>
      <c r="J470" s="69"/>
    </row>
    <row r="471">
      <c r="A471" s="251"/>
      <c r="I471" s="180"/>
      <c r="J471" s="69"/>
    </row>
    <row r="472">
      <c r="A472" s="251"/>
      <c r="I472" s="180"/>
      <c r="J472" s="69"/>
    </row>
    <row r="473">
      <c r="A473" s="251"/>
      <c r="I473" s="180"/>
      <c r="J473" s="69"/>
    </row>
    <row r="474">
      <c r="A474" s="251"/>
      <c r="I474" s="180"/>
      <c r="J474" s="69"/>
    </row>
    <row r="475">
      <c r="A475" s="251"/>
      <c r="I475" s="180"/>
      <c r="J475" s="69"/>
    </row>
    <row r="476">
      <c r="A476" s="251"/>
      <c r="I476" s="180"/>
      <c r="J476" s="69"/>
    </row>
    <row r="477">
      <c r="A477" s="251"/>
      <c r="I477" s="180"/>
      <c r="J477" s="69"/>
    </row>
    <row r="478">
      <c r="A478" s="251"/>
      <c r="I478" s="180"/>
      <c r="J478" s="69"/>
    </row>
    <row r="479">
      <c r="A479" s="251"/>
      <c r="I479" s="180"/>
      <c r="J479" s="69"/>
    </row>
    <row r="480">
      <c r="A480" s="251"/>
      <c r="I480" s="180"/>
      <c r="J480" s="69"/>
    </row>
    <row r="481">
      <c r="A481" s="251"/>
      <c r="I481" s="180"/>
      <c r="J481" s="69"/>
    </row>
    <row r="482">
      <c r="A482" s="251"/>
      <c r="I482" s="180"/>
      <c r="J482" s="69"/>
    </row>
    <row r="483">
      <c r="A483" s="251"/>
      <c r="I483" s="180"/>
      <c r="J483" s="69"/>
    </row>
    <row r="484">
      <c r="A484" s="251"/>
      <c r="I484" s="180"/>
      <c r="J484" s="69"/>
    </row>
    <row r="485">
      <c r="A485" s="251"/>
      <c r="I485" s="180"/>
      <c r="J485" s="69"/>
    </row>
    <row r="486">
      <c r="A486" s="251"/>
      <c r="I486" s="180"/>
      <c r="J486" s="69"/>
    </row>
    <row r="487">
      <c r="A487" s="251"/>
      <c r="I487" s="180"/>
      <c r="J487" s="69"/>
    </row>
    <row r="488">
      <c r="A488" s="251"/>
      <c r="I488" s="180"/>
      <c r="J488" s="69"/>
    </row>
    <row r="489">
      <c r="A489" s="251"/>
      <c r="I489" s="180"/>
      <c r="J489" s="69"/>
    </row>
    <row r="490">
      <c r="A490" s="251"/>
      <c r="I490" s="180"/>
      <c r="J490" s="69"/>
    </row>
    <row r="491">
      <c r="A491" s="251"/>
      <c r="I491" s="180"/>
      <c r="J491" s="69"/>
    </row>
    <row r="492">
      <c r="A492" s="251"/>
      <c r="I492" s="180"/>
      <c r="J492" s="69"/>
    </row>
    <row r="493">
      <c r="A493" s="251"/>
      <c r="I493" s="180"/>
      <c r="J493" s="69"/>
    </row>
    <row r="494">
      <c r="A494" s="251"/>
      <c r="I494" s="180"/>
      <c r="J494" s="69"/>
    </row>
    <row r="495">
      <c r="A495" s="251"/>
      <c r="I495" s="180"/>
      <c r="J495" s="69"/>
    </row>
    <row r="496">
      <c r="A496" s="251"/>
      <c r="I496" s="180"/>
      <c r="J496" s="69"/>
    </row>
    <row r="497">
      <c r="A497" s="251"/>
      <c r="I497" s="180"/>
      <c r="J497" s="69"/>
    </row>
    <row r="498">
      <c r="A498" s="251"/>
      <c r="I498" s="180"/>
      <c r="J498" s="69"/>
    </row>
    <row r="499">
      <c r="A499" s="251"/>
      <c r="I499" s="180"/>
      <c r="J499" s="69"/>
    </row>
    <row r="500">
      <c r="A500" s="251"/>
      <c r="I500" s="180"/>
      <c r="J500" s="69"/>
    </row>
    <row r="501">
      <c r="A501" s="251"/>
      <c r="I501" s="180"/>
      <c r="J501" s="69"/>
    </row>
    <row r="502">
      <c r="A502" s="251"/>
      <c r="I502" s="180"/>
      <c r="J502" s="69"/>
    </row>
    <row r="503">
      <c r="A503" s="251"/>
      <c r="I503" s="180"/>
      <c r="J503" s="69"/>
    </row>
    <row r="504">
      <c r="A504" s="251"/>
      <c r="I504" s="180"/>
      <c r="J504" s="69"/>
    </row>
    <row r="505">
      <c r="A505" s="251"/>
      <c r="I505" s="180"/>
      <c r="J505" s="69"/>
    </row>
    <row r="506">
      <c r="A506" s="251"/>
      <c r="I506" s="180"/>
      <c r="J506" s="69"/>
    </row>
    <row r="507">
      <c r="A507" s="251"/>
      <c r="I507" s="180"/>
      <c r="J507" s="69"/>
    </row>
    <row r="508">
      <c r="A508" s="251"/>
      <c r="I508" s="180"/>
      <c r="J508" s="69"/>
    </row>
    <row r="509">
      <c r="A509" s="251"/>
      <c r="I509" s="180"/>
      <c r="J509" s="69"/>
    </row>
    <row r="510">
      <c r="A510" s="251"/>
      <c r="I510" s="180"/>
      <c r="J510" s="69"/>
    </row>
    <row r="511">
      <c r="A511" s="251"/>
      <c r="I511" s="180"/>
      <c r="J511" s="69"/>
    </row>
    <row r="512">
      <c r="A512" s="251"/>
      <c r="I512" s="180"/>
      <c r="J512" s="69"/>
    </row>
    <row r="513">
      <c r="A513" s="251"/>
      <c r="I513" s="180"/>
      <c r="J513" s="69"/>
    </row>
    <row r="514">
      <c r="A514" s="251"/>
      <c r="I514" s="180"/>
      <c r="J514" s="69"/>
    </row>
    <row r="515">
      <c r="A515" s="251"/>
      <c r="I515" s="180"/>
      <c r="J515" s="69"/>
    </row>
    <row r="516">
      <c r="A516" s="251"/>
      <c r="I516" s="180"/>
      <c r="J516" s="69"/>
    </row>
    <row r="517">
      <c r="A517" s="251"/>
      <c r="I517" s="180"/>
      <c r="J517" s="69"/>
    </row>
    <row r="518">
      <c r="A518" s="251"/>
      <c r="I518" s="180"/>
      <c r="J518" s="69"/>
    </row>
    <row r="519">
      <c r="A519" s="251"/>
      <c r="I519" s="180"/>
      <c r="J519" s="69"/>
    </row>
    <row r="520">
      <c r="A520" s="251"/>
      <c r="I520" s="180"/>
      <c r="J520" s="69"/>
    </row>
    <row r="521">
      <c r="A521" s="251"/>
      <c r="I521" s="180"/>
      <c r="J521" s="69"/>
    </row>
    <row r="522">
      <c r="A522" s="251"/>
      <c r="I522" s="180"/>
      <c r="J522" s="69"/>
    </row>
    <row r="523">
      <c r="A523" s="251"/>
      <c r="I523" s="180"/>
      <c r="J523" s="69"/>
    </row>
    <row r="524">
      <c r="A524" s="251"/>
      <c r="I524" s="180"/>
      <c r="J524" s="69"/>
    </row>
    <row r="525">
      <c r="A525" s="251"/>
      <c r="I525" s="180"/>
      <c r="J525" s="69"/>
    </row>
    <row r="526">
      <c r="A526" s="251"/>
      <c r="I526" s="180"/>
      <c r="J526" s="69"/>
    </row>
    <row r="527">
      <c r="A527" s="251"/>
      <c r="I527" s="180"/>
      <c r="J527" s="69"/>
    </row>
    <row r="528">
      <c r="A528" s="251"/>
      <c r="I528" s="180"/>
      <c r="J528" s="69"/>
    </row>
    <row r="529">
      <c r="A529" s="251"/>
      <c r="I529" s="180"/>
      <c r="J529" s="69"/>
    </row>
    <row r="530">
      <c r="A530" s="251"/>
      <c r="I530" s="180"/>
      <c r="J530" s="69"/>
    </row>
    <row r="531">
      <c r="A531" s="251"/>
      <c r="I531" s="180"/>
      <c r="J531" s="69"/>
    </row>
    <row r="532">
      <c r="A532" s="251"/>
      <c r="I532" s="180"/>
      <c r="J532" s="69"/>
    </row>
    <row r="533">
      <c r="A533" s="251"/>
      <c r="I533" s="180"/>
      <c r="J533" s="69"/>
    </row>
    <row r="534">
      <c r="A534" s="251"/>
      <c r="I534" s="180"/>
      <c r="J534" s="69"/>
    </row>
    <row r="535">
      <c r="A535" s="251"/>
      <c r="I535" s="180"/>
      <c r="J535" s="69"/>
    </row>
    <row r="536">
      <c r="A536" s="251"/>
      <c r="I536" s="180"/>
      <c r="J536" s="69"/>
    </row>
    <row r="537">
      <c r="A537" s="251"/>
      <c r="I537" s="180"/>
      <c r="J537" s="69"/>
    </row>
    <row r="538">
      <c r="A538" s="251"/>
      <c r="I538" s="180"/>
      <c r="J538" s="69"/>
    </row>
    <row r="539">
      <c r="A539" s="251"/>
      <c r="I539" s="180"/>
      <c r="J539" s="69"/>
    </row>
    <row r="540">
      <c r="A540" s="251"/>
      <c r="I540" s="180"/>
      <c r="J540" s="69"/>
    </row>
    <row r="541">
      <c r="A541" s="251"/>
      <c r="I541" s="180"/>
      <c r="J541" s="69"/>
    </row>
    <row r="542">
      <c r="A542" s="251"/>
      <c r="I542" s="180"/>
      <c r="J542" s="69"/>
    </row>
    <row r="543">
      <c r="A543" s="251"/>
      <c r="I543" s="180"/>
      <c r="J543" s="69"/>
    </row>
    <row r="544">
      <c r="A544" s="251"/>
      <c r="I544" s="180"/>
      <c r="J544" s="69"/>
    </row>
    <row r="545">
      <c r="A545" s="251"/>
      <c r="I545" s="180"/>
      <c r="J545" s="69"/>
    </row>
    <row r="546">
      <c r="A546" s="251"/>
      <c r="I546" s="180"/>
      <c r="J546" s="69"/>
    </row>
    <row r="547">
      <c r="A547" s="251"/>
      <c r="I547" s="180"/>
      <c r="J547" s="69"/>
    </row>
    <row r="548">
      <c r="A548" s="251"/>
      <c r="I548" s="180"/>
      <c r="J548" s="69"/>
    </row>
    <row r="549">
      <c r="A549" s="251"/>
      <c r="I549" s="180"/>
      <c r="J549" s="69"/>
    </row>
    <row r="550">
      <c r="A550" s="251"/>
      <c r="I550" s="180"/>
      <c r="J550" s="69"/>
    </row>
    <row r="551">
      <c r="A551" s="251"/>
      <c r="I551" s="180"/>
      <c r="J551" s="69"/>
    </row>
    <row r="552">
      <c r="A552" s="251"/>
      <c r="I552" s="180"/>
      <c r="J552" s="69"/>
    </row>
    <row r="553">
      <c r="A553" s="251"/>
      <c r="I553" s="180"/>
      <c r="J553" s="69"/>
    </row>
    <row r="554">
      <c r="A554" s="251"/>
      <c r="I554" s="180"/>
      <c r="J554" s="69"/>
    </row>
    <row r="555">
      <c r="A555" s="251"/>
      <c r="I555" s="180"/>
      <c r="J555" s="69"/>
    </row>
    <row r="556">
      <c r="A556" s="251"/>
      <c r="I556" s="180"/>
      <c r="J556" s="69"/>
    </row>
    <row r="557">
      <c r="A557" s="251"/>
      <c r="I557" s="180"/>
      <c r="J557" s="69"/>
    </row>
    <row r="558">
      <c r="A558" s="251"/>
      <c r="I558" s="180"/>
      <c r="J558" s="69"/>
    </row>
    <row r="559">
      <c r="A559" s="251"/>
      <c r="I559" s="180"/>
      <c r="J559" s="69"/>
    </row>
    <row r="560">
      <c r="A560" s="251"/>
      <c r="I560" s="180"/>
      <c r="J560" s="69"/>
    </row>
    <row r="561">
      <c r="A561" s="251"/>
      <c r="I561" s="180"/>
      <c r="J561" s="69"/>
    </row>
    <row r="562">
      <c r="A562" s="251"/>
      <c r="I562" s="180"/>
      <c r="J562" s="69"/>
    </row>
    <row r="563">
      <c r="A563" s="251"/>
      <c r="I563" s="180"/>
      <c r="J563" s="69"/>
    </row>
    <row r="564">
      <c r="A564" s="251"/>
      <c r="I564" s="180"/>
      <c r="J564" s="69"/>
    </row>
    <row r="565">
      <c r="A565" s="251"/>
      <c r="I565" s="180"/>
      <c r="J565" s="69"/>
    </row>
    <row r="566">
      <c r="A566" s="251"/>
      <c r="I566" s="180"/>
      <c r="J566" s="69"/>
    </row>
    <row r="567">
      <c r="A567" s="251"/>
      <c r="I567" s="180"/>
      <c r="J567" s="69"/>
    </row>
    <row r="568">
      <c r="A568" s="251"/>
      <c r="I568" s="180"/>
      <c r="J568" s="69"/>
    </row>
    <row r="569">
      <c r="A569" s="251"/>
      <c r="I569" s="180"/>
      <c r="J569" s="69"/>
    </row>
    <row r="570">
      <c r="A570" s="251"/>
      <c r="I570" s="180"/>
      <c r="J570" s="69"/>
    </row>
    <row r="571">
      <c r="A571" s="251"/>
      <c r="I571" s="180"/>
      <c r="J571" s="69"/>
    </row>
    <row r="572">
      <c r="A572" s="251"/>
      <c r="I572" s="180"/>
      <c r="J572" s="69"/>
    </row>
    <row r="573">
      <c r="A573" s="251"/>
      <c r="I573" s="180"/>
      <c r="J573" s="69"/>
    </row>
    <row r="574">
      <c r="A574" s="251"/>
      <c r="I574" s="180"/>
      <c r="J574" s="69"/>
    </row>
    <row r="575">
      <c r="A575" s="251"/>
      <c r="I575" s="180"/>
      <c r="J575" s="69"/>
    </row>
    <row r="576">
      <c r="A576" s="251"/>
      <c r="I576" s="180"/>
      <c r="J576" s="69"/>
    </row>
    <row r="577">
      <c r="A577" s="251"/>
      <c r="I577" s="180"/>
      <c r="J577" s="69"/>
    </row>
    <row r="578">
      <c r="A578" s="251"/>
      <c r="I578" s="180"/>
      <c r="J578" s="69"/>
    </row>
    <row r="579">
      <c r="A579" s="251"/>
      <c r="I579" s="180"/>
      <c r="J579" s="69"/>
    </row>
    <row r="580">
      <c r="A580" s="251"/>
      <c r="I580" s="180"/>
      <c r="J580" s="69"/>
    </row>
    <row r="581">
      <c r="A581" s="251"/>
      <c r="I581" s="180"/>
      <c r="J581" s="69"/>
    </row>
    <row r="582">
      <c r="A582" s="251"/>
      <c r="I582" s="180"/>
      <c r="J582" s="69"/>
    </row>
    <row r="583">
      <c r="A583" s="251"/>
      <c r="I583" s="180"/>
      <c r="J583" s="69"/>
    </row>
    <row r="584">
      <c r="A584" s="251"/>
      <c r="I584" s="180"/>
      <c r="J584" s="69"/>
    </row>
    <row r="585">
      <c r="A585" s="251"/>
      <c r="I585" s="180"/>
      <c r="J585" s="69"/>
    </row>
    <row r="586">
      <c r="A586" s="251"/>
      <c r="I586" s="180"/>
      <c r="J586" s="69"/>
    </row>
    <row r="587">
      <c r="A587" s="251"/>
      <c r="I587" s="180"/>
      <c r="J587" s="69"/>
    </row>
    <row r="588">
      <c r="A588" s="251"/>
      <c r="I588" s="180"/>
      <c r="J588" s="69"/>
    </row>
    <row r="589">
      <c r="A589" s="251"/>
      <c r="I589" s="180"/>
      <c r="J589" s="69"/>
    </row>
    <row r="590">
      <c r="A590" s="251"/>
      <c r="I590" s="180"/>
      <c r="J590" s="69"/>
    </row>
    <row r="591">
      <c r="A591" s="251"/>
      <c r="I591" s="180"/>
      <c r="J591" s="69"/>
    </row>
    <row r="592">
      <c r="A592" s="251"/>
      <c r="I592" s="180"/>
      <c r="J592" s="69"/>
    </row>
    <row r="593">
      <c r="A593" s="251"/>
      <c r="I593" s="180"/>
      <c r="J593" s="69"/>
    </row>
    <row r="594">
      <c r="A594" s="251"/>
      <c r="I594" s="180"/>
      <c r="J594" s="69"/>
    </row>
    <row r="595">
      <c r="A595" s="251"/>
      <c r="I595" s="180"/>
      <c r="J595" s="69"/>
    </row>
    <row r="596">
      <c r="A596" s="251"/>
      <c r="I596" s="180"/>
      <c r="J596" s="69"/>
    </row>
    <row r="597">
      <c r="A597" s="251"/>
      <c r="I597" s="180"/>
      <c r="J597" s="69"/>
    </row>
    <row r="598">
      <c r="A598" s="251"/>
      <c r="I598" s="180"/>
      <c r="J598" s="69"/>
    </row>
    <row r="599">
      <c r="A599" s="251"/>
      <c r="I599" s="180"/>
      <c r="J599" s="69"/>
    </row>
    <row r="600">
      <c r="A600" s="251"/>
      <c r="I600" s="180"/>
      <c r="J600" s="69"/>
    </row>
    <row r="601">
      <c r="A601" s="251"/>
      <c r="I601" s="180"/>
      <c r="J601" s="69"/>
    </row>
    <row r="602">
      <c r="A602" s="251"/>
      <c r="I602" s="180"/>
      <c r="J602" s="69"/>
    </row>
    <row r="603">
      <c r="A603" s="251"/>
      <c r="I603" s="180"/>
      <c r="J603" s="69"/>
    </row>
    <row r="604">
      <c r="A604" s="251"/>
      <c r="I604" s="180"/>
      <c r="J604" s="69"/>
    </row>
    <row r="605">
      <c r="A605" s="251"/>
      <c r="I605" s="180"/>
      <c r="J605" s="69"/>
    </row>
    <row r="606">
      <c r="A606" s="251"/>
      <c r="I606" s="180"/>
      <c r="J606" s="69"/>
    </row>
    <row r="607">
      <c r="A607" s="251"/>
      <c r="I607" s="180"/>
      <c r="J607" s="69"/>
    </row>
    <row r="608">
      <c r="A608" s="251"/>
      <c r="I608" s="180"/>
      <c r="J608" s="69"/>
    </row>
    <row r="609">
      <c r="A609" s="251"/>
      <c r="I609" s="180"/>
      <c r="J609" s="69"/>
    </row>
    <row r="610">
      <c r="A610" s="251"/>
      <c r="I610" s="180"/>
      <c r="J610" s="69"/>
    </row>
    <row r="611">
      <c r="A611" s="251"/>
      <c r="I611" s="180"/>
      <c r="J611" s="69"/>
    </row>
    <row r="612">
      <c r="A612" s="251"/>
      <c r="I612" s="180"/>
      <c r="J612" s="69"/>
    </row>
    <row r="613">
      <c r="A613" s="251"/>
      <c r="I613" s="180"/>
      <c r="J613" s="69"/>
    </row>
    <row r="614">
      <c r="A614" s="251"/>
      <c r="I614" s="180"/>
      <c r="J614" s="69"/>
    </row>
    <row r="615">
      <c r="A615" s="251"/>
      <c r="I615" s="180"/>
      <c r="J615" s="69"/>
    </row>
    <row r="616">
      <c r="A616" s="251"/>
      <c r="I616" s="180"/>
      <c r="J616" s="69"/>
    </row>
    <row r="617">
      <c r="A617" s="251"/>
      <c r="I617" s="180"/>
      <c r="J617" s="69"/>
    </row>
    <row r="618">
      <c r="A618" s="251"/>
      <c r="I618" s="180"/>
      <c r="J618" s="69"/>
    </row>
    <row r="619">
      <c r="A619" s="251"/>
      <c r="I619" s="180"/>
      <c r="J619" s="69"/>
    </row>
    <row r="620">
      <c r="A620" s="251"/>
      <c r="I620" s="180"/>
      <c r="J620" s="69"/>
    </row>
    <row r="621">
      <c r="A621" s="251"/>
      <c r="I621" s="180"/>
      <c r="J621" s="69"/>
    </row>
    <row r="622">
      <c r="A622" s="251"/>
      <c r="I622" s="180"/>
      <c r="J622" s="69"/>
    </row>
    <row r="623">
      <c r="A623" s="251"/>
      <c r="I623" s="180"/>
      <c r="J623" s="69"/>
    </row>
    <row r="624">
      <c r="A624" s="251"/>
      <c r="I624" s="180"/>
      <c r="J624" s="69"/>
    </row>
    <row r="625">
      <c r="A625" s="251"/>
      <c r="I625" s="180"/>
      <c r="J625" s="69"/>
    </row>
    <row r="626">
      <c r="A626" s="251"/>
      <c r="I626" s="180"/>
      <c r="J626" s="69"/>
    </row>
    <row r="627">
      <c r="A627" s="251"/>
      <c r="I627" s="180"/>
      <c r="J627" s="69"/>
    </row>
    <row r="628">
      <c r="A628" s="251"/>
      <c r="I628" s="180"/>
      <c r="J628" s="69"/>
    </row>
    <row r="629">
      <c r="A629" s="251"/>
      <c r="I629" s="180"/>
      <c r="J629" s="69"/>
    </row>
    <row r="630">
      <c r="A630" s="251"/>
      <c r="I630" s="180"/>
      <c r="J630" s="69"/>
    </row>
    <row r="631">
      <c r="A631" s="251"/>
      <c r="I631" s="180"/>
      <c r="J631" s="69"/>
    </row>
    <row r="632">
      <c r="A632" s="251"/>
      <c r="I632" s="180"/>
      <c r="J632" s="69"/>
    </row>
    <row r="633">
      <c r="A633" s="251"/>
      <c r="I633" s="180"/>
      <c r="J633" s="69"/>
    </row>
    <row r="634">
      <c r="A634" s="251"/>
      <c r="I634" s="180"/>
      <c r="J634" s="69"/>
    </row>
    <row r="635">
      <c r="A635" s="251"/>
      <c r="I635" s="180"/>
      <c r="J635" s="69"/>
    </row>
    <row r="636">
      <c r="A636" s="251"/>
      <c r="I636" s="180"/>
      <c r="J636" s="69"/>
    </row>
    <row r="637">
      <c r="A637" s="251"/>
      <c r="I637" s="180"/>
      <c r="J637" s="69"/>
    </row>
    <row r="638">
      <c r="A638" s="251"/>
      <c r="I638" s="180"/>
      <c r="J638" s="69"/>
    </row>
    <row r="639">
      <c r="A639" s="251"/>
      <c r="I639" s="180"/>
      <c r="J639" s="69"/>
    </row>
    <row r="640">
      <c r="A640" s="251"/>
      <c r="I640" s="180"/>
      <c r="J640" s="69"/>
    </row>
    <row r="641">
      <c r="A641" s="251"/>
      <c r="I641" s="180"/>
      <c r="J641" s="69"/>
    </row>
    <row r="642">
      <c r="A642" s="251"/>
      <c r="I642" s="180"/>
      <c r="J642" s="69"/>
    </row>
    <row r="643">
      <c r="A643" s="251"/>
      <c r="I643" s="180"/>
      <c r="J643" s="69"/>
    </row>
    <row r="644">
      <c r="A644" s="251"/>
      <c r="I644" s="180"/>
      <c r="J644" s="69"/>
    </row>
    <row r="645">
      <c r="A645" s="251"/>
      <c r="I645" s="180"/>
      <c r="J645" s="69"/>
    </row>
    <row r="646">
      <c r="A646" s="251"/>
      <c r="I646" s="180"/>
      <c r="J646" s="69"/>
    </row>
    <row r="647">
      <c r="A647" s="251"/>
      <c r="I647" s="180"/>
      <c r="J647" s="69"/>
    </row>
    <row r="648">
      <c r="A648" s="251"/>
      <c r="I648" s="180"/>
      <c r="J648" s="69"/>
    </row>
    <row r="649">
      <c r="A649" s="251"/>
      <c r="I649" s="180"/>
      <c r="J649" s="69"/>
    </row>
    <row r="650">
      <c r="A650" s="251"/>
      <c r="I650" s="180"/>
      <c r="J650" s="69"/>
    </row>
    <row r="651">
      <c r="A651" s="251"/>
      <c r="I651" s="180"/>
      <c r="J651" s="69"/>
    </row>
    <row r="652">
      <c r="A652" s="251"/>
      <c r="I652" s="180"/>
      <c r="J652" s="69"/>
    </row>
    <row r="653">
      <c r="A653" s="251"/>
      <c r="I653" s="180"/>
      <c r="J653" s="69"/>
    </row>
    <row r="654">
      <c r="A654" s="251"/>
      <c r="I654" s="180"/>
      <c r="J654" s="69"/>
    </row>
    <row r="655">
      <c r="A655" s="251"/>
      <c r="I655" s="180"/>
      <c r="J655" s="69"/>
    </row>
    <row r="656">
      <c r="A656" s="251"/>
      <c r="I656" s="180"/>
      <c r="J656" s="69"/>
    </row>
    <row r="657">
      <c r="A657" s="251"/>
      <c r="I657" s="180"/>
      <c r="J657" s="69"/>
    </row>
    <row r="658">
      <c r="A658" s="251"/>
      <c r="I658" s="180"/>
      <c r="J658" s="69"/>
    </row>
    <row r="659">
      <c r="A659" s="251"/>
      <c r="I659" s="180"/>
      <c r="J659" s="69"/>
    </row>
    <row r="660">
      <c r="A660" s="251"/>
      <c r="I660" s="180"/>
      <c r="J660" s="69"/>
    </row>
    <row r="661">
      <c r="A661" s="251"/>
      <c r="I661" s="180"/>
      <c r="J661" s="69"/>
    </row>
    <row r="662">
      <c r="A662" s="251"/>
      <c r="I662" s="180"/>
      <c r="J662" s="69"/>
    </row>
    <row r="663">
      <c r="A663" s="251"/>
      <c r="I663" s="180"/>
      <c r="J663" s="69"/>
    </row>
    <row r="664">
      <c r="A664" s="251"/>
      <c r="I664" s="180"/>
      <c r="J664" s="69"/>
    </row>
    <row r="665">
      <c r="A665" s="251"/>
      <c r="I665" s="180"/>
      <c r="J665" s="69"/>
    </row>
    <row r="666">
      <c r="A666" s="251"/>
      <c r="I666" s="180"/>
      <c r="J666" s="69"/>
    </row>
    <row r="667">
      <c r="A667" s="251"/>
      <c r="I667" s="180"/>
      <c r="J667" s="69"/>
    </row>
    <row r="668">
      <c r="A668" s="251"/>
      <c r="I668" s="180"/>
      <c r="J668" s="69"/>
    </row>
    <row r="669">
      <c r="A669" s="251"/>
      <c r="I669" s="180"/>
      <c r="J669" s="69"/>
    </row>
    <row r="670">
      <c r="A670" s="251"/>
      <c r="I670" s="180"/>
      <c r="J670" s="69"/>
    </row>
    <row r="671">
      <c r="A671" s="251"/>
      <c r="I671" s="180"/>
      <c r="J671" s="69"/>
    </row>
    <row r="672">
      <c r="A672" s="251"/>
      <c r="I672" s="180"/>
      <c r="J672" s="69"/>
    </row>
    <row r="673">
      <c r="A673" s="251"/>
      <c r="I673" s="180"/>
      <c r="J673" s="69"/>
    </row>
    <row r="674">
      <c r="A674" s="251"/>
      <c r="I674" s="180"/>
      <c r="J674" s="69"/>
    </row>
    <row r="675">
      <c r="A675" s="251"/>
      <c r="I675" s="180"/>
      <c r="J675" s="69"/>
    </row>
    <row r="676">
      <c r="A676" s="251"/>
      <c r="I676" s="180"/>
      <c r="J676" s="69"/>
    </row>
    <row r="677">
      <c r="A677" s="251"/>
      <c r="I677" s="180"/>
      <c r="J677" s="69"/>
    </row>
    <row r="678">
      <c r="A678" s="251"/>
      <c r="I678" s="180"/>
      <c r="J678" s="69"/>
    </row>
    <row r="679">
      <c r="A679" s="251"/>
      <c r="I679" s="180"/>
      <c r="J679" s="69"/>
    </row>
    <row r="680">
      <c r="A680" s="251"/>
      <c r="I680" s="180"/>
      <c r="J680" s="69"/>
    </row>
    <row r="681">
      <c r="A681" s="251"/>
      <c r="I681" s="180"/>
      <c r="J681" s="69"/>
    </row>
    <row r="682">
      <c r="A682" s="251"/>
      <c r="I682" s="180"/>
      <c r="J682" s="69"/>
    </row>
    <row r="683">
      <c r="A683" s="251"/>
      <c r="I683" s="180"/>
      <c r="J683" s="69"/>
    </row>
    <row r="684">
      <c r="A684" s="251"/>
      <c r="I684" s="180"/>
      <c r="J684" s="69"/>
    </row>
    <row r="685">
      <c r="A685" s="251"/>
      <c r="I685" s="180"/>
      <c r="J685" s="69"/>
    </row>
    <row r="686">
      <c r="A686" s="251"/>
      <c r="I686" s="180"/>
      <c r="J686" s="69"/>
    </row>
    <row r="687">
      <c r="A687" s="251"/>
      <c r="I687" s="180"/>
      <c r="J687" s="69"/>
    </row>
    <row r="688">
      <c r="A688" s="251"/>
      <c r="I688" s="180"/>
      <c r="J688" s="69"/>
    </row>
    <row r="689">
      <c r="A689" s="251"/>
      <c r="I689" s="180"/>
      <c r="J689" s="69"/>
    </row>
    <row r="690">
      <c r="A690" s="251"/>
      <c r="I690" s="180"/>
      <c r="J690" s="69"/>
    </row>
    <row r="691">
      <c r="A691" s="251"/>
      <c r="I691" s="180"/>
      <c r="J691" s="69"/>
    </row>
    <row r="692">
      <c r="A692" s="251"/>
      <c r="I692" s="180"/>
      <c r="J692" s="69"/>
    </row>
    <row r="693">
      <c r="A693" s="251"/>
      <c r="I693" s="180"/>
      <c r="J693" s="69"/>
    </row>
    <row r="694">
      <c r="A694" s="251"/>
      <c r="I694" s="180"/>
      <c r="J694" s="69"/>
    </row>
    <row r="695">
      <c r="A695" s="251"/>
      <c r="I695" s="180"/>
      <c r="J695" s="69"/>
    </row>
    <row r="696">
      <c r="A696" s="251"/>
      <c r="I696" s="180"/>
      <c r="J696" s="69"/>
    </row>
    <row r="697">
      <c r="A697" s="251"/>
      <c r="I697" s="180"/>
      <c r="J697" s="69"/>
    </row>
    <row r="698">
      <c r="A698" s="251"/>
      <c r="I698" s="180"/>
      <c r="J698" s="69"/>
    </row>
    <row r="699">
      <c r="A699" s="251"/>
      <c r="I699" s="180"/>
      <c r="J699" s="69"/>
    </row>
    <row r="700">
      <c r="A700" s="251"/>
      <c r="I700" s="180"/>
      <c r="J700" s="69"/>
    </row>
    <row r="701">
      <c r="A701" s="251"/>
      <c r="I701" s="180"/>
      <c r="J701" s="69"/>
    </row>
    <row r="702">
      <c r="A702" s="251"/>
      <c r="I702" s="180"/>
      <c r="J702" s="69"/>
    </row>
    <row r="703">
      <c r="A703" s="251"/>
      <c r="I703" s="180"/>
      <c r="J703" s="69"/>
    </row>
    <row r="704">
      <c r="A704" s="251"/>
      <c r="I704" s="180"/>
      <c r="J704" s="69"/>
    </row>
    <row r="705">
      <c r="A705" s="251"/>
      <c r="I705" s="180"/>
      <c r="J705" s="69"/>
    </row>
    <row r="706">
      <c r="A706" s="251"/>
      <c r="I706" s="180"/>
      <c r="J706" s="69"/>
    </row>
    <row r="707">
      <c r="A707" s="251"/>
      <c r="I707" s="180"/>
      <c r="J707" s="69"/>
    </row>
    <row r="708">
      <c r="A708" s="251"/>
      <c r="I708" s="180"/>
      <c r="J708" s="69"/>
    </row>
    <row r="709">
      <c r="A709" s="251"/>
      <c r="I709" s="180"/>
      <c r="J709" s="69"/>
    </row>
    <row r="710">
      <c r="A710" s="251"/>
      <c r="I710" s="180"/>
      <c r="J710" s="69"/>
    </row>
    <row r="711">
      <c r="A711" s="251"/>
      <c r="I711" s="180"/>
      <c r="J711" s="69"/>
    </row>
    <row r="712">
      <c r="A712" s="251"/>
      <c r="I712" s="180"/>
      <c r="J712" s="69"/>
    </row>
    <row r="713">
      <c r="A713" s="251"/>
      <c r="I713" s="180"/>
      <c r="J713" s="69"/>
    </row>
    <row r="714">
      <c r="A714" s="251"/>
      <c r="I714" s="180"/>
      <c r="J714" s="69"/>
    </row>
    <row r="715">
      <c r="A715" s="251"/>
      <c r="I715" s="180"/>
      <c r="J715" s="69"/>
    </row>
    <row r="716">
      <c r="A716" s="251"/>
      <c r="I716" s="180"/>
      <c r="J716" s="69"/>
    </row>
    <row r="717">
      <c r="A717" s="251"/>
      <c r="I717" s="180"/>
      <c r="J717" s="69"/>
    </row>
    <row r="718">
      <c r="A718" s="251"/>
      <c r="I718" s="180"/>
      <c r="J718" s="69"/>
    </row>
    <row r="719">
      <c r="A719" s="251"/>
      <c r="I719" s="180"/>
      <c r="J719" s="69"/>
    </row>
    <row r="720">
      <c r="A720" s="251"/>
      <c r="I720" s="180"/>
      <c r="J720" s="69"/>
    </row>
    <row r="721">
      <c r="A721" s="251"/>
      <c r="I721" s="180"/>
      <c r="J721" s="69"/>
    </row>
    <row r="722">
      <c r="A722" s="251"/>
      <c r="I722" s="180"/>
      <c r="J722" s="69"/>
    </row>
    <row r="723">
      <c r="A723" s="251"/>
      <c r="I723" s="180"/>
      <c r="J723" s="69"/>
    </row>
    <row r="724">
      <c r="A724" s="251"/>
      <c r="I724" s="180"/>
      <c r="J724" s="69"/>
    </row>
    <row r="725">
      <c r="A725" s="251"/>
      <c r="I725" s="180"/>
      <c r="J725" s="69"/>
    </row>
    <row r="726">
      <c r="A726" s="251"/>
      <c r="I726" s="180"/>
      <c r="J726" s="69"/>
    </row>
    <row r="727">
      <c r="A727" s="251"/>
      <c r="I727" s="180"/>
      <c r="J727" s="69"/>
    </row>
    <row r="728">
      <c r="A728" s="251"/>
      <c r="I728" s="180"/>
      <c r="J728" s="69"/>
    </row>
    <row r="729">
      <c r="A729" s="251"/>
      <c r="I729" s="180"/>
      <c r="J729" s="69"/>
    </row>
    <row r="730">
      <c r="A730" s="251"/>
      <c r="I730" s="180"/>
      <c r="J730" s="69"/>
    </row>
    <row r="731">
      <c r="A731" s="251"/>
      <c r="I731" s="180"/>
      <c r="J731" s="69"/>
    </row>
    <row r="732">
      <c r="A732" s="251"/>
      <c r="I732" s="180"/>
      <c r="J732" s="69"/>
    </row>
    <row r="733">
      <c r="A733" s="251"/>
      <c r="I733" s="180"/>
      <c r="J733" s="69"/>
    </row>
    <row r="734">
      <c r="A734" s="251"/>
      <c r="I734" s="180"/>
      <c r="J734" s="69"/>
    </row>
    <row r="735">
      <c r="A735" s="251"/>
      <c r="I735" s="180"/>
      <c r="J735" s="69"/>
    </row>
    <row r="736">
      <c r="A736" s="251"/>
      <c r="I736" s="180"/>
      <c r="J736" s="69"/>
    </row>
    <row r="737">
      <c r="A737" s="251"/>
      <c r="I737" s="180"/>
      <c r="J737" s="69"/>
    </row>
    <row r="738">
      <c r="A738" s="251"/>
      <c r="I738" s="180"/>
      <c r="J738" s="69"/>
    </row>
    <row r="739">
      <c r="A739" s="251"/>
      <c r="I739" s="180"/>
      <c r="J739" s="69"/>
    </row>
    <row r="740">
      <c r="A740" s="251"/>
      <c r="I740" s="180"/>
      <c r="J740" s="69"/>
    </row>
    <row r="741">
      <c r="A741" s="251"/>
      <c r="I741" s="180"/>
      <c r="J741" s="69"/>
    </row>
    <row r="742">
      <c r="A742" s="251"/>
      <c r="I742" s="180"/>
      <c r="J742" s="69"/>
    </row>
    <row r="743">
      <c r="A743" s="251"/>
      <c r="I743" s="180"/>
      <c r="J743" s="69"/>
    </row>
    <row r="744">
      <c r="A744" s="251"/>
      <c r="I744" s="180"/>
      <c r="J744" s="69"/>
    </row>
    <row r="745">
      <c r="A745" s="251"/>
      <c r="I745" s="180"/>
      <c r="J745" s="69"/>
    </row>
    <row r="746">
      <c r="A746" s="251"/>
      <c r="I746" s="180"/>
      <c r="J746" s="69"/>
    </row>
    <row r="747">
      <c r="A747" s="251"/>
      <c r="I747" s="180"/>
      <c r="J747" s="69"/>
    </row>
    <row r="748">
      <c r="A748" s="251"/>
      <c r="I748" s="180"/>
      <c r="J748" s="69"/>
    </row>
    <row r="749">
      <c r="A749" s="251"/>
      <c r="I749" s="180"/>
      <c r="J749" s="69"/>
    </row>
    <row r="750">
      <c r="A750" s="251"/>
      <c r="I750" s="180"/>
      <c r="J750" s="69"/>
    </row>
    <row r="751">
      <c r="A751" s="251"/>
      <c r="I751" s="180"/>
      <c r="J751" s="69"/>
    </row>
    <row r="752">
      <c r="A752" s="251"/>
      <c r="I752" s="180"/>
      <c r="J752" s="69"/>
    </row>
    <row r="753">
      <c r="A753" s="251"/>
      <c r="I753" s="180"/>
      <c r="J753" s="69"/>
    </row>
    <row r="754">
      <c r="A754" s="251"/>
      <c r="I754" s="180"/>
      <c r="J754" s="69"/>
    </row>
    <row r="755">
      <c r="A755" s="251"/>
      <c r="I755" s="180"/>
      <c r="J755" s="69"/>
    </row>
    <row r="756">
      <c r="A756" s="251"/>
      <c r="I756" s="180"/>
      <c r="J756" s="69"/>
    </row>
    <row r="757">
      <c r="A757" s="251"/>
      <c r="I757" s="180"/>
      <c r="J757" s="69"/>
    </row>
    <row r="758">
      <c r="A758" s="251"/>
      <c r="I758" s="180"/>
      <c r="J758" s="69"/>
    </row>
    <row r="759">
      <c r="A759" s="251"/>
      <c r="I759" s="180"/>
      <c r="J759" s="69"/>
    </row>
    <row r="760">
      <c r="A760" s="251"/>
      <c r="I760" s="180"/>
      <c r="J760" s="69"/>
    </row>
    <row r="761">
      <c r="A761" s="251"/>
      <c r="I761" s="180"/>
      <c r="J761" s="69"/>
    </row>
    <row r="762">
      <c r="A762" s="251"/>
      <c r="I762" s="180"/>
      <c r="J762" s="69"/>
    </row>
    <row r="763">
      <c r="A763" s="251"/>
      <c r="I763" s="180"/>
      <c r="J763" s="69"/>
    </row>
    <row r="764">
      <c r="A764" s="251"/>
      <c r="I764" s="180"/>
      <c r="J764" s="69"/>
    </row>
    <row r="765">
      <c r="A765" s="251"/>
      <c r="I765" s="180"/>
      <c r="J765" s="69"/>
    </row>
    <row r="766">
      <c r="A766" s="251"/>
      <c r="I766" s="180"/>
      <c r="J766" s="69"/>
    </row>
    <row r="767">
      <c r="A767" s="251"/>
      <c r="I767" s="180"/>
      <c r="J767" s="69"/>
    </row>
    <row r="768">
      <c r="A768" s="251"/>
      <c r="I768" s="180"/>
      <c r="J768" s="69"/>
    </row>
    <row r="769">
      <c r="A769" s="251"/>
      <c r="I769" s="180"/>
      <c r="J769" s="69"/>
    </row>
    <row r="770">
      <c r="A770" s="251"/>
      <c r="I770" s="180"/>
      <c r="J770" s="69"/>
    </row>
    <row r="771">
      <c r="A771" s="251"/>
      <c r="I771" s="180"/>
      <c r="J771" s="69"/>
    </row>
    <row r="772">
      <c r="A772" s="251"/>
      <c r="I772" s="180"/>
      <c r="J772" s="69"/>
    </row>
    <row r="773">
      <c r="A773" s="251"/>
      <c r="I773" s="180"/>
      <c r="J773" s="69"/>
    </row>
    <row r="774">
      <c r="A774" s="251"/>
      <c r="I774" s="180"/>
      <c r="J774" s="69"/>
    </row>
    <row r="775">
      <c r="A775" s="251"/>
      <c r="I775" s="180"/>
      <c r="J775" s="69"/>
    </row>
    <row r="776">
      <c r="A776" s="251"/>
      <c r="I776" s="180"/>
      <c r="J776" s="69"/>
    </row>
    <row r="777">
      <c r="A777" s="251"/>
      <c r="I777" s="180"/>
      <c r="J777" s="69"/>
    </row>
    <row r="778">
      <c r="A778" s="251"/>
      <c r="I778" s="180"/>
      <c r="J778" s="69"/>
    </row>
    <row r="779">
      <c r="A779" s="251"/>
      <c r="I779" s="180"/>
      <c r="J779" s="69"/>
    </row>
    <row r="780">
      <c r="A780" s="251"/>
      <c r="I780" s="180"/>
      <c r="J780" s="69"/>
    </row>
    <row r="781">
      <c r="A781" s="251"/>
      <c r="I781" s="180"/>
      <c r="J781" s="69"/>
    </row>
    <row r="782">
      <c r="A782" s="251"/>
      <c r="I782" s="180"/>
      <c r="J782" s="69"/>
    </row>
    <row r="783">
      <c r="A783" s="251"/>
      <c r="I783" s="180"/>
      <c r="J783" s="69"/>
    </row>
    <row r="784">
      <c r="A784" s="251"/>
      <c r="I784" s="180"/>
      <c r="J784" s="69"/>
    </row>
    <row r="785">
      <c r="A785" s="251"/>
      <c r="I785" s="180"/>
      <c r="J785" s="69"/>
    </row>
    <row r="786">
      <c r="A786" s="251"/>
      <c r="I786" s="180"/>
      <c r="J786" s="69"/>
    </row>
    <row r="787">
      <c r="A787" s="251"/>
      <c r="I787" s="180"/>
      <c r="J787" s="69"/>
    </row>
    <row r="788">
      <c r="A788" s="251"/>
      <c r="I788" s="180"/>
      <c r="J788" s="69"/>
    </row>
    <row r="789">
      <c r="A789" s="251"/>
      <c r="I789" s="180"/>
      <c r="J789" s="69"/>
    </row>
    <row r="790">
      <c r="A790" s="251"/>
      <c r="I790" s="180"/>
      <c r="J790" s="69"/>
    </row>
    <row r="791">
      <c r="A791" s="251"/>
      <c r="I791" s="180"/>
      <c r="J791" s="69"/>
    </row>
    <row r="792">
      <c r="A792" s="251"/>
      <c r="I792" s="180"/>
      <c r="J792" s="69"/>
    </row>
    <row r="793">
      <c r="A793" s="251"/>
      <c r="I793" s="180"/>
      <c r="J793" s="69"/>
    </row>
    <row r="794">
      <c r="A794" s="251"/>
      <c r="I794" s="180"/>
      <c r="J794" s="69"/>
    </row>
    <row r="795">
      <c r="A795" s="251"/>
      <c r="I795" s="180"/>
      <c r="J795" s="69"/>
    </row>
    <row r="796">
      <c r="A796" s="251"/>
      <c r="I796" s="180"/>
      <c r="J796" s="69"/>
    </row>
    <row r="797">
      <c r="A797" s="251"/>
      <c r="I797" s="180"/>
      <c r="J797" s="69"/>
    </row>
    <row r="798">
      <c r="A798" s="251"/>
      <c r="I798" s="180"/>
      <c r="J798" s="69"/>
    </row>
    <row r="799">
      <c r="A799" s="251"/>
      <c r="I799" s="180"/>
      <c r="J799" s="69"/>
    </row>
    <row r="800">
      <c r="A800" s="251"/>
      <c r="I800" s="180"/>
      <c r="J800" s="69"/>
    </row>
    <row r="801">
      <c r="A801" s="251"/>
      <c r="I801" s="180"/>
      <c r="J801" s="69"/>
    </row>
    <row r="802">
      <c r="A802" s="251"/>
      <c r="I802" s="180"/>
      <c r="J802" s="69"/>
    </row>
    <row r="803">
      <c r="A803" s="251"/>
      <c r="I803" s="180"/>
      <c r="J803" s="69"/>
    </row>
    <row r="804">
      <c r="A804" s="251"/>
      <c r="I804" s="180"/>
      <c r="J804" s="69"/>
    </row>
    <row r="805">
      <c r="A805" s="251"/>
      <c r="I805" s="180"/>
      <c r="J805" s="69"/>
    </row>
    <row r="806">
      <c r="A806" s="251"/>
      <c r="I806" s="180"/>
      <c r="J806" s="69"/>
    </row>
    <row r="807">
      <c r="A807" s="251"/>
      <c r="I807" s="180"/>
      <c r="J807" s="69"/>
    </row>
    <row r="808">
      <c r="A808" s="251"/>
      <c r="I808" s="180"/>
      <c r="J808" s="69"/>
    </row>
    <row r="809">
      <c r="A809" s="251"/>
      <c r="I809" s="180"/>
      <c r="J809" s="69"/>
    </row>
    <row r="810">
      <c r="A810" s="251"/>
      <c r="I810" s="180"/>
      <c r="J810" s="69"/>
    </row>
    <row r="811">
      <c r="A811" s="251"/>
      <c r="I811" s="180"/>
      <c r="J811" s="69"/>
    </row>
    <row r="812">
      <c r="A812" s="251"/>
      <c r="I812" s="180"/>
      <c r="J812" s="69"/>
    </row>
    <row r="813">
      <c r="A813" s="251"/>
      <c r="I813" s="180"/>
      <c r="J813" s="69"/>
    </row>
    <row r="814">
      <c r="A814" s="251"/>
      <c r="I814" s="180"/>
      <c r="J814" s="69"/>
    </row>
    <row r="815">
      <c r="A815" s="251"/>
      <c r="I815" s="180"/>
      <c r="J815" s="69"/>
    </row>
    <row r="816">
      <c r="A816" s="251"/>
      <c r="I816" s="180"/>
      <c r="J816" s="69"/>
    </row>
    <row r="817">
      <c r="A817" s="251"/>
      <c r="I817" s="180"/>
      <c r="J817" s="69"/>
    </row>
    <row r="818">
      <c r="A818" s="251"/>
      <c r="I818" s="180"/>
      <c r="J818" s="69"/>
    </row>
    <row r="819">
      <c r="A819" s="251"/>
      <c r="I819" s="180"/>
      <c r="J819" s="69"/>
    </row>
    <row r="820">
      <c r="A820" s="251"/>
      <c r="I820" s="180"/>
      <c r="J820" s="69"/>
    </row>
    <row r="821">
      <c r="A821" s="251"/>
      <c r="I821" s="180"/>
      <c r="J821" s="69"/>
    </row>
    <row r="822">
      <c r="A822" s="251"/>
      <c r="I822" s="180"/>
      <c r="J822" s="69"/>
    </row>
    <row r="823">
      <c r="A823" s="251"/>
      <c r="I823" s="180"/>
      <c r="J823" s="69"/>
    </row>
    <row r="824">
      <c r="A824" s="251"/>
      <c r="I824" s="180"/>
      <c r="J824" s="69"/>
    </row>
    <row r="825">
      <c r="A825" s="251"/>
      <c r="I825" s="180"/>
      <c r="J825" s="69"/>
    </row>
    <row r="826">
      <c r="A826" s="251"/>
      <c r="I826" s="180"/>
      <c r="J826" s="69"/>
    </row>
    <row r="827">
      <c r="A827" s="251"/>
      <c r="I827" s="180"/>
      <c r="J827" s="69"/>
    </row>
    <row r="828">
      <c r="A828" s="251"/>
      <c r="I828" s="180"/>
      <c r="J828" s="69"/>
    </row>
    <row r="829">
      <c r="A829" s="251"/>
      <c r="I829" s="180"/>
      <c r="J829" s="69"/>
    </row>
    <row r="830">
      <c r="A830" s="251"/>
      <c r="I830" s="180"/>
      <c r="J830" s="69"/>
    </row>
    <row r="831">
      <c r="A831" s="251"/>
      <c r="I831" s="180"/>
      <c r="J831" s="69"/>
    </row>
    <row r="832">
      <c r="A832" s="251"/>
      <c r="I832" s="180"/>
      <c r="J832" s="69"/>
    </row>
    <row r="833">
      <c r="A833" s="251"/>
      <c r="I833" s="180"/>
      <c r="J833" s="69"/>
    </row>
    <row r="834">
      <c r="A834" s="251"/>
      <c r="I834" s="180"/>
      <c r="J834" s="69"/>
    </row>
    <row r="835">
      <c r="A835" s="251"/>
      <c r="I835" s="180"/>
      <c r="J835" s="69"/>
    </row>
    <row r="836">
      <c r="A836" s="251"/>
      <c r="I836" s="180"/>
      <c r="J836" s="69"/>
    </row>
    <row r="837">
      <c r="A837" s="251"/>
      <c r="I837" s="180"/>
      <c r="J837" s="69"/>
    </row>
    <row r="838">
      <c r="A838" s="251"/>
      <c r="I838" s="180"/>
      <c r="J838" s="69"/>
    </row>
    <row r="839">
      <c r="A839" s="251"/>
      <c r="I839" s="180"/>
      <c r="J839" s="69"/>
    </row>
    <row r="840">
      <c r="A840" s="251"/>
      <c r="I840" s="180"/>
      <c r="J840" s="69"/>
    </row>
    <row r="841">
      <c r="A841" s="251"/>
      <c r="I841" s="180"/>
      <c r="J841" s="69"/>
    </row>
    <row r="842">
      <c r="A842" s="251"/>
      <c r="I842" s="180"/>
      <c r="J842" s="69"/>
    </row>
    <row r="843">
      <c r="A843" s="251"/>
      <c r="I843" s="180"/>
      <c r="J843" s="69"/>
    </row>
    <row r="844">
      <c r="A844" s="251"/>
      <c r="I844" s="180"/>
      <c r="J844" s="69"/>
    </row>
    <row r="845">
      <c r="A845" s="251"/>
      <c r="I845" s="180"/>
      <c r="J845" s="69"/>
    </row>
    <row r="846">
      <c r="A846" s="251"/>
      <c r="I846" s="180"/>
      <c r="J846" s="69"/>
    </row>
    <row r="847">
      <c r="A847" s="251"/>
      <c r="I847" s="180"/>
      <c r="J847" s="69"/>
    </row>
    <row r="848">
      <c r="A848" s="251"/>
      <c r="I848" s="180"/>
      <c r="J848" s="69"/>
    </row>
    <row r="849">
      <c r="A849" s="251"/>
      <c r="I849" s="180"/>
      <c r="J849" s="69"/>
    </row>
    <row r="850">
      <c r="A850" s="251"/>
      <c r="I850" s="180"/>
      <c r="J850" s="69"/>
    </row>
    <row r="851">
      <c r="A851" s="251"/>
      <c r="I851" s="180"/>
      <c r="J851" s="69"/>
    </row>
    <row r="852">
      <c r="A852" s="251"/>
      <c r="I852" s="180"/>
      <c r="J852" s="69"/>
    </row>
    <row r="853">
      <c r="A853" s="251"/>
      <c r="I853" s="180"/>
      <c r="J853" s="69"/>
    </row>
    <row r="854">
      <c r="A854" s="251"/>
      <c r="I854" s="180"/>
      <c r="J854" s="69"/>
    </row>
    <row r="855">
      <c r="A855" s="251"/>
      <c r="I855" s="180"/>
      <c r="J855" s="69"/>
    </row>
    <row r="856">
      <c r="A856" s="251"/>
      <c r="I856" s="180"/>
      <c r="J856" s="69"/>
    </row>
    <row r="857">
      <c r="A857" s="251"/>
      <c r="I857" s="180"/>
      <c r="J857" s="69"/>
    </row>
    <row r="858">
      <c r="A858" s="251"/>
      <c r="I858" s="180"/>
      <c r="J858" s="69"/>
    </row>
    <row r="859">
      <c r="A859" s="251"/>
      <c r="I859" s="180"/>
      <c r="J859" s="69"/>
    </row>
    <row r="860">
      <c r="A860" s="251"/>
      <c r="I860" s="180"/>
      <c r="J860" s="69"/>
    </row>
    <row r="861">
      <c r="A861" s="251"/>
      <c r="I861" s="180"/>
      <c r="J861" s="69"/>
    </row>
    <row r="862">
      <c r="A862" s="251"/>
      <c r="I862" s="180"/>
      <c r="J862" s="69"/>
    </row>
    <row r="863">
      <c r="A863" s="251"/>
      <c r="I863" s="180"/>
      <c r="J863" s="69"/>
    </row>
    <row r="864">
      <c r="A864" s="251"/>
      <c r="I864" s="180"/>
      <c r="J864" s="69"/>
    </row>
    <row r="865">
      <c r="A865" s="251"/>
      <c r="I865" s="180"/>
      <c r="J865" s="69"/>
    </row>
    <row r="866">
      <c r="A866" s="251"/>
      <c r="I866" s="180"/>
      <c r="J866" s="69"/>
    </row>
    <row r="867">
      <c r="A867" s="251"/>
      <c r="I867" s="180"/>
      <c r="J867" s="69"/>
    </row>
    <row r="868">
      <c r="A868" s="251"/>
      <c r="I868" s="180"/>
      <c r="J868" s="69"/>
    </row>
    <row r="869">
      <c r="A869" s="251"/>
      <c r="I869" s="180"/>
      <c r="J869" s="69"/>
    </row>
    <row r="870">
      <c r="A870" s="251"/>
      <c r="I870" s="180"/>
      <c r="J870" s="69"/>
    </row>
    <row r="871">
      <c r="A871" s="251"/>
      <c r="I871" s="180"/>
      <c r="J871" s="69"/>
    </row>
    <row r="872">
      <c r="A872" s="251"/>
      <c r="I872" s="180"/>
      <c r="J872" s="69"/>
    </row>
    <row r="873">
      <c r="A873" s="251"/>
      <c r="I873" s="180"/>
      <c r="J873" s="69"/>
    </row>
    <row r="874">
      <c r="A874" s="251"/>
      <c r="I874" s="180"/>
      <c r="J874" s="69"/>
    </row>
    <row r="875">
      <c r="A875" s="251"/>
      <c r="I875" s="180"/>
      <c r="J875" s="69"/>
    </row>
    <row r="876">
      <c r="A876" s="251"/>
      <c r="I876" s="180"/>
      <c r="J876" s="69"/>
    </row>
    <row r="877">
      <c r="A877" s="251"/>
      <c r="I877" s="180"/>
      <c r="J877" s="69"/>
    </row>
    <row r="878">
      <c r="A878" s="251"/>
      <c r="I878" s="180"/>
      <c r="J878" s="69"/>
    </row>
    <row r="879">
      <c r="A879" s="251"/>
      <c r="I879" s="180"/>
      <c r="J879" s="69"/>
    </row>
    <row r="880">
      <c r="A880" s="251"/>
      <c r="I880" s="180"/>
      <c r="J880" s="69"/>
    </row>
    <row r="881">
      <c r="A881" s="251"/>
      <c r="I881" s="180"/>
      <c r="J881" s="69"/>
    </row>
    <row r="882">
      <c r="A882" s="251"/>
      <c r="I882" s="180"/>
      <c r="J882" s="69"/>
    </row>
    <row r="883">
      <c r="A883" s="251"/>
      <c r="I883" s="180"/>
      <c r="J883" s="69"/>
    </row>
    <row r="884">
      <c r="A884" s="251"/>
      <c r="I884" s="180"/>
      <c r="J884" s="69"/>
    </row>
    <row r="885">
      <c r="A885" s="251"/>
      <c r="I885" s="180"/>
      <c r="J885" s="69"/>
    </row>
    <row r="886">
      <c r="A886" s="251"/>
      <c r="I886" s="180"/>
      <c r="J886" s="69"/>
    </row>
    <row r="887">
      <c r="A887" s="251"/>
      <c r="I887" s="180"/>
      <c r="J887" s="69"/>
    </row>
    <row r="888">
      <c r="A888" s="251"/>
      <c r="I888" s="180"/>
      <c r="J888" s="69"/>
    </row>
    <row r="889">
      <c r="A889" s="251"/>
      <c r="I889" s="180"/>
      <c r="J889" s="69"/>
    </row>
    <row r="890">
      <c r="A890" s="251"/>
      <c r="I890" s="180"/>
      <c r="J890" s="69"/>
    </row>
    <row r="891">
      <c r="A891" s="251"/>
      <c r="I891" s="180"/>
      <c r="J891" s="69"/>
    </row>
    <row r="892">
      <c r="A892" s="251"/>
      <c r="I892" s="180"/>
      <c r="J892" s="69"/>
    </row>
    <row r="893">
      <c r="A893" s="251"/>
      <c r="I893" s="180"/>
      <c r="J893" s="69"/>
    </row>
    <row r="894">
      <c r="A894" s="251"/>
      <c r="I894" s="180"/>
      <c r="J894" s="69"/>
    </row>
    <row r="895">
      <c r="A895" s="251"/>
      <c r="I895" s="180"/>
      <c r="J895" s="69"/>
    </row>
    <row r="896">
      <c r="A896" s="251"/>
      <c r="I896" s="180"/>
      <c r="J896" s="69"/>
    </row>
    <row r="897">
      <c r="A897" s="251"/>
      <c r="I897" s="180"/>
      <c r="J897" s="69"/>
    </row>
    <row r="898">
      <c r="A898" s="251"/>
      <c r="I898" s="180"/>
      <c r="J898" s="69"/>
    </row>
    <row r="899">
      <c r="A899" s="251"/>
      <c r="I899" s="180"/>
      <c r="J899" s="69"/>
    </row>
    <row r="900">
      <c r="A900" s="251"/>
      <c r="I900" s="180"/>
      <c r="J900" s="69"/>
    </row>
    <row r="901">
      <c r="A901" s="251"/>
      <c r="I901" s="180"/>
      <c r="J901" s="69"/>
    </row>
    <row r="902">
      <c r="A902" s="251"/>
      <c r="I902" s="180"/>
      <c r="J902" s="69"/>
    </row>
    <row r="903">
      <c r="A903" s="251"/>
      <c r="I903" s="180"/>
      <c r="J903" s="69"/>
    </row>
    <row r="904">
      <c r="A904" s="251"/>
      <c r="I904" s="180"/>
      <c r="J904" s="69"/>
    </row>
    <row r="905">
      <c r="A905" s="251"/>
      <c r="I905" s="180"/>
      <c r="J905" s="69"/>
    </row>
    <row r="906">
      <c r="A906" s="251"/>
      <c r="I906" s="180"/>
      <c r="J906" s="69"/>
    </row>
    <row r="907">
      <c r="A907" s="251"/>
      <c r="I907" s="180"/>
      <c r="J907" s="69"/>
    </row>
    <row r="908">
      <c r="A908" s="251"/>
      <c r="I908" s="180"/>
      <c r="J908" s="69"/>
    </row>
    <row r="909">
      <c r="A909" s="251"/>
      <c r="I909" s="180"/>
      <c r="J909" s="69"/>
    </row>
    <row r="910">
      <c r="A910" s="251"/>
      <c r="I910" s="180"/>
      <c r="J910" s="69"/>
    </row>
    <row r="911">
      <c r="A911" s="251"/>
      <c r="I911" s="180"/>
      <c r="J911" s="69"/>
    </row>
    <row r="912">
      <c r="A912" s="251"/>
      <c r="I912" s="180"/>
      <c r="J912" s="69"/>
    </row>
    <row r="913">
      <c r="A913" s="251"/>
      <c r="I913" s="180"/>
      <c r="J913" s="69"/>
    </row>
    <row r="914">
      <c r="A914" s="251"/>
      <c r="I914" s="180"/>
      <c r="J914" s="69"/>
    </row>
    <row r="915">
      <c r="A915" s="251"/>
      <c r="I915" s="180"/>
      <c r="J915" s="69"/>
    </row>
    <row r="916">
      <c r="A916" s="251"/>
      <c r="I916" s="180"/>
      <c r="J916" s="69"/>
    </row>
    <row r="917">
      <c r="A917" s="251"/>
      <c r="I917" s="180"/>
      <c r="J917" s="69"/>
    </row>
    <row r="918">
      <c r="A918" s="251"/>
      <c r="I918" s="180"/>
      <c r="J918" s="69"/>
    </row>
    <row r="919">
      <c r="A919" s="251"/>
      <c r="I919" s="180"/>
      <c r="J919" s="69"/>
    </row>
    <row r="920">
      <c r="A920" s="251"/>
      <c r="I920" s="180"/>
      <c r="J920" s="69"/>
    </row>
    <row r="921">
      <c r="A921" s="251"/>
      <c r="I921" s="180"/>
      <c r="J921" s="69"/>
    </row>
    <row r="922">
      <c r="A922" s="251"/>
      <c r="I922" s="180"/>
      <c r="J922" s="69"/>
    </row>
    <row r="923">
      <c r="A923" s="251"/>
      <c r="I923" s="180"/>
      <c r="J923" s="69"/>
    </row>
    <row r="924">
      <c r="A924" s="251"/>
      <c r="I924" s="180"/>
      <c r="J924" s="69"/>
    </row>
    <row r="925">
      <c r="A925" s="251"/>
      <c r="I925" s="180"/>
      <c r="J925" s="69"/>
    </row>
    <row r="926">
      <c r="A926" s="251"/>
      <c r="I926" s="180"/>
      <c r="J926" s="69"/>
    </row>
    <row r="927">
      <c r="A927" s="251"/>
      <c r="I927" s="180"/>
      <c r="J927" s="69"/>
    </row>
    <row r="928">
      <c r="A928" s="251"/>
      <c r="I928" s="180"/>
      <c r="J928" s="69"/>
    </row>
    <row r="929">
      <c r="A929" s="251"/>
      <c r="I929" s="180"/>
      <c r="J929" s="69"/>
    </row>
    <row r="930">
      <c r="A930" s="251"/>
      <c r="I930" s="180"/>
      <c r="J930" s="69"/>
    </row>
    <row r="931">
      <c r="A931" s="251"/>
      <c r="I931" s="180"/>
      <c r="J931" s="69"/>
    </row>
    <row r="932">
      <c r="A932" s="251"/>
      <c r="I932" s="180"/>
      <c r="J932" s="69"/>
    </row>
    <row r="933">
      <c r="A933" s="251"/>
      <c r="I933" s="180"/>
      <c r="J933" s="69"/>
    </row>
    <row r="934">
      <c r="A934" s="251"/>
      <c r="I934" s="180"/>
      <c r="J934" s="69"/>
    </row>
    <row r="935">
      <c r="A935" s="251"/>
      <c r="I935" s="180"/>
      <c r="J935" s="69"/>
    </row>
    <row r="936">
      <c r="A936" s="251"/>
      <c r="I936" s="180"/>
      <c r="J936" s="69"/>
    </row>
    <row r="937">
      <c r="A937" s="251"/>
      <c r="I937" s="180"/>
      <c r="J937" s="69"/>
    </row>
    <row r="938">
      <c r="A938" s="251"/>
      <c r="I938" s="180"/>
      <c r="J938" s="69"/>
    </row>
    <row r="939">
      <c r="A939" s="251"/>
      <c r="I939" s="180"/>
      <c r="J939" s="69"/>
    </row>
    <row r="940">
      <c r="A940" s="251"/>
      <c r="I940" s="180"/>
      <c r="J940" s="69"/>
    </row>
    <row r="941">
      <c r="A941" s="251"/>
      <c r="I941" s="180"/>
      <c r="J941" s="69"/>
    </row>
    <row r="942">
      <c r="A942" s="251"/>
      <c r="I942" s="180"/>
      <c r="J942" s="69"/>
    </row>
    <row r="943">
      <c r="A943" s="251"/>
      <c r="I943" s="180"/>
      <c r="J943" s="69"/>
    </row>
    <row r="944">
      <c r="A944" s="251"/>
      <c r="I944" s="180"/>
      <c r="J944" s="69"/>
    </row>
    <row r="945">
      <c r="A945" s="251"/>
      <c r="I945" s="180"/>
      <c r="J945" s="69"/>
    </row>
    <row r="946">
      <c r="A946" s="251"/>
      <c r="I946" s="180"/>
      <c r="J946" s="69"/>
    </row>
    <row r="947">
      <c r="A947" s="251"/>
      <c r="I947" s="180"/>
      <c r="J947" s="69"/>
    </row>
    <row r="948">
      <c r="A948" s="251"/>
      <c r="I948" s="180"/>
      <c r="J948" s="69"/>
    </row>
    <row r="949">
      <c r="A949" s="251"/>
      <c r="I949" s="180"/>
      <c r="J949" s="69"/>
    </row>
    <row r="950">
      <c r="A950" s="251"/>
      <c r="I950" s="180"/>
      <c r="J950" s="69"/>
    </row>
    <row r="951">
      <c r="A951" s="251"/>
      <c r="I951" s="180"/>
      <c r="J951" s="69"/>
    </row>
    <row r="952">
      <c r="A952" s="251"/>
      <c r="I952" s="180"/>
      <c r="J952" s="69"/>
    </row>
    <row r="953">
      <c r="A953" s="251"/>
      <c r="I953" s="180"/>
      <c r="J953" s="69"/>
    </row>
    <row r="954">
      <c r="A954" s="251"/>
      <c r="I954" s="180"/>
      <c r="J954" s="69"/>
    </row>
    <row r="955">
      <c r="A955" s="251"/>
      <c r="I955" s="180"/>
      <c r="J955" s="69"/>
    </row>
    <row r="956">
      <c r="A956" s="251"/>
      <c r="I956" s="180"/>
      <c r="J956" s="69"/>
    </row>
    <row r="957">
      <c r="A957" s="251"/>
      <c r="I957" s="180"/>
      <c r="J957" s="69"/>
    </row>
    <row r="958">
      <c r="A958" s="251"/>
      <c r="I958" s="180"/>
      <c r="J958" s="69"/>
    </row>
    <row r="959">
      <c r="A959" s="251"/>
      <c r="I959" s="180"/>
      <c r="J959" s="69"/>
    </row>
    <row r="960">
      <c r="A960" s="251"/>
      <c r="I960" s="180"/>
      <c r="J960" s="69"/>
    </row>
    <row r="961">
      <c r="A961" s="251"/>
      <c r="I961" s="180"/>
      <c r="J961" s="69"/>
    </row>
    <row r="962">
      <c r="A962" s="251"/>
      <c r="I962" s="180"/>
      <c r="J962" s="69"/>
    </row>
    <row r="963">
      <c r="A963" s="251"/>
      <c r="I963" s="180"/>
      <c r="J963" s="69"/>
    </row>
    <row r="964">
      <c r="A964" s="251"/>
      <c r="I964" s="180"/>
      <c r="J964" s="69"/>
    </row>
    <row r="965">
      <c r="A965" s="251"/>
      <c r="I965" s="180"/>
      <c r="J965" s="69"/>
    </row>
    <row r="966">
      <c r="A966" s="251"/>
      <c r="I966" s="180"/>
      <c r="J966" s="69"/>
    </row>
    <row r="967">
      <c r="A967" s="251"/>
      <c r="I967" s="180"/>
      <c r="J967" s="69"/>
    </row>
    <row r="968">
      <c r="A968" s="251"/>
      <c r="I968" s="180"/>
      <c r="J968" s="69"/>
    </row>
    <row r="969">
      <c r="A969" s="251"/>
      <c r="I969" s="180"/>
      <c r="J969" s="69"/>
    </row>
    <row r="970">
      <c r="A970" s="251"/>
      <c r="I970" s="180"/>
      <c r="J970" s="69"/>
    </row>
    <row r="971">
      <c r="A971" s="251"/>
      <c r="I971" s="180"/>
      <c r="J971" s="69"/>
    </row>
    <row r="972">
      <c r="A972" s="251"/>
      <c r="I972" s="180"/>
      <c r="J972" s="69"/>
    </row>
    <row r="973">
      <c r="A973" s="251"/>
      <c r="I973" s="180"/>
      <c r="J973" s="69"/>
    </row>
    <row r="974">
      <c r="A974" s="251"/>
      <c r="I974" s="180"/>
      <c r="J974" s="69"/>
    </row>
    <row r="975">
      <c r="A975" s="251"/>
      <c r="I975" s="180"/>
      <c r="J975" s="69"/>
    </row>
    <row r="976">
      <c r="A976" s="251"/>
      <c r="I976" s="180"/>
      <c r="J976" s="69"/>
    </row>
  </sheetData>
  <mergeCells count="2">
    <mergeCell ref="A13:G13"/>
    <mergeCell ref="A19:D19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75"/>
    <col customWidth="1" min="6" max="6" width="9.63"/>
    <col customWidth="1" min="7" max="7" width="14.88"/>
    <col customWidth="1" min="8" max="8" width="8.63"/>
    <col customWidth="1" min="9" max="9" width="15.75"/>
  </cols>
  <sheetData>
    <row r="1">
      <c r="B1" s="179"/>
      <c r="C1" s="179"/>
      <c r="D1" s="179"/>
      <c r="E1" s="179"/>
      <c r="F1" s="235"/>
      <c r="G1" s="179"/>
      <c r="H1" s="179"/>
      <c r="I1" s="235"/>
    </row>
    <row r="2">
      <c r="A2" s="281" t="s">
        <v>126</v>
      </c>
      <c r="B2" s="253" t="s">
        <v>195</v>
      </c>
      <c r="C2" s="253" t="s">
        <v>196</v>
      </c>
      <c r="D2" s="253" t="s">
        <v>197</v>
      </c>
      <c r="E2" s="68" t="s">
        <v>4</v>
      </c>
      <c r="F2" s="54" t="s">
        <v>5</v>
      </c>
      <c r="G2" s="54" t="s">
        <v>6</v>
      </c>
      <c r="H2" s="249" t="s">
        <v>9</v>
      </c>
      <c r="I2" s="254" t="s">
        <v>198</v>
      </c>
    </row>
    <row r="3">
      <c r="A3" s="75" t="s">
        <v>199</v>
      </c>
      <c r="B3" s="98">
        <f>'Исходные данные'!D12</f>
        <v>402</v>
      </c>
      <c r="C3" s="134">
        <f>'Исходные данные'!G22</f>
        <v>28</v>
      </c>
      <c r="D3" s="134"/>
      <c r="E3" s="255">
        <v>637618.0</v>
      </c>
      <c r="F3" s="256">
        <v>12.0</v>
      </c>
      <c r="G3" s="163">
        <f t="shared" ref="G3:G10" si="1">E3/F3</f>
        <v>53134.83333</v>
      </c>
      <c r="H3" s="163"/>
      <c r="I3" s="282">
        <f>G3/B3*C3</f>
        <v>3700.933665</v>
      </c>
      <c r="J3" s="283"/>
    </row>
    <row r="4">
      <c r="A4" s="75" t="s">
        <v>147</v>
      </c>
      <c r="B4" s="75"/>
      <c r="C4" s="134"/>
      <c r="D4" s="134"/>
      <c r="E4" s="255"/>
      <c r="F4" s="256">
        <v>12.0</v>
      </c>
      <c r="G4" s="163">
        <f t="shared" si="1"/>
        <v>0</v>
      </c>
      <c r="H4" s="163"/>
      <c r="I4" s="282">
        <f t="shared" ref="I4:I10" si="2">G4</f>
        <v>0</v>
      </c>
      <c r="J4" s="283"/>
    </row>
    <row r="5">
      <c r="A5" s="75" t="s">
        <v>234</v>
      </c>
      <c r="B5" s="134"/>
      <c r="C5" s="134"/>
      <c r="D5" s="134"/>
      <c r="E5" s="134">
        <v>86400.0</v>
      </c>
      <c r="F5" s="256">
        <v>12.0</v>
      </c>
      <c r="G5" s="163">
        <f t="shared" si="1"/>
        <v>7200</v>
      </c>
      <c r="H5" s="163"/>
      <c r="I5" s="282">
        <f t="shared" si="2"/>
        <v>7200</v>
      </c>
      <c r="J5" s="283"/>
    </row>
    <row r="6">
      <c r="A6" s="87" t="s">
        <v>148</v>
      </c>
      <c r="B6" s="163"/>
      <c r="C6" s="134"/>
      <c r="D6" s="134"/>
      <c r="E6" s="134">
        <v>64643.0</v>
      </c>
      <c r="F6" s="256">
        <v>12.0</v>
      </c>
      <c r="G6" s="163">
        <f t="shared" si="1"/>
        <v>5386.916667</v>
      </c>
      <c r="H6" s="256"/>
      <c r="I6" s="282">
        <f t="shared" si="2"/>
        <v>5386.916667</v>
      </c>
      <c r="J6" s="283"/>
    </row>
    <row r="7">
      <c r="A7" s="87" t="s">
        <v>150</v>
      </c>
      <c r="B7" s="163"/>
      <c r="C7" s="134"/>
      <c r="D7" s="134"/>
      <c r="E7" s="134">
        <v>0.0</v>
      </c>
      <c r="F7" s="256">
        <v>12.0</v>
      </c>
      <c r="G7" s="163">
        <f t="shared" si="1"/>
        <v>0</v>
      </c>
      <c r="H7" s="256"/>
      <c r="I7" s="282">
        <f t="shared" si="2"/>
        <v>0</v>
      </c>
    </row>
    <row r="8">
      <c r="A8" s="87" t="s">
        <v>149</v>
      </c>
      <c r="B8" s="163"/>
      <c r="C8" s="134"/>
      <c r="D8" s="134"/>
      <c r="E8" s="134">
        <v>0.0</v>
      </c>
      <c r="F8" s="256">
        <v>12.0</v>
      </c>
      <c r="G8" s="163">
        <f t="shared" si="1"/>
        <v>0</v>
      </c>
      <c r="H8" s="256"/>
      <c r="I8" s="282">
        <f t="shared" si="2"/>
        <v>0</v>
      </c>
      <c r="J8" s="283"/>
    </row>
    <row r="9">
      <c r="A9" s="87" t="s">
        <v>203</v>
      </c>
      <c r="B9" s="163"/>
      <c r="C9" s="134"/>
      <c r="D9" s="134"/>
      <c r="E9" s="134"/>
      <c r="F9" s="256">
        <v>12.0</v>
      </c>
      <c r="G9" s="163">
        <f t="shared" si="1"/>
        <v>0</v>
      </c>
      <c r="H9" s="256"/>
      <c r="I9" s="282">
        <f t="shared" si="2"/>
        <v>0</v>
      </c>
      <c r="J9" s="283"/>
    </row>
    <row r="10">
      <c r="A10" s="87" t="s">
        <v>204</v>
      </c>
      <c r="B10" s="163"/>
      <c r="C10" s="134"/>
      <c r="D10" s="134"/>
      <c r="E10" s="134">
        <v>533.0</v>
      </c>
      <c r="F10" s="256">
        <v>12.0</v>
      </c>
      <c r="G10" s="163">
        <f t="shared" si="1"/>
        <v>44.41666667</v>
      </c>
      <c r="H10" s="256"/>
      <c r="I10" s="282">
        <f t="shared" si="2"/>
        <v>44.41666667</v>
      </c>
      <c r="J10" s="283"/>
    </row>
    <row r="11">
      <c r="A11" s="68" t="s">
        <v>155</v>
      </c>
      <c r="B11" s="72"/>
      <c r="C11" s="71"/>
      <c r="D11" s="260"/>
      <c r="E11" s="72"/>
      <c r="F11" s="249"/>
      <c r="G11" s="72"/>
      <c r="H11" s="249"/>
      <c r="I11" s="282">
        <f>D23</f>
        <v>0</v>
      </c>
    </row>
    <row r="12">
      <c r="A12" s="68" t="s">
        <v>152</v>
      </c>
      <c r="B12" s="72"/>
      <c r="C12" s="71"/>
      <c r="D12" s="260">
        <f>B17</f>
        <v>3980</v>
      </c>
      <c r="E12" s="72"/>
      <c r="F12" s="249"/>
      <c r="G12" s="72"/>
      <c r="H12" s="259">
        <f>'Общие расходы ГЭ'!G16</f>
        <v>9.195626292</v>
      </c>
      <c r="I12" s="282">
        <f t="shared" ref="I12:I14" si="3">D12*H12</f>
        <v>36598.59264</v>
      </c>
      <c r="J12" s="283"/>
    </row>
    <row r="13">
      <c r="A13" s="68" t="s">
        <v>235</v>
      </c>
      <c r="B13" s="72"/>
      <c r="C13" s="71"/>
      <c r="D13" s="260">
        <f>B17</f>
        <v>3980</v>
      </c>
      <c r="E13" s="72"/>
      <c r="F13" s="249"/>
      <c r="G13" s="72"/>
      <c r="H13" s="259">
        <f>'Общие расходы г. Тюмень'!F4</f>
        <v>0.2743933235</v>
      </c>
      <c r="I13" s="282">
        <f t="shared" si="3"/>
        <v>1092.085427</v>
      </c>
      <c r="J13" s="283"/>
    </row>
    <row r="14">
      <c r="A14" s="68" t="s">
        <v>156</v>
      </c>
      <c r="B14" s="72"/>
      <c r="C14" s="71"/>
      <c r="D14" s="260">
        <f>B17</f>
        <v>3980</v>
      </c>
      <c r="E14" s="72"/>
      <c r="F14" s="249"/>
      <c r="G14" s="72"/>
      <c r="H14" s="250">
        <f>'Общие расходы г. Тюмень'!F30</f>
        <v>0.7480139342</v>
      </c>
      <c r="I14" s="282">
        <f t="shared" si="3"/>
        <v>2977.095458</v>
      </c>
    </row>
    <row r="15">
      <c r="A15" s="284" t="s">
        <v>62</v>
      </c>
      <c r="B15" s="263"/>
      <c r="C15" s="263"/>
      <c r="D15" s="263"/>
      <c r="E15" s="263"/>
      <c r="F15" s="263"/>
      <c r="G15" s="263"/>
      <c r="H15" s="185"/>
      <c r="I15" s="282">
        <f>SUM(I3:I14)</f>
        <v>57000.04053</v>
      </c>
    </row>
    <row r="16">
      <c r="B16" s="179"/>
      <c r="C16" s="179"/>
      <c r="D16" s="179"/>
      <c r="E16" s="179"/>
      <c r="F16" s="235"/>
      <c r="G16" s="179"/>
      <c r="H16" s="179"/>
      <c r="I16" s="235"/>
    </row>
    <row r="17">
      <c r="A17" s="68" t="s">
        <v>205</v>
      </c>
      <c r="B17" s="260">
        <f>'Исходные данные'!B22</f>
        <v>3980</v>
      </c>
      <c r="C17" s="178"/>
      <c r="D17" s="178"/>
      <c r="E17" s="179"/>
      <c r="F17" s="235"/>
      <c r="G17" s="179"/>
      <c r="H17" s="179"/>
      <c r="I17" s="235"/>
    </row>
    <row r="18">
      <c r="A18" s="68" t="s">
        <v>206</v>
      </c>
      <c r="B18" s="260" t="str">
        <f>'Исходные данные'!C22</f>
        <v/>
      </c>
      <c r="C18" s="179"/>
      <c r="D18" s="179"/>
      <c r="E18" s="179"/>
      <c r="F18" s="235"/>
      <c r="G18" s="179"/>
      <c r="H18" s="179"/>
      <c r="I18" s="235"/>
    </row>
    <row r="19">
      <c r="A19" s="68" t="s">
        <v>207</v>
      </c>
      <c r="B19" s="260" t="str">
        <f>'Исходные данные'!D22</f>
        <v/>
      </c>
      <c r="C19" s="179"/>
      <c r="D19" s="179"/>
      <c r="E19" s="179"/>
      <c r="F19" s="235"/>
      <c r="G19" s="179"/>
      <c r="H19" s="179"/>
      <c r="I19" s="235"/>
    </row>
    <row r="20">
      <c r="B20" s="179"/>
      <c r="C20" s="179"/>
      <c r="D20" s="179"/>
      <c r="E20" s="179"/>
      <c r="F20" s="235"/>
      <c r="G20" s="179"/>
      <c r="H20" s="179"/>
      <c r="I20" s="235"/>
    </row>
    <row r="21">
      <c r="A21" s="266" t="s">
        <v>208</v>
      </c>
      <c r="B21" s="263"/>
      <c r="C21" s="263"/>
      <c r="D21" s="185"/>
      <c r="E21" s="248"/>
      <c r="F21" s="69"/>
      <c r="G21" s="69"/>
      <c r="H21" s="69"/>
    </row>
    <row r="22">
      <c r="A22" s="268" t="s">
        <v>209</v>
      </c>
      <c r="B22" s="269" t="s">
        <v>210</v>
      </c>
      <c r="C22" s="93" t="s">
        <v>5</v>
      </c>
      <c r="D22" s="269" t="s">
        <v>211</v>
      </c>
      <c r="E22" s="74"/>
    </row>
    <row r="23">
      <c r="A23" s="285"/>
      <c r="B23" s="134"/>
      <c r="C23" s="134">
        <v>12.0</v>
      </c>
      <c r="D23" s="163">
        <f>B23/C23</f>
        <v>0</v>
      </c>
      <c r="E23" s="74"/>
    </row>
    <row r="24">
      <c r="A24" s="286"/>
      <c r="B24" s="163"/>
      <c r="C24" s="163"/>
      <c r="D24" s="163"/>
      <c r="E24" s="74"/>
    </row>
    <row r="25">
      <c r="A25" s="286"/>
      <c r="B25" s="163"/>
      <c r="C25" s="163"/>
      <c r="D25" s="163"/>
      <c r="E25" s="74"/>
    </row>
    <row r="26">
      <c r="A26" s="258"/>
      <c r="B26" s="163"/>
      <c r="C26" s="163"/>
      <c r="D26" s="163"/>
      <c r="E26" s="76"/>
    </row>
    <row r="27">
      <c r="A27" s="258"/>
      <c r="B27" s="163"/>
      <c r="C27" s="163"/>
      <c r="D27" s="163"/>
      <c r="E27" s="248"/>
    </row>
    <row r="28">
      <c r="A28" s="258"/>
      <c r="B28" s="163"/>
      <c r="C28" s="163"/>
      <c r="D28" s="163"/>
      <c r="E28" s="248"/>
    </row>
    <row r="31">
      <c r="A31" s="73"/>
    </row>
    <row r="32">
      <c r="A32" s="73"/>
    </row>
  </sheetData>
  <mergeCells count="2">
    <mergeCell ref="A15:H15"/>
    <mergeCell ref="A21:D2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5"/>
    <col customWidth="1" min="6" max="6" width="9.63"/>
    <col customWidth="1" min="7" max="7" width="13.88"/>
    <col customWidth="1" min="8" max="8" width="6.38"/>
  </cols>
  <sheetData>
    <row r="1">
      <c r="A1" s="251"/>
      <c r="B1" s="178"/>
      <c r="C1" s="178"/>
      <c r="D1" s="178"/>
      <c r="E1" s="178"/>
      <c r="F1" s="235"/>
      <c r="G1" s="179"/>
      <c r="H1" s="179"/>
      <c r="I1" s="235"/>
    </row>
    <row r="2">
      <c r="A2" s="252" t="s">
        <v>42</v>
      </c>
      <c r="B2" s="253" t="s">
        <v>195</v>
      </c>
      <c r="C2" s="253" t="s">
        <v>196</v>
      </c>
      <c r="D2" s="253" t="s">
        <v>197</v>
      </c>
      <c r="E2" s="68" t="s">
        <v>4</v>
      </c>
      <c r="F2" s="54" t="s">
        <v>5</v>
      </c>
      <c r="G2" s="54" t="s">
        <v>6</v>
      </c>
      <c r="H2" s="249" t="s">
        <v>9</v>
      </c>
      <c r="I2" s="254" t="s">
        <v>198</v>
      </c>
    </row>
    <row r="3">
      <c r="A3" s="87" t="s">
        <v>199</v>
      </c>
      <c r="B3" s="98">
        <f>'Исходные данные'!D12</f>
        <v>402</v>
      </c>
      <c r="C3" s="134">
        <f>'Исходные данные'!G17</f>
        <v>5</v>
      </c>
      <c r="D3" s="134"/>
      <c r="E3" s="255">
        <v>637618.0</v>
      </c>
      <c r="F3" s="256">
        <v>12.0</v>
      </c>
      <c r="G3" s="163">
        <f>E3/F3</f>
        <v>53134.83333</v>
      </c>
      <c r="H3" s="72"/>
      <c r="I3" s="287">
        <f>G3/B3*C3</f>
        <v>660.8810116</v>
      </c>
      <c r="J3" s="283"/>
    </row>
    <row r="4">
      <c r="A4" s="87"/>
      <c r="B4" s="98"/>
      <c r="C4" s="134"/>
      <c r="D4" s="134"/>
      <c r="E4" s="134"/>
      <c r="F4" s="256"/>
      <c r="G4" s="163"/>
      <c r="H4" s="72"/>
      <c r="I4" s="287"/>
    </row>
    <row r="5">
      <c r="A5" s="87"/>
      <c r="B5" s="98"/>
      <c r="C5" s="134"/>
      <c r="D5" s="134"/>
      <c r="E5" s="134"/>
      <c r="F5" s="256">
        <v>12.0</v>
      </c>
      <c r="G5" s="163">
        <f t="shared" ref="G5:G9" si="1">E5/F5</f>
        <v>0</v>
      </c>
      <c r="H5" s="72"/>
      <c r="I5" s="287">
        <f t="shared" ref="I5:I9" si="2">G5</f>
        <v>0</v>
      </c>
      <c r="J5" s="283"/>
    </row>
    <row r="6">
      <c r="A6" s="87" t="s">
        <v>148</v>
      </c>
      <c r="B6" s="163"/>
      <c r="C6" s="134"/>
      <c r="D6" s="134"/>
      <c r="E6" s="134">
        <v>535.0</v>
      </c>
      <c r="F6" s="256">
        <v>12.0</v>
      </c>
      <c r="G6" s="163">
        <f t="shared" si="1"/>
        <v>44.58333333</v>
      </c>
      <c r="H6" s="249"/>
      <c r="I6" s="287">
        <f t="shared" si="2"/>
        <v>44.58333333</v>
      </c>
      <c r="J6" s="283"/>
    </row>
    <row r="7">
      <c r="A7" s="87" t="s">
        <v>150</v>
      </c>
      <c r="B7" s="163"/>
      <c r="C7" s="134"/>
      <c r="D7" s="134"/>
      <c r="E7" s="134">
        <v>0.0</v>
      </c>
      <c r="F7" s="256">
        <v>12.0</v>
      </c>
      <c r="G7" s="163">
        <f t="shared" si="1"/>
        <v>0</v>
      </c>
      <c r="H7" s="249"/>
      <c r="I7" s="287">
        <f t="shared" si="2"/>
        <v>0</v>
      </c>
    </row>
    <row r="8">
      <c r="A8" s="87" t="s">
        <v>149</v>
      </c>
      <c r="B8" s="163"/>
      <c r="C8" s="134"/>
      <c r="D8" s="134"/>
      <c r="E8" s="134">
        <v>0.0</v>
      </c>
      <c r="F8" s="256">
        <v>12.0</v>
      </c>
      <c r="G8" s="163">
        <f t="shared" si="1"/>
        <v>0</v>
      </c>
      <c r="H8" s="249"/>
      <c r="I8" s="287">
        <f t="shared" si="2"/>
        <v>0</v>
      </c>
    </row>
    <row r="9">
      <c r="A9" s="68" t="s">
        <v>203</v>
      </c>
      <c r="B9" s="72"/>
      <c r="C9" s="71"/>
      <c r="D9" s="71"/>
      <c r="E9" s="71">
        <v>350.0</v>
      </c>
      <c r="F9" s="249">
        <v>12.0</v>
      </c>
      <c r="G9" s="163">
        <f t="shared" si="1"/>
        <v>29.16666667</v>
      </c>
      <c r="H9" s="249"/>
      <c r="I9" s="287">
        <f t="shared" si="2"/>
        <v>29.16666667</v>
      </c>
      <c r="J9" s="283"/>
    </row>
    <row r="10">
      <c r="A10" s="68" t="s">
        <v>152</v>
      </c>
      <c r="B10" s="72"/>
      <c r="C10" s="71"/>
      <c r="D10" s="260">
        <f>B15</f>
        <v>220</v>
      </c>
      <c r="E10" s="71"/>
      <c r="F10" s="249"/>
      <c r="G10" s="72"/>
      <c r="H10" s="259">
        <f>'Общие расходы ГЭ'!G16</f>
        <v>9.195626292</v>
      </c>
      <c r="I10" s="287">
        <f t="shared" ref="I10:I12" si="3">D10*H10</f>
        <v>2023.037784</v>
      </c>
      <c r="J10" s="283"/>
    </row>
    <row r="11">
      <c r="A11" s="68" t="s">
        <v>235</v>
      </c>
      <c r="B11" s="72"/>
      <c r="C11" s="71"/>
      <c r="D11" s="260">
        <f>B15</f>
        <v>220</v>
      </c>
      <c r="E11" s="71"/>
      <c r="F11" s="249"/>
      <c r="G11" s="72"/>
      <c r="H11" s="259">
        <f>'Общие расходы г. Тюмень'!F4</f>
        <v>0.2743933235</v>
      </c>
      <c r="I11" s="287">
        <f t="shared" si="3"/>
        <v>60.36653117</v>
      </c>
      <c r="J11" s="283"/>
    </row>
    <row r="12">
      <c r="A12" s="68" t="s">
        <v>156</v>
      </c>
      <c r="B12" s="72"/>
      <c r="C12" s="71"/>
      <c r="D12" s="260">
        <f>B15</f>
        <v>220</v>
      </c>
      <c r="E12" s="71"/>
      <c r="F12" s="249"/>
      <c r="G12" s="72"/>
      <c r="H12" s="250">
        <f>'Общие расходы г. Тюмень'!F30</f>
        <v>0.7480139342</v>
      </c>
      <c r="I12" s="287">
        <f t="shared" si="3"/>
        <v>164.5630655</v>
      </c>
    </row>
    <row r="13">
      <c r="A13" s="288"/>
      <c r="B13" s="289"/>
      <c r="C13" s="289"/>
      <c r="D13" s="289"/>
      <c r="E13" s="289"/>
      <c r="F13" s="290"/>
      <c r="G13" s="291"/>
      <c r="H13" s="291"/>
      <c r="I13" s="282">
        <f>SUM(I3:I12)</f>
        <v>2982.598393</v>
      </c>
    </row>
    <row r="14">
      <c r="A14" s="251"/>
      <c r="B14" s="179"/>
      <c r="C14" s="179"/>
      <c r="D14" s="179"/>
      <c r="E14" s="179"/>
      <c r="F14" s="235"/>
      <c r="G14" s="179"/>
      <c r="H14" s="179"/>
      <c r="I14" s="235"/>
    </row>
    <row r="15">
      <c r="A15" s="68" t="s">
        <v>205</v>
      </c>
      <c r="B15" s="260">
        <f>'Исходные данные'!B17</f>
        <v>220</v>
      </c>
      <c r="C15" s="178"/>
      <c r="D15" s="178"/>
      <c r="E15" s="179"/>
      <c r="F15" s="235"/>
      <c r="G15" s="179"/>
      <c r="H15" s="179"/>
      <c r="I15" s="235"/>
    </row>
    <row r="16">
      <c r="A16" s="68" t="s">
        <v>206</v>
      </c>
      <c r="B16" s="260" t="str">
        <f>'Исходные данные'!C17</f>
        <v/>
      </c>
      <c r="C16" s="179"/>
      <c r="D16" s="179"/>
      <c r="E16" s="179"/>
      <c r="F16" s="235"/>
      <c r="G16" s="179"/>
      <c r="H16" s="179"/>
      <c r="I16" s="235"/>
    </row>
    <row r="17">
      <c r="A17" s="68" t="s">
        <v>207</v>
      </c>
      <c r="B17" s="265" t="str">
        <f>'Исходные данные'!D17</f>
        <v/>
      </c>
      <c r="C17" s="179"/>
      <c r="D17" s="179"/>
      <c r="E17" s="179"/>
      <c r="F17" s="235"/>
      <c r="G17" s="179"/>
      <c r="H17" s="179"/>
      <c r="I17" s="235"/>
    </row>
    <row r="18">
      <c r="A18" s="292"/>
      <c r="B18" s="248"/>
      <c r="C18" s="248"/>
      <c r="D18" s="248"/>
      <c r="E18" s="248"/>
      <c r="F18" s="69"/>
      <c r="G18" s="69"/>
      <c r="H18" s="69"/>
    </row>
    <row r="19">
      <c r="A19" s="266" t="s">
        <v>208</v>
      </c>
      <c r="B19" s="263"/>
      <c r="C19" s="263"/>
      <c r="D19" s="185"/>
      <c r="E19" s="179"/>
    </row>
    <row r="20">
      <c r="A20" s="268" t="s">
        <v>209</v>
      </c>
      <c r="B20" s="269" t="s">
        <v>210</v>
      </c>
      <c r="C20" s="93" t="s">
        <v>5</v>
      </c>
      <c r="D20" s="269" t="s">
        <v>211</v>
      </c>
      <c r="E20" s="55"/>
    </row>
    <row r="21">
      <c r="A21" s="293"/>
      <c r="B21" s="72"/>
      <c r="C21" s="72"/>
      <c r="D21" s="72"/>
      <c r="E21" s="55"/>
    </row>
    <row r="22">
      <c r="A22" s="293"/>
      <c r="B22" s="72"/>
      <c r="C22" s="72"/>
      <c r="D22" s="72"/>
      <c r="E22" s="55"/>
    </row>
    <row r="23">
      <c r="A23" s="293"/>
      <c r="B23" s="72"/>
      <c r="C23" s="72"/>
      <c r="D23" s="72"/>
      <c r="E23" s="55"/>
    </row>
    <row r="24">
      <c r="A24" s="68"/>
      <c r="B24" s="72"/>
      <c r="C24" s="72"/>
      <c r="D24" s="72"/>
      <c r="E24" s="55"/>
    </row>
    <row r="25">
      <c r="A25" s="68"/>
      <c r="B25" s="72"/>
      <c r="C25" s="72"/>
      <c r="D25" s="72"/>
      <c r="E25" s="55"/>
    </row>
    <row r="26">
      <c r="A26" s="294"/>
      <c r="B26" s="34"/>
      <c r="C26" s="34"/>
      <c r="D26" s="34"/>
      <c r="E26" s="70"/>
    </row>
    <row r="27">
      <c r="A27" s="77"/>
      <c r="B27" s="34"/>
      <c r="C27" s="34"/>
      <c r="D27" s="34"/>
      <c r="E27" s="295"/>
    </row>
    <row r="28">
      <c r="A28" s="77"/>
      <c r="B28" s="34"/>
      <c r="C28" s="34"/>
      <c r="D28" s="34"/>
      <c r="E28" s="295"/>
    </row>
    <row r="29">
      <c r="A29" s="251"/>
    </row>
    <row r="30">
      <c r="A30" s="251"/>
    </row>
    <row r="31">
      <c r="A31" s="251"/>
    </row>
    <row r="32">
      <c r="A32" s="251"/>
    </row>
    <row r="33">
      <c r="A33" s="251"/>
    </row>
    <row r="34">
      <c r="A34" s="251"/>
    </row>
    <row r="35">
      <c r="A35" s="251"/>
    </row>
    <row r="36">
      <c r="A36" s="251"/>
    </row>
    <row r="37">
      <c r="A37" s="251"/>
    </row>
    <row r="38">
      <c r="A38" s="251"/>
    </row>
    <row r="39">
      <c r="A39" s="251"/>
    </row>
    <row r="40">
      <c r="A40" s="251"/>
    </row>
    <row r="41">
      <c r="A41" s="251"/>
    </row>
    <row r="42">
      <c r="A42" s="251"/>
    </row>
    <row r="43">
      <c r="A43" s="251"/>
    </row>
    <row r="44">
      <c r="A44" s="251"/>
    </row>
    <row r="45">
      <c r="A45" s="251"/>
    </row>
    <row r="46">
      <c r="A46" s="251"/>
    </row>
    <row r="47">
      <c r="A47" s="251"/>
    </row>
    <row r="48">
      <c r="A48" s="251"/>
    </row>
    <row r="49">
      <c r="A49" s="251"/>
    </row>
    <row r="50">
      <c r="A50" s="251"/>
    </row>
    <row r="51">
      <c r="A51" s="251"/>
    </row>
    <row r="52">
      <c r="A52" s="251"/>
    </row>
    <row r="53">
      <c r="A53" s="251"/>
    </row>
    <row r="54">
      <c r="A54" s="251"/>
    </row>
    <row r="55">
      <c r="A55" s="251"/>
    </row>
    <row r="56">
      <c r="A56" s="251"/>
    </row>
    <row r="57">
      <c r="A57" s="251"/>
    </row>
    <row r="58">
      <c r="A58" s="251"/>
    </row>
    <row r="59">
      <c r="A59" s="251"/>
    </row>
    <row r="60">
      <c r="A60" s="251"/>
    </row>
    <row r="61">
      <c r="A61" s="251"/>
    </row>
    <row r="62">
      <c r="A62" s="251"/>
    </row>
    <row r="63">
      <c r="A63" s="251"/>
    </row>
    <row r="64">
      <c r="A64" s="251"/>
    </row>
    <row r="65">
      <c r="A65" s="251"/>
    </row>
    <row r="66">
      <c r="A66" s="251"/>
    </row>
    <row r="67">
      <c r="A67" s="251"/>
    </row>
    <row r="68">
      <c r="A68" s="251"/>
    </row>
    <row r="69">
      <c r="A69" s="251"/>
    </row>
    <row r="70">
      <c r="A70" s="251"/>
    </row>
    <row r="71">
      <c r="A71" s="251"/>
    </row>
    <row r="72">
      <c r="A72" s="251"/>
    </row>
    <row r="73">
      <c r="A73" s="251"/>
    </row>
    <row r="74">
      <c r="A74" s="251"/>
    </row>
    <row r="75">
      <c r="A75" s="251"/>
    </row>
    <row r="76">
      <c r="A76" s="251"/>
    </row>
    <row r="77">
      <c r="A77" s="251"/>
    </row>
    <row r="78">
      <c r="A78" s="251"/>
    </row>
    <row r="79">
      <c r="A79" s="251"/>
    </row>
    <row r="80">
      <c r="A80" s="251"/>
    </row>
    <row r="81">
      <c r="A81" s="251"/>
    </row>
    <row r="82">
      <c r="A82" s="251"/>
    </row>
    <row r="83">
      <c r="A83" s="251"/>
    </row>
    <row r="84">
      <c r="A84" s="251"/>
    </row>
    <row r="85">
      <c r="A85" s="251"/>
    </row>
    <row r="86">
      <c r="A86" s="251"/>
    </row>
    <row r="87">
      <c r="A87" s="251"/>
    </row>
    <row r="88">
      <c r="A88" s="251"/>
    </row>
    <row r="89">
      <c r="A89" s="251"/>
    </row>
    <row r="90">
      <c r="A90" s="251"/>
    </row>
    <row r="91">
      <c r="A91" s="251"/>
    </row>
    <row r="92">
      <c r="A92" s="251"/>
    </row>
    <row r="93">
      <c r="A93" s="251"/>
    </row>
    <row r="94">
      <c r="A94" s="251"/>
    </row>
    <row r="95">
      <c r="A95" s="251"/>
    </row>
    <row r="96">
      <c r="A96" s="251"/>
    </row>
    <row r="97">
      <c r="A97" s="251"/>
    </row>
    <row r="98">
      <c r="A98" s="251"/>
    </row>
    <row r="99">
      <c r="A99" s="251"/>
    </row>
    <row r="100">
      <c r="A100" s="251"/>
    </row>
    <row r="101">
      <c r="A101" s="251"/>
    </row>
    <row r="102">
      <c r="A102" s="251"/>
    </row>
    <row r="103">
      <c r="A103" s="251"/>
    </row>
    <row r="104">
      <c r="A104" s="251"/>
    </row>
    <row r="105">
      <c r="A105" s="251"/>
    </row>
    <row r="106">
      <c r="A106" s="251"/>
    </row>
    <row r="107">
      <c r="A107" s="251"/>
    </row>
    <row r="108">
      <c r="A108" s="251"/>
    </row>
    <row r="109">
      <c r="A109" s="251"/>
    </row>
    <row r="110">
      <c r="A110" s="251"/>
    </row>
    <row r="111">
      <c r="A111" s="251"/>
    </row>
    <row r="112">
      <c r="A112" s="251"/>
    </row>
    <row r="113">
      <c r="A113" s="251"/>
    </row>
    <row r="114">
      <c r="A114" s="251"/>
    </row>
    <row r="115">
      <c r="A115" s="251"/>
    </row>
    <row r="116">
      <c r="A116" s="251"/>
    </row>
    <row r="117">
      <c r="A117" s="251"/>
    </row>
    <row r="118">
      <c r="A118" s="251"/>
    </row>
    <row r="119">
      <c r="A119" s="251"/>
    </row>
    <row r="120">
      <c r="A120" s="251"/>
    </row>
    <row r="121">
      <c r="A121" s="251"/>
    </row>
    <row r="122">
      <c r="A122" s="251"/>
    </row>
    <row r="123">
      <c r="A123" s="251"/>
    </row>
    <row r="124">
      <c r="A124" s="251"/>
    </row>
    <row r="125">
      <c r="A125" s="251"/>
    </row>
    <row r="126">
      <c r="A126" s="251"/>
    </row>
    <row r="127">
      <c r="A127" s="251"/>
    </row>
    <row r="128">
      <c r="A128" s="251"/>
    </row>
    <row r="129">
      <c r="A129" s="251"/>
    </row>
    <row r="130">
      <c r="A130" s="251"/>
    </row>
    <row r="131">
      <c r="A131" s="251"/>
    </row>
    <row r="132">
      <c r="A132" s="251"/>
    </row>
    <row r="133">
      <c r="A133" s="251"/>
    </row>
    <row r="134">
      <c r="A134" s="251"/>
    </row>
    <row r="135">
      <c r="A135" s="251"/>
    </row>
    <row r="136">
      <c r="A136" s="251"/>
    </row>
    <row r="137">
      <c r="A137" s="251"/>
    </row>
    <row r="138">
      <c r="A138" s="251"/>
    </row>
    <row r="139">
      <c r="A139" s="251"/>
    </row>
    <row r="140">
      <c r="A140" s="251"/>
    </row>
    <row r="141">
      <c r="A141" s="251"/>
    </row>
    <row r="142">
      <c r="A142" s="251"/>
    </row>
    <row r="143">
      <c r="A143" s="251"/>
    </row>
    <row r="144">
      <c r="A144" s="251"/>
    </row>
    <row r="145">
      <c r="A145" s="251"/>
    </row>
    <row r="146">
      <c r="A146" s="251"/>
    </row>
    <row r="147">
      <c r="A147" s="251"/>
    </row>
    <row r="148">
      <c r="A148" s="251"/>
    </row>
    <row r="149">
      <c r="A149" s="251"/>
    </row>
    <row r="150">
      <c r="A150" s="251"/>
    </row>
    <row r="151">
      <c r="A151" s="251"/>
    </row>
    <row r="152">
      <c r="A152" s="251"/>
    </row>
    <row r="153">
      <c r="A153" s="251"/>
    </row>
    <row r="154">
      <c r="A154" s="251"/>
    </row>
    <row r="155">
      <c r="A155" s="251"/>
    </row>
    <row r="156">
      <c r="A156" s="251"/>
    </row>
    <row r="157">
      <c r="A157" s="251"/>
    </row>
    <row r="158">
      <c r="A158" s="251"/>
    </row>
    <row r="159">
      <c r="A159" s="251"/>
    </row>
    <row r="160">
      <c r="A160" s="251"/>
    </row>
    <row r="161">
      <c r="A161" s="251"/>
    </row>
    <row r="162">
      <c r="A162" s="251"/>
    </row>
    <row r="163">
      <c r="A163" s="251"/>
    </row>
    <row r="164">
      <c r="A164" s="251"/>
    </row>
    <row r="165">
      <c r="A165" s="251"/>
    </row>
    <row r="166">
      <c r="A166" s="251"/>
    </row>
    <row r="167">
      <c r="A167" s="251"/>
    </row>
    <row r="168">
      <c r="A168" s="251"/>
    </row>
    <row r="169">
      <c r="A169" s="251"/>
    </row>
    <row r="170">
      <c r="A170" s="251"/>
    </row>
    <row r="171">
      <c r="A171" s="251"/>
    </row>
    <row r="172">
      <c r="A172" s="251"/>
    </row>
    <row r="173">
      <c r="A173" s="251"/>
    </row>
    <row r="174">
      <c r="A174" s="251"/>
    </row>
    <row r="175">
      <c r="A175" s="251"/>
    </row>
    <row r="176">
      <c r="A176" s="251"/>
    </row>
    <row r="177">
      <c r="A177" s="251"/>
    </row>
    <row r="178">
      <c r="A178" s="251"/>
    </row>
    <row r="179">
      <c r="A179" s="251"/>
    </row>
    <row r="180">
      <c r="A180" s="251"/>
    </row>
    <row r="181">
      <c r="A181" s="251"/>
    </row>
    <row r="182">
      <c r="A182" s="251"/>
    </row>
    <row r="183">
      <c r="A183" s="251"/>
    </row>
    <row r="184">
      <c r="A184" s="251"/>
    </row>
    <row r="185">
      <c r="A185" s="251"/>
    </row>
    <row r="186">
      <c r="A186" s="251"/>
    </row>
    <row r="187">
      <c r="A187" s="251"/>
    </row>
    <row r="188">
      <c r="A188" s="251"/>
    </row>
    <row r="189">
      <c r="A189" s="251"/>
    </row>
    <row r="190">
      <c r="A190" s="251"/>
    </row>
    <row r="191">
      <c r="A191" s="251"/>
    </row>
    <row r="192">
      <c r="A192" s="251"/>
    </row>
    <row r="193">
      <c r="A193" s="251"/>
    </row>
    <row r="194">
      <c r="A194" s="251"/>
    </row>
    <row r="195">
      <c r="A195" s="251"/>
    </row>
    <row r="196">
      <c r="A196" s="251"/>
    </row>
    <row r="197">
      <c r="A197" s="251"/>
    </row>
    <row r="198">
      <c r="A198" s="251"/>
    </row>
    <row r="199">
      <c r="A199" s="251"/>
    </row>
    <row r="200">
      <c r="A200" s="251"/>
    </row>
    <row r="201">
      <c r="A201" s="251"/>
    </row>
    <row r="202">
      <c r="A202" s="251"/>
    </row>
    <row r="203">
      <c r="A203" s="251"/>
    </row>
    <row r="204">
      <c r="A204" s="251"/>
    </row>
    <row r="205">
      <c r="A205" s="251"/>
    </row>
    <row r="206">
      <c r="A206" s="251"/>
    </row>
    <row r="207">
      <c r="A207" s="251"/>
    </row>
    <row r="208">
      <c r="A208" s="251"/>
    </row>
    <row r="209">
      <c r="A209" s="251"/>
    </row>
    <row r="210">
      <c r="A210" s="251"/>
    </row>
    <row r="211">
      <c r="A211" s="251"/>
    </row>
    <row r="212">
      <c r="A212" s="251"/>
    </row>
    <row r="213">
      <c r="A213" s="251"/>
    </row>
    <row r="214">
      <c r="A214" s="251"/>
    </row>
    <row r="215">
      <c r="A215" s="251"/>
    </row>
    <row r="216">
      <c r="A216" s="251"/>
    </row>
    <row r="217">
      <c r="A217" s="251"/>
    </row>
    <row r="218">
      <c r="A218" s="251"/>
    </row>
    <row r="219">
      <c r="A219" s="251"/>
    </row>
    <row r="220">
      <c r="A220" s="251"/>
    </row>
    <row r="221">
      <c r="A221" s="251"/>
    </row>
    <row r="222">
      <c r="A222" s="251"/>
    </row>
    <row r="223">
      <c r="A223" s="251"/>
    </row>
    <row r="224">
      <c r="A224" s="251"/>
    </row>
    <row r="225">
      <c r="A225" s="251"/>
    </row>
    <row r="226">
      <c r="A226" s="251"/>
    </row>
    <row r="227">
      <c r="A227" s="251"/>
    </row>
    <row r="228">
      <c r="A228" s="251"/>
    </row>
    <row r="229">
      <c r="A229" s="251"/>
    </row>
    <row r="230">
      <c r="A230" s="251"/>
    </row>
    <row r="231">
      <c r="A231" s="251"/>
    </row>
    <row r="232">
      <c r="A232" s="251"/>
    </row>
    <row r="233">
      <c r="A233" s="251"/>
    </row>
    <row r="234">
      <c r="A234" s="251"/>
    </row>
    <row r="235">
      <c r="A235" s="251"/>
    </row>
    <row r="236">
      <c r="A236" s="251"/>
    </row>
    <row r="237">
      <c r="A237" s="251"/>
    </row>
    <row r="238">
      <c r="A238" s="251"/>
    </row>
    <row r="239">
      <c r="A239" s="251"/>
    </row>
    <row r="240">
      <c r="A240" s="251"/>
    </row>
    <row r="241">
      <c r="A241" s="251"/>
    </row>
    <row r="242">
      <c r="A242" s="251"/>
    </row>
    <row r="243">
      <c r="A243" s="251"/>
    </row>
    <row r="244">
      <c r="A244" s="251"/>
    </row>
    <row r="245">
      <c r="A245" s="251"/>
    </row>
    <row r="246">
      <c r="A246" s="251"/>
    </row>
    <row r="247">
      <c r="A247" s="251"/>
    </row>
    <row r="248">
      <c r="A248" s="251"/>
    </row>
    <row r="249">
      <c r="A249" s="251"/>
    </row>
    <row r="250">
      <c r="A250" s="251"/>
    </row>
    <row r="251">
      <c r="A251" s="251"/>
    </row>
    <row r="252">
      <c r="A252" s="251"/>
    </row>
    <row r="253">
      <c r="A253" s="251"/>
    </row>
    <row r="254">
      <c r="A254" s="251"/>
    </row>
    <row r="255">
      <c r="A255" s="251"/>
    </row>
    <row r="256">
      <c r="A256" s="251"/>
    </row>
    <row r="257">
      <c r="A257" s="251"/>
    </row>
    <row r="258">
      <c r="A258" s="251"/>
    </row>
    <row r="259">
      <c r="A259" s="251"/>
    </row>
    <row r="260">
      <c r="A260" s="251"/>
    </row>
    <row r="261">
      <c r="A261" s="251"/>
    </row>
    <row r="262">
      <c r="A262" s="251"/>
    </row>
    <row r="263">
      <c r="A263" s="251"/>
    </row>
    <row r="264">
      <c r="A264" s="251"/>
    </row>
    <row r="265">
      <c r="A265" s="251"/>
    </row>
    <row r="266">
      <c r="A266" s="251"/>
    </row>
    <row r="267">
      <c r="A267" s="251"/>
    </row>
    <row r="268">
      <c r="A268" s="251"/>
    </row>
    <row r="269">
      <c r="A269" s="251"/>
    </row>
    <row r="270">
      <c r="A270" s="251"/>
    </row>
    <row r="271">
      <c r="A271" s="251"/>
    </row>
    <row r="272">
      <c r="A272" s="251"/>
    </row>
    <row r="273">
      <c r="A273" s="251"/>
    </row>
    <row r="274">
      <c r="A274" s="251"/>
    </row>
    <row r="275">
      <c r="A275" s="251"/>
    </row>
    <row r="276">
      <c r="A276" s="251"/>
    </row>
    <row r="277">
      <c r="A277" s="251"/>
    </row>
    <row r="278">
      <c r="A278" s="251"/>
    </row>
    <row r="279">
      <c r="A279" s="251"/>
    </row>
    <row r="280">
      <c r="A280" s="251"/>
    </row>
    <row r="281">
      <c r="A281" s="251"/>
    </row>
    <row r="282">
      <c r="A282" s="251"/>
    </row>
    <row r="283">
      <c r="A283" s="251"/>
    </row>
    <row r="284">
      <c r="A284" s="251"/>
    </row>
    <row r="285">
      <c r="A285" s="251"/>
    </row>
    <row r="286">
      <c r="A286" s="251"/>
    </row>
    <row r="287">
      <c r="A287" s="251"/>
    </row>
    <row r="288">
      <c r="A288" s="251"/>
    </row>
    <row r="289">
      <c r="A289" s="251"/>
    </row>
    <row r="290">
      <c r="A290" s="251"/>
    </row>
    <row r="291">
      <c r="A291" s="251"/>
    </row>
    <row r="292">
      <c r="A292" s="251"/>
    </row>
    <row r="293">
      <c r="A293" s="251"/>
    </row>
    <row r="294">
      <c r="A294" s="251"/>
    </row>
    <row r="295">
      <c r="A295" s="251"/>
    </row>
    <row r="296">
      <c r="A296" s="251"/>
    </row>
    <row r="297">
      <c r="A297" s="251"/>
    </row>
    <row r="298">
      <c r="A298" s="251"/>
    </row>
    <row r="299">
      <c r="A299" s="251"/>
    </row>
    <row r="300">
      <c r="A300" s="251"/>
    </row>
    <row r="301">
      <c r="A301" s="251"/>
    </row>
    <row r="302">
      <c r="A302" s="251"/>
    </row>
    <row r="303">
      <c r="A303" s="251"/>
    </row>
    <row r="304">
      <c r="A304" s="251"/>
    </row>
    <row r="305">
      <c r="A305" s="251"/>
    </row>
    <row r="306">
      <c r="A306" s="251"/>
    </row>
    <row r="307">
      <c r="A307" s="251"/>
    </row>
    <row r="308">
      <c r="A308" s="251"/>
    </row>
    <row r="309">
      <c r="A309" s="251"/>
    </row>
    <row r="310">
      <c r="A310" s="251"/>
    </row>
    <row r="311">
      <c r="A311" s="251"/>
    </row>
    <row r="312">
      <c r="A312" s="251"/>
    </row>
    <row r="313">
      <c r="A313" s="251"/>
    </row>
    <row r="314">
      <c r="A314" s="251"/>
    </row>
    <row r="315">
      <c r="A315" s="251"/>
    </row>
    <row r="316">
      <c r="A316" s="251"/>
    </row>
    <row r="317">
      <c r="A317" s="251"/>
    </row>
    <row r="318">
      <c r="A318" s="251"/>
    </row>
    <row r="319">
      <c r="A319" s="251"/>
    </row>
    <row r="320">
      <c r="A320" s="251"/>
    </row>
    <row r="321">
      <c r="A321" s="251"/>
    </row>
    <row r="322">
      <c r="A322" s="251"/>
    </row>
    <row r="323">
      <c r="A323" s="251"/>
    </row>
    <row r="324">
      <c r="A324" s="251"/>
    </row>
    <row r="325">
      <c r="A325" s="251"/>
    </row>
    <row r="326">
      <c r="A326" s="251"/>
    </row>
    <row r="327">
      <c r="A327" s="251"/>
    </row>
    <row r="328">
      <c r="A328" s="251"/>
    </row>
    <row r="329">
      <c r="A329" s="251"/>
    </row>
    <row r="330">
      <c r="A330" s="251"/>
    </row>
    <row r="331">
      <c r="A331" s="251"/>
    </row>
    <row r="332">
      <c r="A332" s="251"/>
    </row>
    <row r="333">
      <c r="A333" s="251"/>
    </row>
    <row r="334">
      <c r="A334" s="251"/>
    </row>
    <row r="335">
      <c r="A335" s="251"/>
    </row>
    <row r="336">
      <c r="A336" s="251"/>
    </row>
    <row r="337">
      <c r="A337" s="251"/>
    </row>
    <row r="338">
      <c r="A338" s="251"/>
    </row>
    <row r="339">
      <c r="A339" s="251"/>
    </row>
    <row r="340">
      <c r="A340" s="251"/>
    </row>
    <row r="341">
      <c r="A341" s="251"/>
    </row>
    <row r="342">
      <c r="A342" s="251"/>
    </row>
    <row r="343">
      <c r="A343" s="251"/>
    </row>
    <row r="344">
      <c r="A344" s="251"/>
    </row>
    <row r="345">
      <c r="A345" s="251"/>
    </row>
    <row r="346">
      <c r="A346" s="251"/>
    </row>
    <row r="347">
      <c r="A347" s="251"/>
    </row>
    <row r="348">
      <c r="A348" s="251"/>
    </row>
    <row r="349">
      <c r="A349" s="251"/>
    </row>
    <row r="350">
      <c r="A350" s="251"/>
    </row>
    <row r="351">
      <c r="A351" s="251"/>
    </row>
    <row r="352">
      <c r="A352" s="251"/>
    </row>
    <row r="353">
      <c r="A353" s="251"/>
    </row>
    <row r="354">
      <c r="A354" s="251"/>
    </row>
    <row r="355">
      <c r="A355" s="251"/>
    </row>
    <row r="356">
      <c r="A356" s="251"/>
    </row>
    <row r="357">
      <c r="A357" s="251"/>
    </row>
    <row r="358">
      <c r="A358" s="251"/>
    </row>
    <row r="359">
      <c r="A359" s="251"/>
    </row>
    <row r="360">
      <c r="A360" s="251"/>
    </row>
    <row r="361">
      <c r="A361" s="251"/>
    </row>
    <row r="362">
      <c r="A362" s="251"/>
    </row>
    <row r="363">
      <c r="A363" s="251"/>
    </row>
    <row r="364">
      <c r="A364" s="251"/>
    </row>
    <row r="365">
      <c r="A365" s="251"/>
    </row>
    <row r="366">
      <c r="A366" s="251"/>
    </row>
    <row r="367">
      <c r="A367" s="251"/>
    </row>
    <row r="368">
      <c r="A368" s="251"/>
    </row>
    <row r="369">
      <c r="A369" s="251"/>
    </row>
    <row r="370">
      <c r="A370" s="251"/>
    </row>
    <row r="371">
      <c r="A371" s="251"/>
    </row>
    <row r="372">
      <c r="A372" s="251"/>
    </row>
    <row r="373">
      <c r="A373" s="251"/>
    </row>
    <row r="374">
      <c r="A374" s="251"/>
    </row>
    <row r="375">
      <c r="A375" s="251"/>
    </row>
    <row r="376">
      <c r="A376" s="251"/>
    </row>
    <row r="377">
      <c r="A377" s="251"/>
    </row>
    <row r="378">
      <c r="A378" s="251"/>
    </row>
    <row r="379">
      <c r="A379" s="251"/>
    </row>
    <row r="380">
      <c r="A380" s="251"/>
    </row>
    <row r="381">
      <c r="A381" s="251"/>
    </row>
    <row r="382">
      <c r="A382" s="251"/>
    </row>
    <row r="383">
      <c r="A383" s="251"/>
    </row>
    <row r="384">
      <c r="A384" s="251"/>
    </row>
    <row r="385">
      <c r="A385" s="251"/>
    </row>
    <row r="386">
      <c r="A386" s="251"/>
    </row>
    <row r="387">
      <c r="A387" s="251"/>
    </row>
    <row r="388">
      <c r="A388" s="251"/>
    </row>
    <row r="389">
      <c r="A389" s="251"/>
    </row>
    <row r="390">
      <c r="A390" s="251"/>
    </row>
    <row r="391">
      <c r="A391" s="251"/>
    </row>
    <row r="392">
      <c r="A392" s="251"/>
    </row>
    <row r="393">
      <c r="A393" s="251"/>
    </row>
    <row r="394">
      <c r="A394" s="251"/>
    </row>
    <row r="395">
      <c r="A395" s="251"/>
    </row>
    <row r="396">
      <c r="A396" s="251"/>
    </row>
    <row r="397">
      <c r="A397" s="251"/>
    </row>
    <row r="398">
      <c r="A398" s="251"/>
    </row>
    <row r="399">
      <c r="A399" s="251"/>
    </row>
    <row r="400">
      <c r="A400" s="251"/>
    </row>
    <row r="401">
      <c r="A401" s="251"/>
    </row>
    <row r="402">
      <c r="A402" s="251"/>
    </row>
    <row r="403">
      <c r="A403" s="251"/>
    </row>
    <row r="404">
      <c r="A404" s="251"/>
    </row>
    <row r="405">
      <c r="A405" s="251"/>
    </row>
    <row r="406">
      <c r="A406" s="251"/>
    </row>
    <row r="407">
      <c r="A407" s="251"/>
    </row>
    <row r="408">
      <c r="A408" s="251"/>
    </row>
    <row r="409">
      <c r="A409" s="251"/>
    </row>
    <row r="410">
      <c r="A410" s="251"/>
    </row>
    <row r="411">
      <c r="A411" s="251"/>
    </row>
    <row r="412">
      <c r="A412" s="251"/>
    </row>
    <row r="413">
      <c r="A413" s="251"/>
    </row>
    <row r="414">
      <c r="A414" s="251"/>
    </row>
    <row r="415">
      <c r="A415" s="251"/>
    </row>
    <row r="416">
      <c r="A416" s="251"/>
    </row>
    <row r="417">
      <c r="A417" s="251"/>
    </row>
    <row r="418">
      <c r="A418" s="251"/>
    </row>
    <row r="419">
      <c r="A419" s="251"/>
    </row>
    <row r="420">
      <c r="A420" s="251"/>
    </row>
    <row r="421">
      <c r="A421" s="251"/>
    </row>
    <row r="422">
      <c r="A422" s="251"/>
    </row>
    <row r="423">
      <c r="A423" s="251"/>
    </row>
    <row r="424">
      <c r="A424" s="251"/>
    </row>
    <row r="425">
      <c r="A425" s="251"/>
    </row>
    <row r="426">
      <c r="A426" s="251"/>
    </row>
    <row r="427">
      <c r="A427" s="251"/>
    </row>
    <row r="428">
      <c r="A428" s="251"/>
    </row>
    <row r="429">
      <c r="A429" s="251"/>
    </row>
    <row r="430">
      <c r="A430" s="251"/>
    </row>
    <row r="431">
      <c r="A431" s="251"/>
    </row>
    <row r="432">
      <c r="A432" s="251"/>
    </row>
    <row r="433">
      <c r="A433" s="251"/>
    </row>
    <row r="434">
      <c r="A434" s="251"/>
    </row>
    <row r="435">
      <c r="A435" s="251"/>
    </row>
    <row r="436">
      <c r="A436" s="251"/>
    </row>
    <row r="437">
      <c r="A437" s="251"/>
    </row>
    <row r="438">
      <c r="A438" s="251"/>
    </row>
    <row r="439">
      <c r="A439" s="251"/>
    </row>
    <row r="440">
      <c r="A440" s="251"/>
    </row>
    <row r="441">
      <c r="A441" s="251"/>
    </row>
    <row r="442">
      <c r="A442" s="251"/>
    </row>
    <row r="443">
      <c r="A443" s="251"/>
    </row>
    <row r="444">
      <c r="A444" s="251"/>
    </row>
    <row r="445">
      <c r="A445" s="251"/>
    </row>
    <row r="446">
      <c r="A446" s="251"/>
    </row>
    <row r="447">
      <c r="A447" s="251"/>
    </row>
    <row r="448">
      <c r="A448" s="251"/>
    </row>
    <row r="449">
      <c r="A449" s="251"/>
    </row>
    <row r="450">
      <c r="A450" s="251"/>
    </row>
    <row r="451">
      <c r="A451" s="251"/>
    </row>
    <row r="452">
      <c r="A452" s="251"/>
    </row>
    <row r="453">
      <c r="A453" s="251"/>
    </row>
    <row r="454">
      <c r="A454" s="251"/>
    </row>
    <row r="455">
      <c r="A455" s="251"/>
    </row>
    <row r="456">
      <c r="A456" s="251"/>
    </row>
    <row r="457">
      <c r="A457" s="251"/>
    </row>
    <row r="458">
      <c r="A458" s="251"/>
    </row>
    <row r="459">
      <c r="A459" s="251"/>
    </row>
    <row r="460">
      <c r="A460" s="251"/>
    </row>
    <row r="461">
      <c r="A461" s="251"/>
    </row>
    <row r="462">
      <c r="A462" s="251"/>
    </row>
    <row r="463">
      <c r="A463" s="251"/>
    </row>
    <row r="464">
      <c r="A464" s="251"/>
    </row>
    <row r="465">
      <c r="A465" s="251"/>
    </row>
    <row r="466">
      <c r="A466" s="251"/>
    </row>
    <row r="467">
      <c r="A467" s="251"/>
    </row>
    <row r="468">
      <c r="A468" s="251"/>
    </row>
    <row r="469">
      <c r="A469" s="251"/>
    </row>
    <row r="470">
      <c r="A470" s="251"/>
    </row>
    <row r="471">
      <c r="A471" s="251"/>
    </row>
    <row r="472">
      <c r="A472" s="251"/>
    </row>
    <row r="473">
      <c r="A473" s="251"/>
    </row>
    <row r="474">
      <c r="A474" s="251"/>
    </row>
    <row r="475">
      <c r="A475" s="251"/>
    </row>
    <row r="476">
      <c r="A476" s="251"/>
    </row>
    <row r="477">
      <c r="A477" s="251"/>
    </row>
    <row r="478">
      <c r="A478" s="251"/>
    </row>
    <row r="479">
      <c r="A479" s="251"/>
    </row>
    <row r="480">
      <c r="A480" s="251"/>
    </row>
    <row r="481">
      <c r="A481" s="251"/>
    </row>
    <row r="482">
      <c r="A482" s="251"/>
    </row>
    <row r="483">
      <c r="A483" s="251"/>
    </row>
    <row r="484">
      <c r="A484" s="251"/>
    </row>
    <row r="485">
      <c r="A485" s="251"/>
    </row>
    <row r="486">
      <c r="A486" s="251"/>
    </row>
    <row r="487">
      <c r="A487" s="251"/>
    </row>
    <row r="488">
      <c r="A488" s="251"/>
    </row>
    <row r="489">
      <c r="A489" s="251"/>
    </row>
    <row r="490">
      <c r="A490" s="251"/>
    </row>
    <row r="491">
      <c r="A491" s="251"/>
    </row>
    <row r="492">
      <c r="A492" s="251"/>
    </row>
    <row r="493">
      <c r="A493" s="251"/>
    </row>
    <row r="494">
      <c r="A494" s="251"/>
    </row>
    <row r="495">
      <c r="A495" s="251"/>
    </row>
    <row r="496">
      <c r="A496" s="251"/>
    </row>
    <row r="497">
      <c r="A497" s="251"/>
    </row>
    <row r="498">
      <c r="A498" s="251"/>
    </row>
    <row r="499">
      <c r="A499" s="251"/>
    </row>
    <row r="500">
      <c r="A500" s="251"/>
    </row>
    <row r="501">
      <c r="A501" s="251"/>
    </row>
    <row r="502">
      <c r="A502" s="251"/>
    </row>
    <row r="503">
      <c r="A503" s="251"/>
    </row>
    <row r="504">
      <c r="A504" s="251"/>
    </row>
    <row r="505">
      <c r="A505" s="251"/>
    </row>
    <row r="506">
      <c r="A506" s="251"/>
    </row>
    <row r="507">
      <c r="A507" s="251"/>
    </row>
    <row r="508">
      <c r="A508" s="251"/>
    </row>
    <row r="509">
      <c r="A509" s="251"/>
    </row>
    <row r="510">
      <c r="A510" s="251"/>
    </row>
    <row r="511">
      <c r="A511" s="251"/>
    </row>
    <row r="512">
      <c r="A512" s="251"/>
    </row>
    <row r="513">
      <c r="A513" s="251"/>
    </row>
    <row r="514">
      <c r="A514" s="251"/>
    </row>
    <row r="515">
      <c r="A515" s="251"/>
    </row>
    <row r="516">
      <c r="A516" s="251"/>
    </row>
    <row r="517">
      <c r="A517" s="251"/>
    </row>
    <row r="518">
      <c r="A518" s="251"/>
    </row>
    <row r="519">
      <c r="A519" s="251"/>
    </row>
    <row r="520">
      <c r="A520" s="251"/>
    </row>
    <row r="521">
      <c r="A521" s="251"/>
    </row>
    <row r="522">
      <c r="A522" s="251"/>
    </row>
    <row r="523">
      <c r="A523" s="251"/>
    </row>
    <row r="524">
      <c r="A524" s="251"/>
    </row>
    <row r="525">
      <c r="A525" s="251"/>
    </row>
    <row r="526">
      <c r="A526" s="251"/>
    </row>
    <row r="527">
      <c r="A527" s="251"/>
    </row>
    <row r="528">
      <c r="A528" s="251"/>
    </row>
    <row r="529">
      <c r="A529" s="251"/>
    </row>
    <row r="530">
      <c r="A530" s="251"/>
    </row>
    <row r="531">
      <c r="A531" s="251"/>
    </row>
    <row r="532">
      <c r="A532" s="251"/>
    </row>
    <row r="533">
      <c r="A533" s="251"/>
    </row>
    <row r="534">
      <c r="A534" s="251"/>
    </row>
    <row r="535">
      <c r="A535" s="251"/>
    </row>
    <row r="536">
      <c r="A536" s="251"/>
    </row>
    <row r="537">
      <c r="A537" s="251"/>
    </row>
    <row r="538">
      <c r="A538" s="251"/>
    </row>
    <row r="539">
      <c r="A539" s="251"/>
    </row>
    <row r="540">
      <c r="A540" s="251"/>
    </row>
    <row r="541">
      <c r="A541" s="251"/>
    </row>
    <row r="542">
      <c r="A542" s="251"/>
    </row>
    <row r="543">
      <c r="A543" s="251"/>
    </row>
    <row r="544">
      <c r="A544" s="251"/>
    </row>
    <row r="545">
      <c r="A545" s="251"/>
    </row>
    <row r="546">
      <c r="A546" s="251"/>
    </row>
    <row r="547">
      <c r="A547" s="251"/>
    </row>
    <row r="548">
      <c r="A548" s="251"/>
    </row>
    <row r="549">
      <c r="A549" s="251"/>
    </row>
    <row r="550">
      <c r="A550" s="251"/>
    </row>
    <row r="551">
      <c r="A551" s="251"/>
    </row>
    <row r="552">
      <c r="A552" s="251"/>
    </row>
    <row r="553">
      <c r="A553" s="251"/>
    </row>
    <row r="554">
      <c r="A554" s="251"/>
    </row>
    <row r="555">
      <c r="A555" s="251"/>
    </row>
    <row r="556">
      <c r="A556" s="251"/>
    </row>
    <row r="557">
      <c r="A557" s="251"/>
    </row>
    <row r="558">
      <c r="A558" s="251"/>
    </row>
    <row r="559">
      <c r="A559" s="251"/>
    </row>
    <row r="560">
      <c r="A560" s="251"/>
    </row>
    <row r="561">
      <c r="A561" s="251"/>
    </row>
    <row r="562">
      <c r="A562" s="251"/>
    </row>
    <row r="563">
      <c r="A563" s="251"/>
    </row>
    <row r="564">
      <c r="A564" s="251"/>
    </row>
    <row r="565">
      <c r="A565" s="251"/>
    </row>
    <row r="566">
      <c r="A566" s="251"/>
    </row>
    <row r="567">
      <c r="A567" s="251"/>
    </row>
    <row r="568">
      <c r="A568" s="251"/>
    </row>
    <row r="569">
      <c r="A569" s="251"/>
    </row>
    <row r="570">
      <c r="A570" s="251"/>
    </row>
    <row r="571">
      <c r="A571" s="251"/>
    </row>
    <row r="572">
      <c r="A572" s="251"/>
    </row>
    <row r="573">
      <c r="A573" s="251"/>
    </row>
    <row r="574">
      <c r="A574" s="251"/>
    </row>
    <row r="575">
      <c r="A575" s="251"/>
    </row>
    <row r="576">
      <c r="A576" s="251"/>
    </row>
    <row r="577">
      <c r="A577" s="251"/>
    </row>
    <row r="578">
      <c r="A578" s="251"/>
    </row>
    <row r="579">
      <c r="A579" s="251"/>
    </row>
    <row r="580">
      <c r="A580" s="251"/>
    </row>
    <row r="581">
      <c r="A581" s="251"/>
    </row>
    <row r="582">
      <c r="A582" s="251"/>
    </row>
    <row r="583">
      <c r="A583" s="251"/>
    </row>
    <row r="584">
      <c r="A584" s="251"/>
    </row>
    <row r="585">
      <c r="A585" s="251"/>
    </row>
    <row r="586">
      <c r="A586" s="251"/>
    </row>
    <row r="587">
      <c r="A587" s="251"/>
    </row>
    <row r="588">
      <c r="A588" s="251"/>
    </row>
    <row r="589">
      <c r="A589" s="251"/>
    </row>
    <row r="590">
      <c r="A590" s="251"/>
    </row>
    <row r="591">
      <c r="A591" s="251"/>
    </row>
    <row r="592">
      <c r="A592" s="251"/>
    </row>
    <row r="593">
      <c r="A593" s="251"/>
    </row>
    <row r="594">
      <c r="A594" s="251"/>
    </row>
    <row r="595">
      <c r="A595" s="251"/>
    </row>
    <row r="596">
      <c r="A596" s="251"/>
    </row>
    <row r="597">
      <c r="A597" s="251"/>
    </row>
    <row r="598">
      <c r="A598" s="251"/>
    </row>
    <row r="599">
      <c r="A599" s="251"/>
    </row>
    <row r="600">
      <c r="A600" s="251"/>
    </row>
    <row r="601">
      <c r="A601" s="251"/>
    </row>
    <row r="602">
      <c r="A602" s="251"/>
    </row>
    <row r="603">
      <c r="A603" s="251"/>
    </row>
    <row r="604">
      <c r="A604" s="251"/>
    </row>
    <row r="605">
      <c r="A605" s="251"/>
    </row>
    <row r="606">
      <c r="A606" s="251"/>
    </row>
    <row r="607">
      <c r="A607" s="251"/>
    </row>
    <row r="608">
      <c r="A608" s="251"/>
    </row>
    <row r="609">
      <c r="A609" s="251"/>
    </row>
    <row r="610">
      <c r="A610" s="251"/>
    </row>
    <row r="611">
      <c r="A611" s="251"/>
    </row>
    <row r="612">
      <c r="A612" s="251"/>
    </row>
    <row r="613">
      <c r="A613" s="251"/>
    </row>
    <row r="614">
      <c r="A614" s="251"/>
    </row>
    <row r="615">
      <c r="A615" s="251"/>
    </row>
    <row r="616">
      <c r="A616" s="251"/>
    </row>
    <row r="617">
      <c r="A617" s="251"/>
    </row>
    <row r="618">
      <c r="A618" s="251"/>
    </row>
    <row r="619">
      <c r="A619" s="251"/>
    </row>
    <row r="620">
      <c r="A620" s="251"/>
    </row>
    <row r="621">
      <c r="A621" s="251"/>
    </row>
    <row r="622">
      <c r="A622" s="251"/>
    </row>
    <row r="623">
      <c r="A623" s="251"/>
    </row>
    <row r="624">
      <c r="A624" s="251"/>
    </row>
    <row r="625">
      <c r="A625" s="251"/>
    </row>
    <row r="626">
      <c r="A626" s="251"/>
    </row>
    <row r="627">
      <c r="A627" s="251"/>
    </row>
    <row r="628">
      <c r="A628" s="251"/>
    </row>
    <row r="629">
      <c r="A629" s="251"/>
    </row>
    <row r="630">
      <c r="A630" s="251"/>
    </row>
    <row r="631">
      <c r="A631" s="251"/>
    </row>
    <row r="632">
      <c r="A632" s="251"/>
    </row>
    <row r="633">
      <c r="A633" s="251"/>
    </row>
    <row r="634">
      <c r="A634" s="251"/>
    </row>
    <row r="635">
      <c r="A635" s="251"/>
    </row>
    <row r="636">
      <c r="A636" s="251"/>
    </row>
    <row r="637">
      <c r="A637" s="251"/>
    </row>
    <row r="638">
      <c r="A638" s="251"/>
    </row>
    <row r="639">
      <c r="A639" s="251"/>
    </row>
    <row r="640">
      <c r="A640" s="251"/>
    </row>
    <row r="641">
      <c r="A641" s="251"/>
    </row>
    <row r="642">
      <c r="A642" s="251"/>
    </row>
    <row r="643">
      <c r="A643" s="251"/>
    </row>
    <row r="644">
      <c r="A644" s="251"/>
    </row>
    <row r="645">
      <c r="A645" s="251"/>
    </row>
    <row r="646">
      <c r="A646" s="251"/>
    </row>
    <row r="647">
      <c r="A647" s="251"/>
    </row>
    <row r="648">
      <c r="A648" s="251"/>
    </row>
    <row r="649">
      <c r="A649" s="251"/>
    </row>
    <row r="650">
      <c r="A650" s="251"/>
    </row>
    <row r="651">
      <c r="A651" s="251"/>
    </row>
    <row r="652">
      <c r="A652" s="251"/>
    </row>
    <row r="653">
      <c r="A653" s="251"/>
    </row>
    <row r="654">
      <c r="A654" s="251"/>
    </row>
    <row r="655">
      <c r="A655" s="251"/>
    </row>
    <row r="656">
      <c r="A656" s="251"/>
    </row>
    <row r="657">
      <c r="A657" s="251"/>
    </row>
    <row r="658">
      <c r="A658" s="251"/>
    </row>
    <row r="659">
      <c r="A659" s="251"/>
    </row>
    <row r="660">
      <c r="A660" s="251"/>
    </row>
    <row r="661">
      <c r="A661" s="251"/>
    </row>
    <row r="662">
      <c r="A662" s="251"/>
    </row>
    <row r="663">
      <c r="A663" s="251"/>
    </row>
    <row r="664">
      <c r="A664" s="251"/>
    </row>
    <row r="665">
      <c r="A665" s="251"/>
    </row>
    <row r="666">
      <c r="A666" s="251"/>
    </row>
    <row r="667">
      <c r="A667" s="251"/>
    </row>
    <row r="668">
      <c r="A668" s="251"/>
    </row>
    <row r="669">
      <c r="A669" s="251"/>
    </row>
    <row r="670">
      <c r="A670" s="251"/>
    </row>
    <row r="671">
      <c r="A671" s="251"/>
    </row>
    <row r="672">
      <c r="A672" s="251"/>
    </row>
    <row r="673">
      <c r="A673" s="251"/>
    </row>
    <row r="674">
      <c r="A674" s="251"/>
    </row>
    <row r="675">
      <c r="A675" s="251"/>
    </row>
    <row r="676">
      <c r="A676" s="251"/>
    </row>
    <row r="677">
      <c r="A677" s="251"/>
    </row>
    <row r="678">
      <c r="A678" s="251"/>
    </row>
    <row r="679">
      <c r="A679" s="251"/>
    </row>
    <row r="680">
      <c r="A680" s="251"/>
    </row>
    <row r="681">
      <c r="A681" s="251"/>
    </row>
    <row r="682">
      <c r="A682" s="251"/>
    </row>
    <row r="683">
      <c r="A683" s="251"/>
    </row>
    <row r="684">
      <c r="A684" s="251"/>
    </row>
    <row r="685">
      <c r="A685" s="251"/>
    </row>
    <row r="686">
      <c r="A686" s="251"/>
    </row>
    <row r="687">
      <c r="A687" s="251"/>
    </row>
    <row r="688">
      <c r="A688" s="251"/>
    </row>
    <row r="689">
      <c r="A689" s="251"/>
    </row>
    <row r="690">
      <c r="A690" s="251"/>
    </row>
    <row r="691">
      <c r="A691" s="251"/>
    </row>
    <row r="692">
      <c r="A692" s="251"/>
    </row>
    <row r="693">
      <c r="A693" s="251"/>
    </row>
    <row r="694">
      <c r="A694" s="251"/>
    </row>
    <row r="695">
      <c r="A695" s="251"/>
    </row>
    <row r="696">
      <c r="A696" s="251"/>
    </row>
    <row r="697">
      <c r="A697" s="251"/>
    </row>
    <row r="698">
      <c r="A698" s="251"/>
    </row>
    <row r="699">
      <c r="A699" s="251"/>
    </row>
    <row r="700">
      <c r="A700" s="251"/>
    </row>
    <row r="701">
      <c r="A701" s="251"/>
    </row>
    <row r="702">
      <c r="A702" s="251"/>
    </row>
    <row r="703">
      <c r="A703" s="251"/>
    </row>
    <row r="704">
      <c r="A704" s="251"/>
    </row>
    <row r="705">
      <c r="A705" s="251"/>
    </row>
    <row r="706">
      <c r="A706" s="251"/>
    </row>
    <row r="707">
      <c r="A707" s="251"/>
    </row>
    <row r="708">
      <c r="A708" s="251"/>
    </row>
    <row r="709">
      <c r="A709" s="251"/>
    </row>
    <row r="710">
      <c r="A710" s="251"/>
    </row>
    <row r="711">
      <c r="A711" s="251"/>
    </row>
    <row r="712">
      <c r="A712" s="251"/>
    </row>
    <row r="713">
      <c r="A713" s="251"/>
    </row>
    <row r="714">
      <c r="A714" s="251"/>
    </row>
    <row r="715">
      <c r="A715" s="251"/>
    </row>
    <row r="716">
      <c r="A716" s="251"/>
    </row>
    <row r="717">
      <c r="A717" s="251"/>
    </row>
    <row r="718">
      <c r="A718" s="251"/>
    </row>
    <row r="719">
      <c r="A719" s="251"/>
    </row>
    <row r="720">
      <c r="A720" s="251"/>
    </row>
    <row r="721">
      <c r="A721" s="251"/>
    </row>
    <row r="722">
      <c r="A722" s="251"/>
    </row>
    <row r="723">
      <c r="A723" s="251"/>
    </row>
    <row r="724">
      <c r="A724" s="251"/>
    </row>
    <row r="725">
      <c r="A725" s="251"/>
    </row>
    <row r="726">
      <c r="A726" s="251"/>
    </row>
    <row r="727">
      <c r="A727" s="251"/>
    </row>
    <row r="728">
      <c r="A728" s="251"/>
    </row>
    <row r="729">
      <c r="A729" s="251"/>
    </row>
    <row r="730">
      <c r="A730" s="251"/>
    </row>
    <row r="731">
      <c r="A731" s="251"/>
    </row>
    <row r="732">
      <c r="A732" s="251"/>
    </row>
    <row r="733">
      <c r="A733" s="251"/>
    </row>
    <row r="734">
      <c r="A734" s="251"/>
    </row>
    <row r="735">
      <c r="A735" s="251"/>
    </row>
    <row r="736">
      <c r="A736" s="251"/>
    </row>
    <row r="737">
      <c r="A737" s="251"/>
    </row>
    <row r="738">
      <c r="A738" s="251"/>
    </row>
    <row r="739">
      <c r="A739" s="251"/>
    </row>
    <row r="740">
      <c r="A740" s="251"/>
    </row>
    <row r="741">
      <c r="A741" s="251"/>
    </row>
    <row r="742">
      <c r="A742" s="251"/>
    </row>
    <row r="743">
      <c r="A743" s="251"/>
    </row>
    <row r="744">
      <c r="A744" s="251"/>
    </row>
    <row r="745">
      <c r="A745" s="251"/>
    </row>
    <row r="746">
      <c r="A746" s="251"/>
    </row>
    <row r="747">
      <c r="A747" s="251"/>
    </row>
    <row r="748">
      <c r="A748" s="251"/>
    </row>
    <row r="749">
      <c r="A749" s="251"/>
    </row>
    <row r="750">
      <c r="A750" s="251"/>
    </row>
    <row r="751">
      <c r="A751" s="251"/>
    </row>
    <row r="752">
      <c r="A752" s="251"/>
    </row>
    <row r="753">
      <c r="A753" s="251"/>
    </row>
    <row r="754">
      <c r="A754" s="251"/>
    </row>
    <row r="755">
      <c r="A755" s="251"/>
    </row>
    <row r="756">
      <c r="A756" s="251"/>
    </row>
    <row r="757">
      <c r="A757" s="251"/>
    </row>
    <row r="758">
      <c r="A758" s="251"/>
    </row>
    <row r="759">
      <c r="A759" s="251"/>
    </row>
    <row r="760">
      <c r="A760" s="251"/>
    </row>
    <row r="761">
      <c r="A761" s="251"/>
    </row>
    <row r="762">
      <c r="A762" s="251"/>
    </row>
    <row r="763">
      <c r="A763" s="251"/>
    </row>
    <row r="764">
      <c r="A764" s="251"/>
    </row>
    <row r="765">
      <c r="A765" s="251"/>
    </row>
    <row r="766">
      <c r="A766" s="251"/>
    </row>
    <row r="767">
      <c r="A767" s="251"/>
    </row>
    <row r="768">
      <c r="A768" s="251"/>
    </row>
    <row r="769">
      <c r="A769" s="251"/>
    </row>
    <row r="770">
      <c r="A770" s="251"/>
    </row>
    <row r="771">
      <c r="A771" s="251"/>
    </row>
    <row r="772">
      <c r="A772" s="251"/>
    </row>
    <row r="773">
      <c r="A773" s="251"/>
    </row>
    <row r="774">
      <c r="A774" s="251"/>
    </row>
    <row r="775">
      <c r="A775" s="251"/>
    </row>
    <row r="776">
      <c r="A776" s="251"/>
    </row>
    <row r="777">
      <c r="A777" s="251"/>
    </row>
    <row r="778">
      <c r="A778" s="251"/>
    </row>
    <row r="779">
      <c r="A779" s="251"/>
    </row>
    <row r="780">
      <c r="A780" s="251"/>
    </row>
    <row r="781">
      <c r="A781" s="251"/>
    </row>
    <row r="782">
      <c r="A782" s="251"/>
    </row>
    <row r="783">
      <c r="A783" s="251"/>
    </row>
    <row r="784">
      <c r="A784" s="251"/>
    </row>
    <row r="785">
      <c r="A785" s="251"/>
    </row>
    <row r="786">
      <c r="A786" s="251"/>
    </row>
    <row r="787">
      <c r="A787" s="251"/>
    </row>
    <row r="788">
      <c r="A788" s="251"/>
    </row>
    <row r="789">
      <c r="A789" s="251"/>
    </row>
    <row r="790">
      <c r="A790" s="251"/>
    </row>
    <row r="791">
      <c r="A791" s="251"/>
    </row>
    <row r="792">
      <c r="A792" s="251"/>
    </row>
    <row r="793">
      <c r="A793" s="251"/>
    </row>
    <row r="794">
      <c r="A794" s="251"/>
    </row>
    <row r="795">
      <c r="A795" s="251"/>
    </row>
    <row r="796">
      <c r="A796" s="251"/>
    </row>
    <row r="797">
      <c r="A797" s="251"/>
    </row>
    <row r="798">
      <c r="A798" s="251"/>
    </row>
    <row r="799">
      <c r="A799" s="251"/>
    </row>
    <row r="800">
      <c r="A800" s="251"/>
    </row>
    <row r="801">
      <c r="A801" s="251"/>
    </row>
    <row r="802">
      <c r="A802" s="251"/>
    </row>
    <row r="803">
      <c r="A803" s="251"/>
    </row>
    <row r="804">
      <c r="A804" s="251"/>
    </row>
    <row r="805">
      <c r="A805" s="251"/>
    </row>
    <row r="806">
      <c r="A806" s="251"/>
    </row>
    <row r="807">
      <c r="A807" s="251"/>
    </row>
    <row r="808">
      <c r="A808" s="251"/>
    </row>
    <row r="809">
      <c r="A809" s="251"/>
    </row>
    <row r="810">
      <c r="A810" s="251"/>
    </row>
    <row r="811">
      <c r="A811" s="251"/>
    </row>
    <row r="812">
      <c r="A812" s="251"/>
    </row>
    <row r="813">
      <c r="A813" s="251"/>
    </row>
    <row r="814">
      <c r="A814" s="251"/>
    </row>
    <row r="815">
      <c r="A815" s="251"/>
    </row>
    <row r="816">
      <c r="A816" s="251"/>
    </row>
    <row r="817">
      <c r="A817" s="251"/>
    </row>
    <row r="818">
      <c r="A818" s="251"/>
    </row>
    <row r="819">
      <c r="A819" s="251"/>
    </row>
    <row r="820">
      <c r="A820" s="251"/>
    </row>
    <row r="821">
      <c r="A821" s="251"/>
    </row>
    <row r="822">
      <c r="A822" s="251"/>
    </row>
    <row r="823">
      <c r="A823" s="251"/>
    </row>
    <row r="824">
      <c r="A824" s="251"/>
    </row>
    <row r="825">
      <c r="A825" s="251"/>
    </row>
    <row r="826">
      <c r="A826" s="251"/>
    </row>
    <row r="827">
      <c r="A827" s="251"/>
    </row>
    <row r="828">
      <c r="A828" s="251"/>
    </row>
    <row r="829">
      <c r="A829" s="251"/>
    </row>
    <row r="830">
      <c r="A830" s="251"/>
    </row>
    <row r="831">
      <c r="A831" s="251"/>
    </row>
    <row r="832">
      <c r="A832" s="251"/>
    </row>
    <row r="833">
      <c r="A833" s="251"/>
    </row>
    <row r="834">
      <c r="A834" s="251"/>
    </row>
    <row r="835">
      <c r="A835" s="251"/>
    </row>
    <row r="836">
      <c r="A836" s="251"/>
    </row>
    <row r="837">
      <c r="A837" s="251"/>
    </row>
    <row r="838">
      <c r="A838" s="251"/>
    </row>
    <row r="839">
      <c r="A839" s="251"/>
    </row>
    <row r="840">
      <c r="A840" s="251"/>
    </row>
    <row r="841">
      <c r="A841" s="251"/>
    </row>
    <row r="842">
      <c r="A842" s="251"/>
    </row>
    <row r="843">
      <c r="A843" s="251"/>
    </row>
    <row r="844">
      <c r="A844" s="251"/>
    </row>
    <row r="845">
      <c r="A845" s="251"/>
    </row>
    <row r="846">
      <c r="A846" s="251"/>
    </row>
    <row r="847">
      <c r="A847" s="251"/>
    </row>
    <row r="848">
      <c r="A848" s="251"/>
    </row>
    <row r="849">
      <c r="A849" s="251"/>
    </row>
    <row r="850">
      <c r="A850" s="251"/>
    </row>
    <row r="851">
      <c r="A851" s="251"/>
    </row>
    <row r="852">
      <c r="A852" s="251"/>
    </row>
    <row r="853">
      <c r="A853" s="251"/>
    </row>
    <row r="854">
      <c r="A854" s="251"/>
    </row>
    <row r="855">
      <c r="A855" s="251"/>
    </row>
    <row r="856">
      <c r="A856" s="251"/>
    </row>
    <row r="857">
      <c r="A857" s="251"/>
    </row>
    <row r="858">
      <c r="A858" s="251"/>
    </row>
    <row r="859">
      <c r="A859" s="251"/>
    </row>
    <row r="860">
      <c r="A860" s="251"/>
    </row>
    <row r="861">
      <c r="A861" s="251"/>
    </row>
    <row r="862">
      <c r="A862" s="251"/>
    </row>
    <row r="863">
      <c r="A863" s="251"/>
    </row>
    <row r="864">
      <c r="A864" s="251"/>
    </row>
    <row r="865">
      <c r="A865" s="251"/>
    </row>
    <row r="866">
      <c r="A866" s="251"/>
    </row>
    <row r="867">
      <c r="A867" s="251"/>
    </row>
    <row r="868">
      <c r="A868" s="251"/>
    </row>
    <row r="869">
      <c r="A869" s="251"/>
    </row>
    <row r="870">
      <c r="A870" s="251"/>
    </row>
    <row r="871">
      <c r="A871" s="251"/>
    </row>
    <row r="872">
      <c r="A872" s="251"/>
    </row>
    <row r="873">
      <c r="A873" s="251"/>
    </row>
    <row r="874">
      <c r="A874" s="251"/>
    </row>
    <row r="875">
      <c r="A875" s="251"/>
    </row>
    <row r="876">
      <c r="A876" s="251"/>
    </row>
    <row r="877">
      <c r="A877" s="251"/>
    </row>
    <row r="878">
      <c r="A878" s="251"/>
    </row>
    <row r="879">
      <c r="A879" s="251"/>
    </row>
    <row r="880">
      <c r="A880" s="251"/>
    </row>
    <row r="881">
      <c r="A881" s="251"/>
    </row>
    <row r="882">
      <c r="A882" s="251"/>
    </row>
    <row r="883">
      <c r="A883" s="251"/>
    </row>
    <row r="884">
      <c r="A884" s="251"/>
    </row>
    <row r="885">
      <c r="A885" s="251"/>
    </row>
    <row r="886">
      <c r="A886" s="251"/>
    </row>
    <row r="887">
      <c r="A887" s="251"/>
    </row>
    <row r="888">
      <c r="A888" s="251"/>
    </row>
    <row r="889">
      <c r="A889" s="251"/>
    </row>
    <row r="890">
      <c r="A890" s="251"/>
    </row>
    <row r="891">
      <c r="A891" s="251"/>
    </row>
    <row r="892">
      <c r="A892" s="251"/>
    </row>
    <row r="893">
      <c r="A893" s="251"/>
    </row>
    <row r="894">
      <c r="A894" s="251"/>
    </row>
    <row r="895">
      <c r="A895" s="251"/>
    </row>
    <row r="896">
      <c r="A896" s="251"/>
    </row>
    <row r="897">
      <c r="A897" s="251"/>
    </row>
    <row r="898">
      <c r="A898" s="251"/>
    </row>
    <row r="899">
      <c r="A899" s="251"/>
    </row>
    <row r="900">
      <c r="A900" s="251"/>
    </row>
    <row r="901">
      <c r="A901" s="251"/>
    </row>
    <row r="902">
      <c r="A902" s="251"/>
    </row>
    <row r="903">
      <c r="A903" s="251"/>
    </row>
    <row r="904">
      <c r="A904" s="251"/>
    </row>
    <row r="905">
      <c r="A905" s="251"/>
    </row>
    <row r="906">
      <c r="A906" s="251"/>
    </row>
    <row r="907">
      <c r="A907" s="251"/>
    </row>
    <row r="908">
      <c r="A908" s="251"/>
    </row>
    <row r="909">
      <c r="A909" s="251"/>
    </row>
    <row r="910">
      <c r="A910" s="251"/>
    </row>
    <row r="911">
      <c r="A911" s="251"/>
    </row>
    <row r="912">
      <c r="A912" s="251"/>
    </row>
    <row r="913">
      <c r="A913" s="251"/>
    </row>
    <row r="914">
      <c r="A914" s="251"/>
    </row>
    <row r="915">
      <c r="A915" s="251"/>
    </row>
    <row r="916">
      <c r="A916" s="251"/>
    </row>
    <row r="917">
      <c r="A917" s="251"/>
    </row>
    <row r="918">
      <c r="A918" s="251"/>
    </row>
    <row r="919">
      <c r="A919" s="251"/>
    </row>
    <row r="920">
      <c r="A920" s="251"/>
    </row>
    <row r="921">
      <c r="A921" s="251"/>
    </row>
    <row r="922">
      <c r="A922" s="251"/>
    </row>
    <row r="923">
      <c r="A923" s="251"/>
    </row>
    <row r="924">
      <c r="A924" s="251"/>
    </row>
    <row r="925">
      <c r="A925" s="251"/>
    </row>
    <row r="926">
      <c r="A926" s="251"/>
    </row>
    <row r="927">
      <c r="A927" s="251"/>
    </row>
    <row r="928">
      <c r="A928" s="251"/>
    </row>
    <row r="929">
      <c r="A929" s="251"/>
    </row>
    <row r="930">
      <c r="A930" s="251"/>
    </row>
    <row r="931">
      <c r="A931" s="251"/>
    </row>
    <row r="932">
      <c r="A932" s="251"/>
    </row>
    <row r="933">
      <c r="A933" s="251"/>
    </row>
    <row r="934">
      <c r="A934" s="251"/>
    </row>
    <row r="935">
      <c r="A935" s="251"/>
    </row>
    <row r="936">
      <c r="A936" s="251"/>
    </row>
    <row r="937">
      <c r="A937" s="251"/>
    </row>
    <row r="938">
      <c r="A938" s="251"/>
    </row>
    <row r="939">
      <c r="A939" s="251"/>
    </row>
    <row r="940">
      <c r="A940" s="251"/>
    </row>
    <row r="941">
      <c r="A941" s="251"/>
    </row>
    <row r="942">
      <c r="A942" s="251"/>
    </row>
    <row r="943">
      <c r="A943" s="251"/>
    </row>
    <row r="944">
      <c r="A944" s="251"/>
    </row>
    <row r="945">
      <c r="A945" s="251"/>
    </row>
    <row r="946">
      <c r="A946" s="251"/>
    </row>
    <row r="947">
      <c r="A947" s="251"/>
    </row>
    <row r="948">
      <c r="A948" s="251"/>
    </row>
    <row r="949">
      <c r="A949" s="251"/>
    </row>
    <row r="950">
      <c r="A950" s="251"/>
    </row>
    <row r="951">
      <c r="A951" s="251"/>
    </row>
    <row r="952">
      <c r="A952" s="251"/>
    </row>
    <row r="953">
      <c r="A953" s="251"/>
    </row>
    <row r="954">
      <c r="A954" s="251"/>
    </row>
    <row r="955">
      <c r="A955" s="251"/>
    </row>
    <row r="956">
      <c r="A956" s="251"/>
    </row>
    <row r="957">
      <c r="A957" s="251"/>
    </row>
    <row r="958">
      <c r="A958" s="251"/>
    </row>
    <row r="959">
      <c r="A959" s="251"/>
    </row>
    <row r="960">
      <c r="A960" s="251"/>
    </row>
    <row r="961">
      <c r="A961" s="251"/>
    </row>
    <row r="962">
      <c r="A962" s="251"/>
    </row>
    <row r="963">
      <c r="A963" s="251"/>
    </row>
    <row r="964">
      <c r="A964" s="251"/>
    </row>
    <row r="965">
      <c r="A965" s="251"/>
    </row>
    <row r="966">
      <c r="A966" s="251"/>
    </row>
    <row r="967">
      <c r="A967" s="251"/>
    </row>
    <row r="968">
      <c r="A968" s="251"/>
    </row>
    <row r="969">
      <c r="A969" s="251"/>
    </row>
    <row r="970">
      <c r="A970" s="251"/>
    </row>
    <row r="971">
      <c r="A971" s="251"/>
    </row>
    <row r="972">
      <c r="A972" s="251"/>
    </row>
    <row r="973">
      <c r="A973" s="251"/>
    </row>
    <row r="974">
      <c r="A974" s="251"/>
    </row>
    <row r="975">
      <c r="A975" s="251"/>
    </row>
    <row r="976">
      <c r="A976" s="251"/>
    </row>
    <row r="977">
      <c r="A977" s="251"/>
    </row>
    <row r="978">
      <c r="A978" s="251"/>
    </row>
    <row r="979">
      <c r="A979" s="251"/>
    </row>
    <row r="980">
      <c r="A980" s="251"/>
    </row>
    <row r="981">
      <c r="A981" s="251"/>
    </row>
    <row r="982">
      <c r="A982" s="251"/>
    </row>
    <row r="983">
      <c r="A983" s="251"/>
    </row>
    <row r="984">
      <c r="A984" s="251"/>
    </row>
    <row r="985">
      <c r="A985" s="251"/>
    </row>
    <row r="986">
      <c r="A986" s="251"/>
    </row>
    <row r="987">
      <c r="A987" s="251"/>
    </row>
    <row r="988">
      <c r="A988" s="251"/>
    </row>
    <row r="989">
      <c r="A989" s="251"/>
    </row>
    <row r="990">
      <c r="A990" s="251"/>
    </row>
    <row r="991">
      <c r="A991" s="251"/>
    </row>
    <row r="992">
      <c r="A992" s="251"/>
    </row>
    <row r="993">
      <c r="A993" s="251"/>
    </row>
    <row r="994">
      <c r="A994" s="251"/>
    </row>
    <row r="995">
      <c r="A995" s="251"/>
    </row>
    <row r="996">
      <c r="A996" s="251"/>
    </row>
    <row r="997">
      <c r="A997" s="251"/>
    </row>
    <row r="998">
      <c r="A998" s="251"/>
    </row>
    <row r="999">
      <c r="A999" s="251"/>
    </row>
    <row r="1000">
      <c r="A1000" s="251"/>
    </row>
    <row r="1001">
      <c r="A1001" s="251"/>
    </row>
    <row r="1002">
      <c r="A1002" s="251"/>
    </row>
    <row r="1003">
      <c r="A1003" s="251"/>
    </row>
  </sheetData>
  <mergeCells count="1">
    <mergeCell ref="A19:D19"/>
  </mergeCells>
  <drawing r:id="rId2"/>
  <legacy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6" max="6" width="9.63"/>
    <col customWidth="1" min="7" max="7" width="14.88"/>
    <col customWidth="1" min="8" max="8" width="9.38"/>
  </cols>
  <sheetData>
    <row r="1">
      <c r="B1" s="178"/>
      <c r="C1" s="178"/>
      <c r="D1" s="178"/>
      <c r="E1" s="178"/>
      <c r="F1" s="235"/>
      <c r="G1" s="179"/>
      <c r="H1" s="179"/>
      <c r="I1" s="235"/>
    </row>
    <row r="2">
      <c r="A2" s="281" t="s">
        <v>127</v>
      </c>
      <c r="B2" s="253" t="s">
        <v>195</v>
      </c>
      <c r="C2" s="253" t="s">
        <v>196</v>
      </c>
      <c r="D2" s="253" t="s">
        <v>197</v>
      </c>
      <c r="E2" s="68" t="s">
        <v>4</v>
      </c>
      <c r="F2" s="54" t="s">
        <v>5</v>
      </c>
      <c r="G2" s="54" t="s">
        <v>6</v>
      </c>
      <c r="H2" s="249" t="s">
        <v>9</v>
      </c>
      <c r="I2" s="254" t="s">
        <v>198</v>
      </c>
    </row>
    <row r="3">
      <c r="A3" s="75" t="s">
        <v>199</v>
      </c>
      <c r="B3" s="98">
        <f>'Исходные данные'!D12</f>
        <v>402</v>
      </c>
      <c r="C3" s="98">
        <f>'Исходные данные'!G18</f>
        <v>8</v>
      </c>
      <c r="D3" s="255"/>
      <c r="E3" s="255">
        <v>637618.0</v>
      </c>
      <c r="F3" s="256">
        <v>12.0</v>
      </c>
      <c r="G3" s="163">
        <f t="shared" ref="G3:G7" si="1">E3/F3</f>
        <v>53134.83333</v>
      </c>
      <c r="H3" s="72"/>
      <c r="I3" s="282">
        <f>G3/B3*C3</f>
        <v>1057.409619</v>
      </c>
      <c r="J3" s="283"/>
    </row>
    <row r="4">
      <c r="A4" s="87" t="s">
        <v>148</v>
      </c>
      <c r="B4" s="134"/>
      <c r="C4" s="134"/>
      <c r="D4" s="98"/>
      <c r="E4" s="134">
        <v>2565.0</v>
      </c>
      <c r="F4" s="256">
        <v>12.0</v>
      </c>
      <c r="G4" s="163">
        <f t="shared" si="1"/>
        <v>213.75</v>
      </c>
      <c r="H4" s="249"/>
      <c r="I4" s="282">
        <f t="shared" ref="I4:I7" si="2">G4</f>
        <v>213.75</v>
      </c>
      <c r="J4" s="283"/>
    </row>
    <row r="5">
      <c r="A5" s="87" t="s">
        <v>150</v>
      </c>
      <c r="B5" s="134"/>
      <c r="C5" s="134"/>
      <c r="D5" s="98"/>
      <c r="E5" s="134">
        <v>0.0</v>
      </c>
      <c r="F5" s="256">
        <v>12.0</v>
      </c>
      <c r="G5" s="163">
        <f t="shared" si="1"/>
        <v>0</v>
      </c>
      <c r="H5" s="249"/>
      <c r="I5" s="282">
        <f t="shared" si="2"/>
        <v>0</v>
      </c>
    </row>
    <row r="6">
      <c r="A6" s="87" t="s">
        <v>149</v>
      </c>
      <c r="B6" s="134"/>
      <c r="C6" s="134"/>
      <c r="D6" s="98"/>
      <c r="E6" s="134">
        <v>0.0</v>
      </c>
      <c r="F6" s="256">
        <v>12.0</v>
      </c>
      <c r="G6" s="163">
        <f t="shared" si="1"/>
        <v>0</v>
      </c>
      <c r="H6" s="249"/>
      <c r="I6" s="282">
        <f t="shared" si="2"/>
        <v>0</v>
      </c>
    </row>
    <row r="7">
      <c r="A7" s="87" t="s">
        <v>236</v>
      </c>
      <c r="B7" s="134"/>
      <c r="C7" s="134"/>
      <c r="D7" s="98"/>
      <c r="E7" s="134"/>
      <c r="F7" s="256">
        <v>12.0</v>
      </c>
      <c r="G7" s="163">
        <f t="shared" si="1"/>
        <v>0</v>
      </c>
      <c r="H7" s="249"/>
      <c r="I7" s="282">
        <f t="shared" si="2"/>
        <v>0</v>
      </c>
      <c r="J7" s="283"/>
    </row>
    <row r="8">
      <c r="A8" s="68" t="s">
        <v>152</v>
      </c>
      <c r="B8" s="71"/>
      <c r="C8" s="71"/>
      <c r="D8" s="265">
        <f>B13</f>
        <v>392</v>
      </c>
      <c r="E8" s="71"/>
      <c r="F8" s="249"/>
      <c r="G8" s="72"/>
      <c r="H8" s="259">
        <f>'Общие расходы ГЭ'!G16</f>
        <v>9.195626292</v>
      </c>
      <c r="I8" s="282">
        <f t="shared" ref="I8:I10" si="3">D8*H8</f>
        <v>3604.685506</v>
      </c>
    </row>
    <row r="9">
      <c r="A9" s="68" t="s">
        <v>235</v>
      </c>
      <c r="B9" s="71"/>
      <c r="C9" s="71"/>
      <c r="D9" s="265">
        <f>B13</f>
        <v>392</v>
      </c>
      <c r="E9" s="71"/>
      <c r="F9" s="249"/>
      <c r="G9" s="72"/>
      <c r="H9" s="259">
        <f>'Общие расходы г. Тюмень'!F4</f>
        <v>0.2743933235</v>
      </c>
      <c r="I9" s="282">
        <f t="shared" si="3"/>
        <v>107.5621828</v>
      </c>
      <c r="J9" s="283"/>
    </row>
    <row r="10">
      <c r="A10" s="68" t="s">
        <v>156</v>
      </c>
      <c r="B10" s="71"/>
      <c r="C10" s="71"/>
      <c r="D10" s="265">
        <f>B13</f>
        <v>392</v>
      </c>
      <c r="E10" s="71"/>
      <c r="F10" s="249"/>
      <c r="G10" s="72"/>
      <c r="H10" s="250">
        <f>'Общие расходы г. Тюмень'!F30</f>
        <v>0.7480139342</v>
      </c>
      <c r="I10" s="282">
        <f t="shared" si="3"/>
        <v>293.2214622</v>
      </c>
    </row>
    <row r="11">
      <c r="A11" s="296" t="s">
        <v>62</v>
      </c>
      <c r="B11" s="263"/>
      <c r="C11" s="263"/>
      <c r="D11" s="263"/>
      <c r="E11" s="263"/>
      <c r="F11" s="263"/>
      <c r="G11" s="263"/>
      <c r="H11" s="185"/>
      <c r="I11" s="282">
        <f>SUM(I3:I10)</f>
        <v>5276.62877</v>
      </c>
    </row>
    <row r="13">
      <c r="A13" s="68" t="s">
        <v>205</v>
      </c>
      <c r="B13" s="260">
        <f>'Исходные данные'!B18</f>
        <v>392</v>
      </c>
    </row>
    <row r="14">
      <c r="A14" s="68" t="s">
        <v>206</v>
      </c>
      <c r="B14" s="260" t="str">
        <f>'Исходные данные'!C18</f>
        <v/>
      </c>
    </row>
    <row r="15">
      <c r="A15" s="68" t="s">
        <v>207</v>
      </c>
      <c r="B15" s="260" t="str">
        <f>'Исходные данные'!D18</f>
        <v/>
      </c>
    </row>
    <row r="17">
      <c r="A17" s="266" t="s">
        <v>208</v>
      </c>
      <c r="B17" s="263"/>
      <c r="C17" s="263"/>
      <c r="D17" s="185"/>
      <c r="E17" s="267"/>
    </row>
    <row r="18">
      <c r="A18" s="268" t="s">
        <v>209</v>
      </c>
      <c r="B18" s="269" t="s">
        <v>210</v>
      </c>
      <c r="C18" s="93" t="s">
        <v>5</v>
      </c>
      <c r="D18" s="269" t="s">
        <v>211</v>
      </c>
      <c r="E18" s="270"/>
    </row>
    <row r="19">
      <c r="A19" s="293"/>
      <c r="B19" s="72"/>
      <c r="C19" s="72"/>
      <c r="D19" s="72"/>
      <c r="E19" s="179"/>
    </row>
    <row r="20">
      <c r="A20" s="293"/>
      <c r="B20" s="72"/>
      <c r="C20" s="72"/>
      <c r="D20" s="72"/>
      <c r="E20" s="179"/>
    </row>
    <row r="21">
      <c r="A21" s="293"/>
      <c r="B21" s="72"/>
      <c r="C21" s="72"/>
      <c r="D21" s="72"/>
      <c r="E21" s="179"/>
    </row>
    <row r="22">
      <c r="A22" s="68"/>
      <c r="B22" s="72"/>
      <c r="C22" s="72"/>
      <c r="D22" s="72"/>
      <c r="E22" s="179"/>
    </row>
    <row r="23">
      <c r="A23" s="68"/>
      <c r="B23" s="72"/>
      <c r="C23" s="72"/>
      <c r="D23" s="72"/>
      <c r="E23" s="179"/>
    </row>
    <row r="24">
      <c r="A24" s="294"/>
      <c r="B24" s="34"/>
      <c r="C24" s="34"/>
      <c r="D24" s="34"/>
    </row>
    <row r="25">
      <c r="A25" s="77"/>
      <c r="B25" s="34"/>
      <c r="C25" s="34"/>
      <c r="D25" s="34"/>
    </row>
    <row r="26">
      <c r="A26" s="77"/>
      <c r="B26" s="34"/>
      <c r="C26" s="34"/>
      <c r="D26" s="34"/>
    </row>
  </sheetData>
  <mergeCells count="2">
    <mergeCell ref="A11:H11"/>
    <mergeCell ref="A17:D17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25"/>
    <col customWidth="1" min="3" max="3" width="12.25"/>
    <col customWidth="1" min="6" max="6" width="9.63"/>
    <col customWidth="1" min="7" max="7" width="14.88"/>
    <col customWidth="1" min="8" max="8" width="7.63"/>
    <col customWidth="1" min="9" max="9" width="14.5"/>
  </cols>
  <sheetData>
    <row r="1">
      <c r="B1" s="178"/>
      <c r="C1" s="178"/>
      <c r="D1" s="178"/>
      <c r="E1" s="178"/>
      <c r="F1" s="235"/>
      <c r="G1" s="179"/>
      <c r="H1" s="179"/>
      <c r="I1" s="297"/>
    </row>
    <row r="2">
      <c r="A2" s="281" t="s">
        <v>129</v>
      </c>
      <c r="B2" s="253" t="s">
        <v>195</v>
      </c>
      <c r="C2" s="253" t="s">
        <v>196</v>
      </c>
      <c r="D2" s="253" t="s">
        <v>197</v>
      </c>
      <c r="E2" s="68" t="s">
        <v>4</v>
      </c>
      <c r="F2" s="54" t="s">
        <v>5</v>
      </c>
      <c r="G2" s="54" t="s">
        <v>6</v>
      </c>
      <c r="H2" s="249" t="s">
        <v>9</v>
      </c>
      <c r="I2" s="254" t="s">
        <v>198</v>
      </c>
    </row>
    <row r="3">
      <c r="A3" s="75" t="s">
        <v>199</v>
      </c>
      <c r="B3" s="98">
        <f>'Исходные данные'!D12</f>
        <v>402</v>
      </c>
      <c r="C3" s="98">
        <f>'Исходные данные'!G24</f>
        <v>18</v>
      </c>
      <c r="D3" s="255"/>
      <c r="E3" s="255">
        <v>637618.0</v>
      </c>
      <c r="F3" s="256">
        <v>12.0</v>
      </c>
      <c r="G3" s="163">
        <f t="shared" ref="G3:G9" si="1">E3/F3</f>
        <v>53134.83333</v>
      </c>
      <c r="H3" s="72"/>
      <c r="I3" s="282">
        <f>G3/B3*C3</f>
        <v>2379.171642</v>
      </c>
      <c r="J3" s="283"/>
    </row>
    <row r="4">
      <c r="A4" s="75" t="s">
        <v>147</v>
      </c>
      <c r="B4" s="75"/>
      <c r="C4" s="98"/>
      <c r="D4" s="255"/>
      <c r="E4" s="255"/>
      <c r="F4" s="256">
        <v>12.0</v>
      </c>
      <c r="G4" s="163">
        <f t="shared" si="1"/>
        <v>0</v>
      </c>
      <c r="H4" s="72"/>
      <c r="I4" s="282">
        <f t="shared" ref="I4:I10" si="2">G4</f>
        <v>0</v>
      </c>
      <c r="J4" s="283"/>
    </row>
    <row r="5">
      <c r="A5" s="87" t="s">
        <v>148</v>
      </c>
      <c r="B5" s="134"/>
      <c r="C5" s="98"/>
      <c r="D5" s="98"/>
      <c r="E5" s="134">
        <f>15304+40</f>
        <v>15344</v>
      </c>
      <c r="F5" s="256">
        <v>12.0</v>
      </c>
      <c r="G5" s="163">
        <f t="shared" si="1"/>
        <v>1278.666667</v>
      </c>
      <c r="H5" s="249"/>
      <c r="I5" s="282">
        <f t="shared" si="2"/>
        <v>1278.666667</v>
      </c>
    </row>
    <row r="6">
      <c r="A6" s="87" t="s">
        <v>150</v>
      </c>
      <c r="B6" s="134"/>
      <c r="C6" s="98"/>
      <c r="D6" s="98"/>
      <c r="E6" s="134">
        <v>37807.0</v>
      </c>
      <c r="F6" s="256">
        <v>12.0</v>
      </c>
      <c r="G6" s="163">
        <f t="shared" si="1"/>
        <v>3150.583333</v>
      </c>
      <c r="H6" s="249"/>
      <c r="I6" s="282">
        <f t="shared" si="2"/>
        <v>3150.583333</v>
      </c>
    </row>
    <row r="7">
      <c r="A7" s="87" t="s">
        <v>149</v>
      </c>
      <c r="B7" s="134"/>
      <c r="C7" s="98"/>
      <c r="D7" s="98"/>
      <c r="E7" s="134">
        <v>0.0</v>
      </c>
      <c r="F7" s="256">
        <v>12.0</v>
      </c>
      <c r="G7" s="163">
        <f t="shared" si="1"/>
        <v>0</v>
      </c>
      <c r="H7" s="249"/>
      <c r="I7" s="282">
        <f t="shared" si="2"/>
        <v>0</v>
      </c>
    </row>
    <row r="8">
      <c r="A8" s="68" t="s">
        <v>203</v>
      </c>
      <c r="B8" s="71"/>
      <c r="C8" s="98"/>
      <c r="D8" s="108"/>
      <c r="E8" s="71"/>
      <c r="F8" s="249">
        <v>12.0</v>
      </c>
      <c r="G8" s="163">
        <f t="shared" si="1"/>
        <v>0</v>
      </c>
      <c r="H8" s="249"/>
      <c r="I8" s="282">
        <f t="shared" si="2"/>
        <v>0</v>
      </c>
    </row>
    <row r="9">
      <c r="A9" s="68" t="s">
        <v>151</v>
      </c>
      <c r="B9" s="71"/>
      <c r="C9" s="98"/>
      <c r="D9" s="108"/>
      <c r="E9" s="71">
        <v>10339.0</v>
      </c>
      <c r="F9" s="249">
        <v>12.0</v>
      </c>
      <c r="G9" s="163">
        <f t="shared" si="1"/>
        <v>861.5833333</v>
      </c>
      <c r="H9" s="249"/>
      <c r="I9" s="282">
        <f t="shared" si="2"/>
        <v>861.5833333</v>
      </c>
    </row>
    <row r="10">
      <c r="A10" s="68" t="s">
        <v>155</v>
      </c>
      <c r="B10" s="71"/>
      <c r="C10" s="98"/>
      <c r="D10" s="108"/>
      <c r="E10" s="71"/>
      <c r="F10" s="249"/>
      <c r="G10" s="163">
        <f>D26</f>
        <v>0</v>
      </c>
      <c r="H10" s="249"/>
      <c r="I10" s="282">
        <f t="shared" si="2"/>
        <v>0</v>
      </c>
    </row>
    <row r="11">
      <c r="A11" s="68" t="s">
        <v>152</v>
      </c>
      <c r="B11" s="71"/>
      <c r="C11" s="98"/>
      <c r="D11" s="265">
        <f>B16</f>
        <v>1298</v>
      </c>
      <c r="E11" s="71"/>
      <c r="F11" s="249"/>
      <c r="G11" s="72"/>
      <c r="H11" s="259">
        <f>'Общие расходы ГЭ'!G16</f>
        <v>9.195626292</v>
      </c>
      <c r="I11" s="282">
        <f t="shared" ref="I11:I13" si="3">D11*H11</f>
        <v>11935.92293</v>
      </c>
    </row>
    <row r="12">
      <c r="A12" s="68" t="s">
        <v>235</v>
      </c>
      <c r="B12" s="71"/>
      <c r="C12" s="98"/>
      <c r="D12" s="265">
        <f>B16</f>
        <v>1298</v>
      </c>
      <c r="E12" s="71"/>
      <c r="F12" s="249"/>
      <c r="G12" s="72"/>
      <c r="H12" s="259">
        <f>'Общие расходы г. Тюмень'!F4</f>
        <v>0.2743933235</v>
      </c>
      <c r="I12" s="282">
        <f t="shared" si="3"/>
        <v>356.1625339</v>
      </c>
    </row>
    <row r="13">
      <c r="A13" s="68" t="s">
        <v>156</v>
      </c>
      <c r="B13" s="71"/>
      <c r="C13" s="98"/>
      <c r="D13" s="265">
        <f>B16</f>
        <v>1298</v>
      </c>
      <c r="E13" s="71"/>
      <c r="F13" s="249"/>
      <c r="G13" s="72"/>
      <c r="H13" s="250">
        <f>'Общие расходы г. Тюмень'!F30</f>
        <v>0.7480139342</v>
      </c>
      <c r="I13" s="282">
        <f t="shared" si="3"/>
        <v>970.9220866</v>
      </c>
    </row>
    <row r="14">
      <c r="A14" s="298" t="s">
        <v>62</v>
      </c>
      <c r="B14" s="263"/>
      <c r="C14" s="263"/>
      <c r="D14" s="263"/>
      <c r="E14" s="263"/>
      <c r="F14" s="263"/>
      <c r="G14" s="185"/>
      <c r="H14" s="299"/>
      <c r="I14" s="282">
        <f>SUM(I3:I13)</f>
        <v>20933.01252</v>
      </c>
    </row>
    <row r="15">
      <c r="A15" s="68"/>
      <c r="B15" s="71"/>
      <c r="C15" s="178"/>
      <c r="D15" s="178"/>
      <c r="E15" s="178"/>
      <c r="F15" s="235"/>
      <c r="G15" s="179"/>
      <c r="H15" s="179"/>
      <c r="I15" s="297"/>
    </row>
    <row r="16">
      <c r="A16" s="68" t="s">
        <v>205</v>
      </c>
      <c r="B16" s="260">
        <f>'Исходные данные'!B24</f>
        <v>1298</v>
      </c>
      <c r="C16" s="178"/>
      <c r="D16" s="178"/>
      <c r="E16" s="178"/>
      <c r="F16" s="235"/>
      <c r="G16" s="179"/>
      <c r="H16" s="179"/>
      <c r="I16" s="297"/>
    </row>
    <row r="17">
      <c r="A17" s="68" t="s">
        <v>206</v>
      </c>
      <c r="B17" s="265" t="str">
        <f>'Исходные данные'!C24</f>
        <v/>
      </c>
      <c r="C17" s="178"/>
      <c r="D17" s="178"/>
      <c r="E17" s="178"/>
      <c r="F17" s="235"/>
      <c r="G17" s="179"/>
      <c r="H17" s="179"/>
      <c r="I17" s="297"/>
    </row>
    <row r="18">
      <c r="A18" s="68" t="s">
        <v>207</v>
      </c>
      <c r="B18" s="265" t="str">
        <f>'Исходные данные'!D24</f>
        <v/>
      </c>
      <c r="F18" s="235"/>
      <c r="G18" s="179"/>
      <c r="H18" s="179"/>
      <c r="I18" s="297"/>
    </row>
    <row r="19">
      <c r="B19" s="179"/>
      <c r="C19" s="179"/>
      <c r="D19" s="179"/>
      <c r="E19" s="179"/>
      <c r="F19" s="235"/>
      <c r="G19" s="179"/>
      <c r="H19" s="179"/>
      <c r="I19" s="297"/>
    </row>
    <row r="20">
      <c r="A20" s="266" t="s">
        <v>208</v>
      </c>
      <c r="B20" s="263"/>
      <c r="C20" s="263"/>
      <c r="D20" s="185"/>
    </row>
    <row r="21">
      <c r="A21" s="268" t="s">
        <v>209</v>
      </c>
      <c r="B21" s="269" t="s">
        <v>210</v>
      </c>
      <c r="C21" s="93" t="s">
        <v>5</v>
      </c>
      <c r="D21" s="269" t="s">
        <v>211</v>
      </c>
    </row>
    <row r="22">
      <c r="A22" s="300" t="s">
        <v>212</v>
      </c>
      <c r="B22" s="301"/>
      <c r="C22" s="301">
        <v>12.0</v>
      </c>
      <c r="D22" s="301"/>
    </row>
    <row r="23">
      <c r="A23" s="68"/>
      <c r="B23" s="301"/>
      <c r="C23" s="301">
        <v>12.0</v>
      </c>
      <c r="D23" s="301"/>
    </row>
    <row r="24">
      <c r="A24" s="302"/>
      <c r="B24" s="303"/>
      <c r="C24" s="303"/>
      <c r="D24" s="301"/>
    </row>
    <row r="25">
      <c r="A25" s="68"/>
      <c r="B25" s="303"/>
      <c r="C25" s="303"/>
      <c r="D25" s="177"/>
    </row>
    <row r="26">
      <c r="A26" s="304"/>
      <c r="B26" s="303"/>
      <c r="C26" s="303"/>
      <c r="D26" s="303">
        <f>SUM(D22:D25)</f>
        <v>0</v>
      </c>
    </row>
  </sheetData>
  <mergeCells count="2">
    <mergeCell ref="A14:G14"/>
    <mergeCell ref="A20:D20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25"/>
    <col customWidth="1" min="6" max="6" width="9.63"/>
    <col customWidth="1" min="7" max="7" width="14.88"/>
    <col customWidth="1" min="8" max="8" width="9.63"/>
    <col customWidth="1" min="9" max="9" width="14.5"/>
  </cols>
  <sheetData>
    <row r="1">
      <c r="B1" s="178"/>
      <c r="C1" s="178"/>
      <c r="D1" s="178"/>
      <c r="E1" s="178"/>
      <c r="F1" s="235"/>
      <c r="G1" s="179"/>
      <c r="H1" s="179"/>
      <c r="I1" s="297"/>
    </row>
    <row r="2">
      <c r="A2" s="281" t="s">
        <v>237</v>
      </c>
      <c r="B2" s="253" t="s">
        <v>195</v>
      </c>
      <c r="C2" s="253" t="s">
        <v>196</v>
      </c>
      <c r="D2" s="253" t="s">
        <v>197</v>
      </c>
      <c r="E2" s="68" t="s">
        <v>4</v>
      </c>
      <c r="F2" s="54" t="s">
        <v>5</v>
      </c>
      <c r="G2" s="54" t="s">
        <v>6</v>
      </c>
      <c r="H2" s="249" t="s">
        <v>9</v>
      </c>
      <c r="I2" s="254" t="s">
        <v>198</v>
      </c>
    </row>
    <row r="3">
      <c r="A3" s="75" t="s">
        <v>199</v>
      </c>
      <c r="B3" s="98">
        <f>'Исходные данные'!D12</f>
        <v>402</v>
      </c>
      <c r="C3" s="98">
        <f>'Исходные данные'!G21</f>
        <v>4</v>
      </c>
      <c r="D3" s="98"/>
      <c r="E3" s="255">
        <v>637618.0</v>
      </c>
      <c r="F3" s="256">
        <v>12.0</v>
      </c>
      <c r="G3" s="163">
        <f t="shared" ref="G3:G7" si="1">E3/F3</f>
        <v>53134.83333</v>
      </c>
      <c r="H3" s="72"/>
      <c r="I3" s="282">
        <f>G3/B3*C3</f>
        <v>528.7048093</v>
      </c>
    </row>
    <row r="4">
      <c r="A4" s="87" t="s">
        <v>148</v>
      </c>
      <c r="B4" s="71"/>
      <c r="C4" s="98"/>
      <c r="D4" s="98"/>
      <c r="E4" s="71">
        <v>0.0</v>
      </c>
      <c r="F4" s="256">
        <v>12.0</v>
      </c>
      <c r="G4" s="163">
        <f t="shared" si="1"/>
        <v>0</v>
      </c>
      <c r="H4" s="249"/>
      <c r="I4" s="282"/>
    </row>
    <row r="5">
      <c r="A5" s="87" t="s">
        <v>150</v>
      </c>
      <c r="B5" s="71"/>
      <c r="C5" s="98"/>
      <c r="D5" s="98"/>
      <c r="E5" s="71">
        <v>0.0</v>
      </c>
      <c r="F5" s="256">
        <v>12.0</v>
      </c>
      <c r="G5" s="163">
        <f t="shared" si="1"/>
        <v>0</v>
      </c>
      <c r="H5" s="249"/>
      <c r="I5" s="282"/>
    </row>
    <row r="6">
      <c r="A6" s="87" t="s">
        <v>149</v>
      </c>
      <c r="B6" s="71"/>
      <c r="C6" s="98"/>
      <c r="D6" s="98"/>
      <c r="E6" s="71">
        <v>0.0</v>
      </c>
      <c r="F6" s="256">
        <v>12.0</v>
      </c>
      <c r="G6" s="163">
        <f t="shared" si="1"/>
        <v>0</v>
      </c>
      <c r="H6" s="249"/>
      <c r="I6" s="282"/>
    </row>
    <row r="7">
      <c r="A7" s="87" t="s">
        <v>12</v>
      </c>
      <c r="B7" s="71"/>
      <c r="C7" s="98"/>
      <c r="D7" s="98"/>
      <c r="E7" s="71">
        <v>599.0</v>
      </c>
      <c r="F7" s="256">
        <v>12.0</v>
      </c>
      <c r="G7" s="163">
        <f t="shared" si="1"/>
        <v>49.91666667</v>
      </c>
      <c r="H7" s="249"/>
      <c r="I7" s="282">
        <f>D23</f>
        <v>3333.333333</v>
      </c>
    </row>
    <row r="8">
      <c r="A8" s="68" t="s">
        <v>152</v>
      </c>
      <c r="B8" s="71"/>
      <c r="C8" s="98"/>
      <c r="D8" s="265">
        <f>B13</f>
        <v>339</v>
      </c>
      <c r="E8" s="71"/>
      <c r="F8" s="249"/>
      <c r="G8" s="72"/>
      <c r="H8" s="259">
        <f>'Общие расходы ГЭ'!G16</f>
        <v>9.195626292</v>
      </c>
      <c r="I8" s="282">
        <f t="shared" ref="I8:I10" si="2">D8*H8</f>
        <v>3117.317313</v>
      </c>
    </row>
    <row r="9">
      <c r="A9" s="68" t="s">
        <v>235</v>
      </c>
      <c r="B9" s="71"/>
      <c r="C9" s="98"/>
      <c r="D9" s="265">
        <f>B13</f>
        <v>339</v>
      </c>
      <c r="E9" s="71"/>
      <c r="F9" s="249"/>
      <c r="G9" s="72"/>
      <c r="H9" s="259">
        <f>'Общие расходы г. Тюмень'!F4</f>
        <v>0.2743933235</v>
      </c>
      <c r="I9" s="282">
        <f t="shared" si="2"/>
        <v>93.01933666</v>
      </c>
    </row>
    <row r="10">
      <c r="A10" s="54" t="s">
        <v>156</v>
      </c>
      <c r="B10" s="71"/>
      <c r="C10" s="71"/>
      <c r="D10" s="265">
        <f>B13</f>
        <v>339</v>
      </c>
      <c r="E10" s="71"/>
      <c r="F10" s="249"/>
      <c r="G10" s="72"/>
      <c r="H10" s="250">
        <f>'Общие расходы г. Тюмень'!F30</f>
        <v>0.7480139342</v>
      </c>
      <c r="I10" s="282">
        <f t="shared" si="2"/>
        <v>253.5767237</v>
      </c>
    </row>
    <row r="11">
      <c r="A11" s="298" t="s">
        <v>62</v>
      </c>
      <c r="B11" s="263"/>
      <c r="C11" s="263"/>
      <c r="D11" s="263"/>
      <c r="E11" s="263"/>
      <c r="F11" s="263"/>
      <c r="G11" s="185"/>
      <c r="H11" s="299"/>
      <c r="I11" s="282">
        <f>SUM(I3:I10)</f>
        <v>7325.951516</v>
      </c>
    </row>
    <row r="12">
      <c r="A12" s="68"/>
      <c r="B12" s="71"/>
      <c r="C12" s="178"/>
      <c r="D12" s="178"/>
      <c r="E12" s="178"/>
      <c r="F12" s="235"/>
      <c r="G12" s="179"/>
      <c r="H12" s="179"/>
      <c r="I12" s="297"/>
    </row>
    <row r="13">
      <c r="A13" s="68" t="s">
        <v>205</v>
      </c>
      <c r="B13" s="265">
        <f>'Исходные данные'!B21</f>
        <v>339</v>
      </c>
      <c r="C13" s="178"/>
      <c r="D13" s="178"/>
      <c r="E13" s="178"/>
      <c r="F13" s="235"/>
      <c r="G13" s="179"/>
      <c r="H13" s="179"/>
      <c r="I13" s="297"/>
    </row>
    <row r="14">
      <c r="A14" s="68" t="s">
        <v>206</v>
      </c>
      <c r="B14" s="260" t="str">
        <f>'Исходные данные'!C21</f>
        <v/>
      </c>
      <c r="C14" s="178"/>
      <c r="D14" s="178"/>
      <c r="E14" s="178"/>
      <c r="F14" s="235"/>
      <c r="G14" s="179"/>
      <c r="H14" s="179"/>
      <c r="I14" s="297"/>
    </row>
    <row r="15">
      <c r="A15" s="68" t="s">
        <v>207</v>
      </c>
      <c r="B15" s="265" t="str">
        <f>'Исходные данные'!D21</f>
        <v/>
      </c>
      <c r="F15" s="235"/>
      <c r="G15" s="179"/>
      <c r="H15" s="179"/>
      <c r="I15" s="297"/>
    </row>
    <row r="16">
      <c r="B16" s="179"/>
      <c r="C16" s="179"/>
      <c r="D16" s="179"/>
      <c r="E16" s="179"/>
    </row>
    <row r="17">
      <c r="A17" s="266" t="s">
        <v>208</v>
      </c>
      <c r="B17" s="263"/>
      <c r="C17" s="263"/>
      <c r="D17" s="185"/>
      <c r="E17" s="178"/>
    </row>
    <row r="18">
      <c r="A18" s="268" t="s">
        <v>209</v>
      </c>
      <c r="B18" s="269" t="s">
        <v>210</v>
      </c>
      <c r="C18" s="93" t="s">
        <v>5</v>
      </c>
      <c r="D18" s="269" t="s">
        <v>211</v>
      </c>
      <c r="E18" s="178"/>
    </row>
    <row r="19">
      <c r="A19" s="300" t="s">
        <v>238</v>
      </c>
      <c r="B19" s="301">
        <v>40000.0</v>
      </c>
      <c r="C19" s="301">
        <v>12.0</v>
      </c>
      <c r="D19" s="301">
        <f>B19/C19</f>
        <v>3333.333333</v>
      </c>
      <c r="E19" s="179"/>
    </row>
    <row r="20">
      <c r="A20" s="68" t="s">
        <v>217</v>
      </c>
      <c r="B20" s="301">
        <v>8000.0</v>
      </c>
      <c r="C20" s="303"/>
      <c r="D20" s="301"/>
      <c r="E20" s="179"/>
    </row>
    <row r="21">
      <c r="A21" s="305"/>
      <c r="B21" s="303"/>
      <c r="C21" s="303"/>
      <c r="D21" s="301"/>
      <c r="E21" s="179"/>
    </row>
    <row r="22">
      <c r="A22" s="68"/>
      <c r="B22" s="303"/>
      <c r="C22" s="303"/>
      <c r="D22" s="177"/>
      <c r="E22" s="179"/>
    </row>
    <row r="23">
      <c r="A23" s="304"/>
      <c r="B23" s="303"/>
      <c r="C23" s="303"/>
      <c r="D23" s="303">
        <f>SUM(D19:D22)</f>
        <v>3333.333333</v>
      </c>
    </row>
  </sheetData>
  <mergeCells count="2">
    <mergeCell ref="A11:G11"/>
    <mergeCell ref="A17:D17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25"/>
    <col customWidth="1" min="2" max="2" width="12.25"/>
    <col customWidth="1" min="6" max="6" width="9.63"/>
    <col customWidth="1" min="7" max="7" width="14.88"/>
    <col customWidth="1" min="8" max="8" width="8.25"/>
    <col customWidth="1" min="9" max="9" width="15.38"/>
  </cols>
  <sheetData>
    <row r="1">
      <c r="B1" s="179"/>
      <c r="C1" s="179"/>
      <c r="D1" s="179"/>
      <c r="E1" s="179"/>
      <c r="F1" s="235"/>
      <c r="G1" s="179"/>
      <c r="H1" s="235"/>
      <c r="I1" s="235"/>
      <c r="J1" s="235"/>
    </row>
    <row r="2">
      <c r="A2" s="281" t="s">
        <v>239</v>
      </c>
      <c r="B2" s="253" t="s">
        <v>195</v>
      </c>
      <c r="C2" s="253" t="s">
        <v>196</v>
      </c>
      <c r="D2" s="253" t="s">
        <v>197</v>
      </c>
      <c r="E2" s="68" t="s">
        <v>4</v>
      </c>
      <c r="F2" s="54" t="s">
        <v>5</v>
      </c>
      <c r="G2" s="54" t="s">
        <v>6</v>
      </c>
      <c r="H2" s="253" t="s">
        <v>9</v>
      </c>
      <c r="I2" s="254" t="s">
        <v>198</v>
      </c>
      <c r="J2" s="306"/>
    </row>
    <row r="3">
      <c r="A3" s="75" t="s">
        <v>199</v>
      </c>
      <c r="B3" s="98">
        <f>'Исходные данные'!D12</f>
        <v>402</v>
      </c>
      <c r="C3" s="134">
        <f>'Исходные данные'!G19</f>
        <v>100</v>
      </c>
      <c r="D3" s="255"/>
      <c r="E3" s="255">
        <v>637618.0</v>
      </c>
      <c r="F3" s="256">
        <v>12.0</v>
      </c>
      <c r="G3" s="163">
        <f t="shared" ref="G3:G9" si="1">E3/F3</f>
        <v>53134.83333</v>
      </c>
      <c r="H3" s="307"/>
      <c r="I3" s="282">
        <f t="shared" ref="I3:I4" si="2">G3/B3*C3</f>
        <v>13217.62023</v>
      </c>
      <c r="J3" s="308"/>
    </row>
    <row r="4">
      <c r="A4" s="75" t="s">
        <v>233</v>
      </c>
      <c r="B4" s="98">
        <f>'Исходные данные'!E13</f>
        <v>30</v>
      </c>
      <c r="C4" s="134">
        <f>'Исходные данные'!H19</f>
        <v>1</v>
      </c>
      <c r="D4" s="255"/>
      <c r="E4" s="177">
        <v>305868.0</v>
      </c>
      <c r="F4" s="256">
        <v>12.0</v>
      </c>
      <c r="G4" s="163">
        <f t="shared" si="1"/>
        <v>25489</v>
      </c>
      <c r="H4" s="307"/>
      <c r="I4" s="282">
        <f t="shared" si="2"/>
        <v>849.6333333</v>
      </c>
      <c r="J4" s="308"/>
    </row>
    <row r="5">
      <c r="A5" s="75" t="s">
        <v>202</v>
      </c>
      <c r="B5" s="134"/>
      <c r="C5" s="134"/>
      <c r="D5" s="134"/>
      <c r="E5" s="134">
        <v>57191.0</v>
      </c>
      <c r="F5" s="256">
        <v>12.0</v>
      </c>
      <c r="G5" s="163">
        <f t="shared" si="1"/>
        <v>4765.916667</v>
      </c>
      <c r="H5" s="249"/>
      <c r="I5" s="282">
        <f t="shared" ref="I5:I8" si="3">G5</f>
        <v>4765.916667</v>
      </c>
      <c r="J5" s="235"/>
    </row>
    <row r="6">
      <c r="A6" s="87" t="s">
        <v>148</v>
      </c>
      <c r="B6" s="134"/>
      <c r="C6" s="134"/>
      <c r="D6" s="134"/>
      <c r="E6" s="134">
        <v>112265.0</v>
      </c>
      <c r="F6" s="256">
        <v>12.0</v>
      </c>
      <c r="G6" s="163">
        <f t="shared" si="1"/>
        <v>9355.416667</v>
      </c>
      <c r="H6" s="249"/>
      <c r="I6" s="282">
        <f t="shared" si="3"/>
        <v>9355.416667</v>
      </c>
      <c r="J6" s="235"/>
    </row>
    <row r="7">
      <c r="A7" s="87" t="s">
        <v>150</v>
      </c>
      <c r="B7" s="134"/>
      <c r="C7" s="134"/>
      <c r="D7" s="134"/>
      <c r="E7" s="134">
        <v>0.0</v>
      </c>
      <c r="F7" s="256">
        <v>12.0</v>
      </c>
      <c r="G7" s="163">
        <f t="shared" si="1"/>
        <v>0</v>
      </c>
      <c r="H7" s="249"/>
      <c r="I7" s="282">
        <f t="shared" si="3"/>
        <v>0</v>
      </c>
      <c r="J7" s="235"/>
    </row>
    <row r="8">
      <c r="A8" s="87" t="s">
        <v>149</v>
      </c>
      <c r="B8" s="134"/>
      <c r="C8" s="134"/>
      <c r="D8" s="134"/>
      <c r="E8" s="134">
        <v>27493.0</v>
      </c>
      <c r="F8" s="256">
        <v>12.0</v>
      </c>
      <c r="G8" s="163">
        <f t="shared" si="1"/>
        <v>2291.083333</v>
      </c>
      <c r="H8" s="249"/>
      <c r="I8" s="282">
        <f t="shared" si="3"/>
        <v>2291.083333</v>
      </c>
      <c r="J8" s="235"/>
    </row>
    <row r="9">
      <c r="A9" s="87" t="s">
        <v>240</v>
      </c>
      <c r="B9" s="134"/>
      <c r="C9" s="134"/>
      <c r="D9" s="134"/>
      <c r="E9" s="134">
        <v>1000.0</v>
      </c>
      <c r="F9" s="256">
        <v>12.0</v>
      </c>
      <c r="G9" s="163">
        <f t="shared" si="1"/>
        <v>83.33333333</v>
      </c>
      <c r="H9" s="249"/>
      <c r="I9" s="282"/>
      <c r="J9" s="235"/>
    </row>
    <row r="10">
      <c r="A10" s="87" t="s">
        <v>241</v>
      </c>
      <c r="B10" s="134"/>
      <c r="C10" s="134"/>
      <c r="D10" s="134"/>
      <c r="E10" s="134"/>
      <c r="F10" s="256"/>
      <c r="G10" s="163"/>
      <c r="H10" s="249"/>
      <c r="I10" s="282">
        <f>D27</f>
        <v>0</v>
      </c>
      <c r="J10" s="235"/>
    </row>
    <row r="11">
      <c r="A11" s="87" t="s">
        <v>93</v>
      </c>
      <c r="B11" s="134"/>
      <c r="C11" s="134"/>
      <c r="D11" s="134"/>
      <c r="E11" s="134">
        <v>1173.0</v>
      </c>
      <c r="F11" s="256">
        <v>12.0</v>
      </c>
      <c r="G11" s="163">
        <f>E11/F11</f>
        <v>97.75</v>
      </c>
      <c r="H11" s="249"/>
      <c r="I11" s="282">
        <f>G11</f>
        <v>97.75</v>
      </c>
      <c r="J11" s="235"/>
    </row>
    <row r="12">
      <c r="A12" s="68" t="s">
        <v>152</v>
      </c>
      <c r="B12" s="71"/>
      <c r="C12" s="71"/>
      <c r="D12" s="260">
        <f>B17</f>
        <v>1720</v>
      </c>
      <c r="E12" s="71"/>
      <c r="F12" s="249"/>
      <c r="G12" s="72"/>
      <c r="H12" s="259">
        <f>'Общие расходы ГЭ'!G16</f>
        <v>9.195626292</v>
      </c>
      <c r="I12" s="282">
        <f t="shared" ref="I12:I14" si="4">D12*H12</f>
        <v>15816.47722</v>
      </c>
      <c r="J12" s="235"/>
    </row>
    <row r="13">
      <c r="A13" s="68" t="s">
        <v>235</v>
      </c>
      <c r="B13" s="71"/>
      <c r="C13" s="71"/>
      <c r="D13" s="260">
        <f>B17</f>
        <v>1720</v>
      </c>
      <c r="E13" s="71"/>
      <c r="F13" s="249"/>
      <c r="G13" s="72"/>
      <c r="H13" s="259">
        <f>'Общие расходы г. Тюмень'!F4</f>
        <v>0.2743933235</v>
      </c>
      <c r="I13" s="282">
        <f t="shared" si="4"/>
        <v>471.9565164</v>
      </c>
      <c r="J13" s="235"/>
    </row>
    <row r="14">
      <c r="A14" s="68" t="s">
        <v>156</v>
      </c>
      <c r="B14" s="71"/>
      <c r="C14" s="71"/>
      <c r="D14" s="260">
        <f>B17</f>
        <v>1720</v>
      </c>
      <c r="E14" s="71"/>
      <c r="F14" s="249"/>
      <c r="G14" s="72"/>
      <c r="H14" s="250">
        <f>'Общие расходы г. Тюмень'!F30</f>
        <v>0.7480139342</v>
      </c>
      <c r="I14" s="282">
        <f t="shared" si="4"/>
        <v>1286.583967</v>
      </c>
      <c r="J14" s="235"/>
    </row>
    <row r="15">
      <c r="A15" s="298" t="s">
        <v>62</v>
      </c>
      <c r="B15" s="263"/>
      <c r="C15" s="263"/>
      <c r="D15" s="263"/>
      <c r="E15" s="263"/>
      <c r="F15" s="263"/>
      <c r="G15" s="263"/>
      <c r="H15" s="185"/>
      <c r="I15" s="282">
        <f>SUM(I3:I14)</f>
        <v>48152.43794</v>
      </c>
      <c r="J15" s="235"/>
    </row>
    <row r="16">
      <c r="B16" s="179"/>
      <c r="C16" s="179"/>
      <c r="D16" s="179"/>
      <c r="E16" s="179"/>
      <c r="F16" s="235"/>
      <c r="G16" s="179"/>
      <c r="H16" s="235"/>
      <c r="I16" s="235"/>
      <c r="J16" s="235"/>
    </row>
    <row r="17">
      <c r="A17" s="68" t="s">
        <v>205</v>
      </c>
      <c r="B17" s="265">
        <f>'Исходные данные'!B19</f>
        <v>1720</v>
      </c>
      <c r="C17" s="179"/>
      <c r="D17" s="179"/>
      <c r="E17" s="179"/>
      <c r="F17" s="235"/>
      <c r="G17" s="179"/>
      <c r="H17" s="235"/>
      <c r="I17" s="235"/>
      <c r="J17" s="235"/>
    </row>
    <row r="18">
      <c r="A18" s="68" t="s">
        <v>206</v>
      </c>
      <c r="B18" s="260">
        <f>'Исходные данные'!C19</f>
        <v>77</v>
      </c>
      <c r="C18" s="248"/>
      <c r="D18" s="248"/>
      <c r="E18" s="248"/>
      <c r="F18" s="69"/>
      <c r="G18" s="69"/>
    </row>
    <row r="19">
      <c r="A19" s="68" t="s">
        <v>207</v>
      </c>
      <c r="B19" s="265" t="str">
        <f>'Исходные данные'!D19</f>
        <v/>
      </c>
      <c r="C19" s="179"/>
      <c r="D19" s="179"/>
      <c r="E19" s="179"/>
    </row>
    <row r="20">
      <c r="A20" s="309"/>
      <c r="B20" s="179"/>
      <c r="C20" s="179"/>
      <c r="D20" s="179"/>
      <c r="E20" s="179"/>
    </row>
    <row r="21">
      <c r="A21" s="266" t="s">
        <v>208</v>
      </c>
      <c r="B21" s="263"/>
      <c r="C21" s="263"/>
      <c r="D21" s="185"/>
      <c r="E21" s="179"/>
    </row>
    <row r="22">
      <c r="A22" s="268" t="s">
        <v>209</v>
      </c>
      <c r="B22" s="269" t="s">
        <v>210</v>
      </c>
      <c r="C22" s="93" t="s">
        <v>5</v>
      </c>
      <c r="D22" s="269" t="s">
        <v>211</v>
      </c>
    </row>
    <row r="23">
      <c r="A23" s="300" t="s">
        <v>242</v>
      </c>
      <c r="B23" s="301"/>
      <c r="C23" s="301">
        <v>12.0</v>
      </c>
      <c r="D23" s="301">
        <f t="shared" ref="D23:D25" si="5">B23/C23</f>
        <v>0</v>
      </c>
    </row>
    <row r="24">
      <c r="A24" s="68" t="s">
        <v>243</v>
      </c>
      <c r="B24" s="301"/>
      <c r="C24" s="301">
        <v>12.0</v>
      </c>
      <c r="D24" s="301">
        <f t="shared" si="5"/>
        <v>0</v>
      </c>
    </row>
    <row r="25">
      <c r="A25" s="310" t="s">
        <v>244</v>
      </c>
      <c r="B25" s="301"/>
      <c r="C25" s="301">
        <v>12.0</v>
      </c>
      <c r="D25" s="301">
        <f t="shared" si="5"/>
        <v>0</v>
      </c>
    </row>
    <row r="26">
      <c r="A26" s="68"/>
      <c r="B26" s="303"/>
      <c r="C26" s="303"/>
      <c r="D26" s="177"/>
    </row>
    <row r="27">
      <c r="A27" s="304"/>
      <c r="B27" s="303"/>
      <c r="C27" s="303"/>
      <c r="D27" s="303">
        <f>SUM(D23:D26)</f>
        <v>0</v>
      </c>
    </row>
  </sheetData>
  <mergeCells count="2">
    <mergeCell ref="A15:H15"/>
    <mergeCell ref="A21:D21"/>
  </mergeCells>
  <drawing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13"/>
    <col customWidth="1" min="2" max="2" width="12.13"/>
    <col customWidth="1" min="3" max="3" width="10.63"/>
    <col customWidth="1" min="4" max="4" width="14.38"/>
    <col customWidth="1" min="6" max="6" width="9.63"/>
    <col customWidth="1" min="7" max="7" width="14.88"/>
    <col customWidth="1" min="8" max="8" width="8.88"/>
    <col customWidth="1" min="9" max="9" width="16.38"/>
  </cols>
  <sheetData>
    <row r="1">
      <c r="A1" s="251"/>
      <c r="B1" s="74"/>
      <c r="C1" s="74"/>
      <c r="D1" s="74"/>
      <c r="E1" s="178"/>
      <c r="F1" s="235"/>
      <c r="G1" s="179"/>
      <c r="H1" s="179"/>
      <c r="I1" s="297"/>
    </row>
    <row r="2">
      <c r="A2" s="252" t="s">
        <v>41</v>
      </c>
      <c r="B2" s="253" t="s">
        <v>195</v>
      </c>
      <c r="C2" s="253" t="s">
        <v>196</v>
      </c>
      <c r="D2" s="253" t="s">
        <v>197</v>
      </c>
      <c r="E2" s="253" t="s">
        <v>4</v>
      </c>
      <c r="F2" s="249" t="s">
        <v>5</v>
      </c>
      <c r="G2" s="249" t="s">
        <v>6</v>
      </c>
      <c r="H2" s="253" t="s">
        <v>9</v>
      </c>
      <c r="I2" s="254" t="s">
        <v>198</v>
      </c>
    </row>
    <row r="3">
      <c r="A3" s="87" t="s">
        <v>232</v>
      </c>
      <c r="B3" s="98">
        <f>'Исходные данные'!D10</f>
        <v>276</v>
      </c>
      <c r="C3" s="98">
        <f>'Исходные данные'!E16</f>
        <v>232</v>
      </c>
      <c r="D3" s="34"/>
      <c r="E3" s="54">
        <v>402810.0</v>
      </c>
      <c r="F3" s="256">
        <v>12.0</v>
      </c>
      <c r="G3" s="163">
        <f t="shared" ref="G3:G10" si="1">E3/F3</f>
        <v>33567.5</v>
      </c>
      <c r="H3" s="72"/>
      <c r="I3" s="282">
        <f t="shared" ref="I3:I4" si="2">G3/B3*C3</f>
        <v>28216.15942</v>
      </c>
    </row>
    <row r="4">
      <c r="A4" s="87" t="s">
        <v>233</v>
      </c>
      <c r="B4" s="98">
        <f>'Исходные данные'!E13</f>
        <v>30</v>
      </c>
      <c r="C4" s="98">
        <f>'Исходные данные'!H16</f>
        <v>2</v>
      </c>
      <c r="D4" s="134"/>
      <c r="E4" s="177">
        <v>305868.0</v>
      </c>
      <c r="F4" s="256">
        <v>12.0</v>
      </c>
      <c r="G4" s="163">
        <f t="shared" si="1"/>
        <v>25489</v>
      </c>
      <c r="H4" s="72"/>
      <c r="I4" s="282">
        <f t="shared" si="2"/>
        <v>1699.266667</v>
      </c>
    </row>
    <row r="5">
      <c r="A5" s="87" t="s">
        <v>245</v>
      </c>
      <c r="B5" s="134"/>
      <c r="C5" s="134"/>
      <c r="D5" s="134"/>
      <c r="E5" s="255">
        <v>86738.32</v>
      </c>
      <c r="F5" s="256">
        <v>12.0</v>
      </c>
      <c r="G5" s="163">
        <f t="shared" si="1"/>
        <v>7228.193333</v>
      </c>
      <c r="H5" s="72"/>
      <c r="I5" s="282">
        <f t="shared" ref="I5:I10" si="3">G5</f>
        <v>7228.193333</v>
      </c>
    </row>
    <row r="6">
      <c r="A6" s="87" t="s">
        <v>202</v>
      </c>
      <c r="B6" s="134"/>
      <c r="C6" s="134"/>
      <c r="D6" s="134"/>
      <c r="E6" s="255">
        <f>70501.94+11000+4793</f>
        <v>86294.94</v>
      </c>
      <c r="F6" s="256">
        <v>12.0</v>
      </c>
      <c r="G6" s="163">
        <f t="shared" si="1"/>
        <v>7191.245</v>
      </c>
      <c r="H6" s="72"/>
      <c r="I6" s="282">
        <f t="shared" si="3"/>
        <v>7191.245</v>
      </c>
    </row>
    <row r="7">
      <c r="A7" s="87" t="s">
        <v>148</v>
      </c>
      <c r="B7" s="134"/>
      <c r="C7" s="134"/>
      <c r="D7" s="134"/>
      <c r="E7" s="177">
        <v>128366.0</v>
      </c>
      <c r="F7" s="256">
        <v>12.0</v>
      </c>
      <c r="G7" s="163">
        <f t="shared" si="1"/>
        <v>10697.16667</v>
      </c>
      <c r="H7" s="72"/>
      <c r="I7" s="282">
        <f t="shared" si="3"/>
        <v>10697.16667</v>
      </c>
    </row>
    <row r="8">
      <c r="A8" s="87" t="s">
        <v>150</v>
      </c>
      <c r="B8" s="134"/>
      <c r="C8" s="134"/>
      <c r="D8" s="134"/>
      <c r="E8" s="177">
        <v>0.0</v>
      </c>
      <c r="F8" s="256">
        <v>12.0</v>
      </c>
      <c r="G8" s="163">
        <f t="shared" si="1"/>
        <v>0</v>
      </c>
      <c r="H8" s="72"/>
      <c r="I8" s="282">
        <f t="shared" si="3"/>
        <v>0</v>
      </c>
    </row>
    <row r="9">
      <c r="A9" s="87" t="s">
        <v>149</v>
      </c>
      <c r="B9" s="134"/>
      <c r="C9" s="134"/>
      <c r="D9" s="134"/>
      <c r="E9" s="177">
        <v>0.0</v>
      </c>
      <c r="F9" s="256">
        <v>12.0</v>
      </c>
      <c r="G9" s="163">
        <f t="shared" si="1"/>
        <v>0</v>
      </c>
      <c r="H9" s="72"/>
      <c r="I9" s="282">
        <f t="shared" si="3"/>
        <v>0</v>
      </c>
    </row>
    <row r="10">
      <c r="A10" s="293" t="s">
        <v>203</v>
      </c>
      <c r="B10" s="134"/>
      <c r="C10" s="134"/>
      <c r="D10" s="134"/>
      <c r="E10" s="177"/>
      <c r="F10" s="256">
        <v>12.0</v>
      </c>
      <c r="G10" s="163">
        <f t="shared" si="1"/>
        <v>0</v>
      </c>
      <c r="H10" s="72"/>
      <c r="I10" s="282">
        <f t="shared" si="3"/>
        <v>0</v>
      </c>
    </row>
    <row r="11">
      <c r="A11" s="293" t="s">
        <v>246</v>
      </c>
      <c r="B11" s="134"/>
      <c r="C11" s="134"/>
      <c r="D11" s="134"/>
      <c r="E11" s="177"/>
      <c r="F11" s="256"/>
      <c r="G11" s="163">
        <f>D24</f>
        <v>0</v>
      </c>
      <c r="H11" s="72"/>
      <c r="I11" s="282">
        <f>D28</f>
        <v>2833.333333</v>
      </c>
    </row>
    <row r="12">
      <c r="A12" s="293" t="s">
        <v>204</v>
      </c>
      <c r="B12" s="134"/>
      <c r="C12" s="134"/>
      <c r="D12" s="134"/>
      <c r="E12" s="177"/>
      <c r="F12" s="256">
        <v>12.0</v>
      </c>
      <c r="G12" s="163">
        <f>E12/F12</f>
        <v>0</v>
      </c>
      <c r="H12" s="72"/>
      <c r="I12" s="282">
        <f>G12</f>
        <v>0</v>
      </c>
    </row>
    <row r="13">
      <c r="A13" s="68" t="s">
        <v>152</v>
      </c>
      <c r="B13" s="72"/>
      <c r="C13" s="71"/>
      <c r="D13" s="265">
        <f>B18+B19</f>
        <v>4110</v>
      </c>
      <c r="E13" s="72"/>
      <c r="F13" s="249"/>
      <c r="G13" s="72"/>
      <c r="H13" s="259">
        <f>'Общие расходы ГЭ'!G16</f>
        <v>9.195626292</v>
      </c>
      <c r="I13" s="282">
        <f t="shared" ref="I13:I15" si="4">D13*H13</f>
        <v>37794.02406</v>
      </c>
    </row>
    <row r="14">
      <c r="A14" s="68" t="s">
        <v>235</v>
      </c>
      <c r="B14" s="72"/>
      <c r="C14" s="71"/>
      <c r="D14" s="265">
        <f>B18+B19</f>
        <v>4110</v>
      </c>
      <c r="E14" s="72"/>
      <c r="F14" s="249"/>
      <c r="G14" s="72"/>
      <c r="H14" s="259">
        <f>'Общие расходы г. Тюмень'!F4</f>
        <v>0.2743933235</v>
      </c>
      <c r="I14" s="282">
        <f t="shared" si="4"/>
        <v>1127.756559</v>
      </c>
    </row>
    <row r="15">
      <c r="A15" s="68" t="s">
        <v>156</v>
      </c>
      <c r="B15" s="72"/>
      <c r="C15" s="71"/>
      <c r="D15" s="265">
        <f>B18+B19</f>
        <v>4110</v>
      </c>
      <c r="E15" s="72"/>
      <c r="F15" s="249"/>
      <c r="G15" s="72"/>
      <c r="H15" s="250">
        <f>'Общие расходы г. Тюмень'!F30</f>
        <v>0.7480139342</v>
      </c>
      <c r="I15" s="282">
        <f t="shared" si="4"/>
        <v>3074.33727</v>
      </c>
    </row>
    <row r="16">
      <c r="A16" s="311"/>
      <c r="B16" s="291"/>
      <c r="C16" s="289"/>
      <c r="D16" s="289"/>
      <c r="E16" s="291"/>
      <c r="F16" s="290"/>
      <c r="G16" s="291"/>
      <c r="H16" s="290"/>
      <c r="I16" s="282">
        <f>SUM(I3:I15)</f>
        <v>99861.48231</v>
      </c>
    </row>
    <row r="17">
      <c r="A17" s="251"/>
      <c r="B17" s="179"/>
      <c r="C17" s="179"/>
      <c r="D17" s="179"/>
      <c r="E17" s="179"/>
      <c r="F17" s="235"/>
      <c r="G17" s="179"/>
      <c r="H17" s="179"/>
      <c r="I17" s="297"/>
    </row>
    <row r="18">
      <c r="A18" s="68" t="s">
        <v>205</v>
      </c>
      <c r="B18" s="260">
        <f>'Исходные данные'!B16</f>
        <v>4024</v>
      </c>
      <c r="C18" s="179"/>
      <c r="D18" s="179"/>
      <c r="E18" s="179"/>
      <c r="F18" s="235"/>
      <c r="G18" s="179"/>
      <c r="H18" s="179"/>
      <c r="I18" s="297"/>
    </row>
    <row r="19">
      <c r="A19" s="68" t="s">
        <v>206</v>
      </c>
      <c r="B19" s="260">
        <f>'Исходные данные'!C16</f>
        <v>86</v>
      </c>
      <c r="C19" s="179"/>
      <c r="D19" s="179"/>
      <c r="E19" s="179"/>
      <c r="F19" s="235"/>
      <c r="G19" s="179"/>
      <c r="H19" s="179"/>
      <c r="I19" s="297"/>
    </row>
    <row r="20">
      <c r="A20" s="68" t="s">
        <v>207</v>
      </c>
      <c r="B20" s="260" t="str">
        <f>'Исходные данные'!D16</f>
        <v/>
      </c>
      <c r="C20" s="179"/>
      <c r="D20" s="179"/>
      <c r="E20" s="179"/>
      <c r="F20" s="235"/>
      <c r="G20" s="179"/>
      <c r="H20" s="179"/>
      <c r="I20" s="297"/>
    </row>
    <row r="21">
      <c r="A21" s="292"/>
      <c r="B21" s="248"/>
      <c r="C21" s="248"/>
      <c r="D21" s="248"/>
      <c r="E21" s="248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</row>
    <row r="22">
      <c r="A22" s="266" t="s">
        <v>208</v>
      </c>
      <c r="B22" s="263"/>
      <c r="C22" s="263"/>
      <c r="D22" s="185"/>
    </row>
    <row r="23">
      <c r="A23" s="268" t="s">
        <v>209</v>
      </c>
      <c r="B23" s="269" t="s">
        <v>210</v>
      </c>
      <c r="C23" s="93" t="s">
        <v>5</v>
      </c>
      <c r="D23" s="269" t="s">
        <v>211</v>
      </c>
    </row>
    <row r="24">
      <c r="A24" s="300" t="s">
        <v>242</v>
      </c>
      <c r="B24" s="301"/>
      <c r="C24" s="301">
        <v>12.0</v>
      </c>
      <c r="D24" s="301">
        <f t="shared" ref="D24:D25" si="5">B24/C24</f>
        <v>0</v>
      </c>
    </row>
    <row r="25">
      <c r="A25" s="68" t="s">
        <v>217</v>
      </c>
      <c r="B25" s="301">
        <f>24000+10000</f>
        <v>34000</v>
      </c>
      <c r="C25" s="301">
        <v>12.0</v>
      </c>
      <c r="D25" s="301">
        <f t="shared" si="5"/>
        <v>2833.333333</v>
      </c>
    </row>
    <row r="26">
      <c r="A26" s="305"/>
      <c r="B26" s="301"/>
      <c r="C26" s="303"/>
      <c r="D26" s="301"/>
    </row>
    <row r="27">
      <c r="A27" s="68"/>
      <c r="B27" s="303"/>
      <c r="C27" s="303"/>
      <c r="D27" s="177"/>
    </row>
    <row r="28">
      <c r="A28" s="304"/>
      <c r="B28" s="303"/>
      <c r="C28" s="303"/>
      <c r="D28" s="303">
        <f>SUM(D24:D27)</f>
        <v>2833.333333</v>
      </c>
    </row>
    <row r="29">
      <c r="A29" s="251"/>
    </row>
    <row r="30">
      <c r="A30" s="251"/>
    </row>
    <row r="31">
      <c r="A31" s="251"/>
    </row>
    <row r="32">
      <c r="A32" s="251"/>
    </row>
    <row r="33">
      <c r="A33" s="251"/>
    </row>
    <row r="34">
      <c r="A34" s="251"/>
    </row>
    <row r="35">
      <c r="A35" s="251"/>
    </row>
    <row r="36">
      <c r="A36" s="251"/>
    </row>
    <row r="37">
      <c r="A37" s="251"/>
    </row>
    <row r="38">
      <c r="A38" s="251"/>
    </row>
    <row r="39">
      <c r="A39" s="251"/>
    </row>
    <row r="40">
      <c r="A40" s="251"/>
    </row>
    <row r="41">
      <c r="A41" s="251"/>
    </row>
    <row r="42">
      <c r="A42" s="251"/>
    </row>
    <row r="43">
      <c r="A43" s="251"/>
    </row>
    <row r="44">
      <c r="A44" s="251"/>
    </row>
    <row r="45">
      <c r="A45" s="251"/>
    </row>
    <row r="46">
      <c r="A46" s="251"/>
    </row>
    <row r="47">
      <c r="A47" s="251"/>
    </row>
    <row r="48">
      <c r="A48" s="251"/>
    </row>
    <row r="49">
      <c r="A49" s="251"/>
    </row>
    <row r="50">
      <c r="A50" s="251"/>
    </row>
    <row r="51">
      <c r="A51" s="251"/>
    </row>
    <row r="52">
      <c r="A52" s="251"/>
    </row>
    <row r="53">
      <c r="A53" s="251"/>
    </row>
    <row r="54">
      <c r="A54" s="251"/>
    </row>
    <row r="55">
      <c r="A55" s="251"/>
    </row>
    <row r="56">
      <c r="A56" s="251"/>
    </row>
    <row r="57">
      <c r="A57" s="251"/>
    </row>
    <row r="58">
      <c r="A58" s="251"/>
    </row>
    <row r="59">
      <c r="A59" s="251"/>
    </row>
    <row r="60">
      <c r="A60" s="251"/>
    </row>
    <row r="61">
      <c r="A61" s="251"/>
    </row>
    <row r="62">
      <c r="A62" s="251"/>
    </row>
    <row r="63">
      <c r="A63" s="251"/>
    </row>
    <row r="64">
      <c r="A64" s="251"/>
    </row>
    <row r="65">
      <c r="A65" s="251"/>
    </row>
    <row r="66">
      <c r="A66" s="251"/>
    </row>
    <row r="67">
      <c r="A67" s="251"/>
    </row>
    <row r="68">
      <c r="A68" s="251"/>
    </row>
    <row r="69">
      <c r="A69" s="251"/>
    </row>
    <row r="70">
      <c r="A70" s="251"/>
    </row>
    <row r="71">
      <c r="A71" s="251"/>
    </row>
    <row r="72">
      <c r="A72" s="251"/>
    </row>
    <row r="73">
      <c r="A73" s="251"/>
    </row>
    <row r="74">
      <c r="A74" s="251"/>
    </row>
    <row r="75">
      <c r="A75" s="251"/>
    </row>
    <row r="76">
      <c r="A76" s="251"/>
    </row>
    <row r="77">
      <c r="A77" s="251"/>
    </row>
    <row r="78">
      <c r="A78" s="251"/>
    </row>
    <row r="79">
      <c r="A79" s="251"/>
    </row>
    <row r="80">
      <c r="A80" s="251"/>
    </row>
    <row r="81">
      <c r="A81" s="251"/>
    </row>
    <row r="82">
      <c r="A82" s="251"/>
    </row>
    <row r="83">
      <c r="A83" s="251"/>
    </row>
    <row r="84">
      <c r="A84" s="251"/>
    </row>
    <row r="85">
      <c r="A85" s="251"/>
    </row>
    <row r="86">
      <c r="A86" s="251"/>
    </row>
    <row r="87">
      <c r="A87" s="251"/>
    </row>
    <row r="88">
      <c r="A88" s="251"/>
    </row>
    <row r="89">
      <c r="A89" s="251"/>
    </row>
    <row r="90">
      <c r="A90" s="251"/>
    </row>
    <row r="91">
      <c r="A91" s="251"/>
    </row>
    <row r="92">
      <c r="A92" s="251"/>
    </row>
    <row r="93">
      <c r="A93" s="251"/>
    </row>
    <row r="94">
      <c r="A94" s="251"/>
    </row>
    <row r="95">
      <c r="A95" s="251"/>
    </row>
    <row r="96">
      <c r="A96" s="251"/>
    </row>
    <row r="97">
      <c r="A97" s="251"/>
    </row>
    <row r="98">
      <c r="A98" s="251"/>
    </row>
    <row r="99">
      <c r="A99" s="251"/>
    </row>
    <row r="100">
      <c r="A100" s="251"/>
    </row>
    <row r="101">
      <c r="A101" s="251"/>
    </row>
    <row r="102">
      <c r="A102" s="251"/>
    </row>
    <row r="103">
      <c r="A103" s="251"/>
    </row>
    <row r="104">
      <c r="A104" s="251"/>
    </row>
    <row r="105">
      <c r="A105" s="251"/>
    </row>
    <row r="106">
      <c r="A106" s="251"/>
    </row>
    <row r="107">
      <c r="A107" s="251"/>
    </row>
    <row r="108">
      <c r="A108" s="251"/>
    </row>
    <row r="109">
      <c r="A109" s="251"/>
    </row>
    <row r="110">
      <c r="A110" s="251"/>
    </row>
    <row r="111">
      <c r="A111" s="251"/>
    </row>
    <row r="112">
      <c r="A112" s="251"/>
    </row>
    <row r="113">
      <c r="A113" s="251"/>
    </row>
    <row r="114">
      <c r="A114" s="251"/>
    </row>
    <row r="115">
      <c r="A115" s="251"/>
    </row>
    <row r="116">
      <c r="A116" s="251"/>
    </row>
    <row r="117">
      <c r="A117" s="251"/>
    </row>
    <row r="118">
      <c r="A118" s="251"/>
    </row>
    <row r="119">
      <c r="A119" s="251"/>
    </row>
    <row r="120">
      <c r="A120" s="251"/>
    </row>
    <row r="121">
      <c r="A121" s="251"/>
    </row>
    <row r="122">
      <c r="A122" s="251"/>
    </row>
    <row r="123">
      <c r="A123" s="251"/>
    </row>
    <row r="124">
      <c r="A124" s="251"/>
    </row>
    <row r="125">
      <c r="A125" s="251"/>
    </row>
    <row r="126">
      <c r="A126" s="251"/>
    </row>
    <row r="127">
      <c r="A127" s="251"/>
    </row>
    <row r="128">
      <c r="A128" s="251"/>
    </row>
    <row r="129">
      <c r="A129" s="251"/>
    </row>
    <row r="130">
      <c r="A130" s="251"/>
    </row>
    <row r="131">
      <c r="A131" s="251"/>
    </row>
    <row r="132">
      <c r="A132" s="251"/>
    </row>
    <row r="133">
      <c r="A133" s="251"/>
    </row>
    <row r="134">
      <c r="A134" s="251"/>
    </row>
    <row r="135">
      <c r="A135" s="251"/>
    </row>
    <row r="136">
      <c r="A136" s="251"/>
    </row>
    <row r="137">
      <c r="A137" s="251"/>
    </row>
    <row r="138">
      <c r="A138" s="251"/>
    </row>
    <row r="139">
      <c r="A139" s="251"/>
    </row>
    <row r="140">
      <c r="A140" s="251"/>
    </row>
    <row r="141">
      <c r="A141" s="251"/>
    </row>
    <row r="142">
      <c r="A142" s="251"/>
    </row>
    <row r="143">
      <c r="A143" s="251"/>
    </row>
    <row r="144">
      <c r="A144" s="251"/>
    </row>
    <row r="145">
      <c r="A145" s="251"/>
    </row>
    <row r="146">
      <c r="A146" s="251"/>
    </row>
    <row r="147">
      <c r="A147" s="251"/>
    </row>
    <row r="148">
      <c r="A148" s="251"/>
    </row>
    <row r="149">
      <c r="A149" s="251"/>
    </row>
    <row r="150">
      <c r="A150" s="251"/>
    </row>
    <row r="151">
      <c r="A151" s="251"/>
    </row>
    <row r="152">
      <c r="A152" s="251"/>
    </row>
    <row r="153">
      <c r="A153" s="251"/>
    </row>
    <row r="154">
      <c r="A154" s="251"/>
    </row>
    <row r="155">
      <c r="A155" s="251"/>
    </row>
    <row r="156">
      <c r="A156" s="251"/>
    </row>
    <row r="157">
      <c r="A157" s="251"/>
    </row>
    <row r="158">
      <c r="A158" s="251"/>
    </row>
    <row r="159">
      <c r="A159" s="251"/>
    </row>
    <row r="160">
      <c r="A160" s="251"/>
    </row>
    <row r="161">
      <c r="A161" s="251"/>
    </row>
    <row r="162">
      <c r="A162" s="251"/>
    </row>
    <row r="163">
      <c r="A163" s="251"/>
    </row>
    <row r="164">
      <c r="A164" s="251"/>
    </row>
    <row r="165">
      <c r="A165" s="251"/>
    </row>
    <row r="166">
      <c r="A166" s="251"/>
    </row>
    <row r="167">
      <c r="A167" s="251"/>
    </row>
    <row r="168">
      <c r="A168" s="251"/>
    </row>
    <row r="169">
      <c r="A169" s="251"/>
    </row>
    <row r="170">
      <c r="A170" s="251"/>
    </row>
    <row r="171">
      <c r="A171" s="251"/>
    </row>
    <row r="172">
      <c r="A172" s="251"/>
    </row>
    <row r="173">
      <c r="A173" s="251"/>
    </row>
    <row r="174">
      <c r="A174" s="251"/>
    </row>
    <row r="175">
      <c r="A175" s="251"/>
    </row>
    <row r="176">
      <c r="A176" s="251"/>
    </row>
    <row r="177">
      <c r="A177" s="251"/>
    </row>
    <row r="178">
      <c r="A178" s="251"/>
    </row>
    <row r="179">
      <c r="A179" s="251"/>
    </row>
    <row r="180">
      <c r="A180" s="251"/>
    </row>
    <row r="181">
      <c r="A181" s="251"/>
    </row>
    <row r="182">
      <c r="A182" s="251"/>
    </row>
    <row r="183">
      <c r="A183" s="251"/>
    </row>
    <row r="184">
      <c r="A184" s="251"/>
    </row>
    <row r="185">
      <c r="A185" s="251"/>
    </row>
    <row r="186">
      <c r="A186" s="251"/>
    </row>
    <row r="187">
      <c r="A187" s="251"/>
    </row>
    <row r="188">
      <c r="A188" s="251"/>
    </row>
    <row r="189">
      <c r="A189" s="251"/>
    </row>
    <row r="190">
      <c r="A190" s="251"/>
    </row>
    <row r="191">
      <c r="A191" s="251"/>
    </row>
    <row r="192">
      <c r="A192" s="251"/>
    </row>
    <row r="193">
      <c r="A193" s="251"/>
    </row>
    <row r="194">
      <c r="A194" s="251"/>
    </row>
    <row r="195">
      <c r="A195" s="251"/>
    </row>
    <row r="196">
      <c r="A196" s="251"/>
    </row>
    <row r="197">
      <c r="A197" s="251"/>
    </row>
    <row r="198">
      <c r="A198" s="251"/>
    </row>
    <row r="199">
      <c r="A199" s="251"/>
    </row>
    <row r="200">
      <c r="A200" s="251"/>
    </row>
    <row r="201">
      <c r="A201" s="251"/>
    </row>
    <row r="202">
      <c r="A202" s="251"/>
    </row>
    <row r="203">
      <c r="A203" s="251"/>
    </row>
    <row r="204">
      <c r="A204" s="251"/>
    </row>
    <row r="205">
      <c r="A205" s="251"/>
    </row>
    <row r="206">
      <c r="A206" s="251"/>
    </row>
    <row r="207">
      <c r="A207" s="251"/>
    </row>
    <row r="208">
      <c r="A208" s="251"/>
    </row>
    <row r="209">
      <c r="A209" s="251"/>
    </row>
    <row r="210">
      <c r="A210" s="251"/>
    </row>
    <row r="211">
      <c r="A211" s="251"/>
    </row>
    <row r="212">
      <c r="A212" s="251"/>
    </row>
    <row r="213">
      <c r="A213" s="251"/>
    </row>
    <row r="214">
      <c r="A214" s="251"/>
    </row>
    <row r="215">
      <c r="A215" s="251"/>
    </row>
    <row r="216">
      <c r="A216" s="251"/>
    </row>
    <row r="217">
      <c r="A217" s="251"/>
    </row>
    <row r="218">
      <c r="A218" s="251"/>
    </row>
    <row r="219">
      <c r="A219" s="251"/>
    </row>
    <row r="220">
      <c r="A220" s="251"/>
    </row>
    <row r="221">
      <c r="A221" s="251"/>
    </row>
    <row r="222">
      <c r="A222" s="251"/>
    </row>
    <row r="223">
      <c r="A223" s="251"/>
    </row>
    <row r="224">
      <c r="A224" s="251"/>
    </row>
    <row r="225">
      <c r="A225" s="251"/>
    </row>
    <row r="226">
      <c r="A226" s="251"/>
    </row>
    <row r="227">
      <c r="A227" s="251"/>
    </row>
    <row r="228">
      <c r="A228" s="251"/>
    </row>
    <row r="229">
      <c r="A229" s="251"/>
    </row>
    <row r="230">
      <c r="A230" s="251"/>
    </row>
    <row r="231">
      <c r="A231" s="251"/>
    </row>
    <row r="232">
      <c r="A232" s="251"/>
    </row>
    <row r="233">
      <c r="A233" s="251"/>
    </row>
    <row r="234">
      <c r="A234" s="251"/>
    </row>
    <row r="235">
      <c r="A235" s="251"/>
    </row>
    <row r="236">
      <c r="A236" s="251"/>
    </row>
    <row r="237">
      <c r="A237" s="251"/>
    </row>
    <row r="238">
      <c r="A238" s="251"/>
    </row>
    <row r="239">
      <c r="A239" s="251"/>
    </row>
    <row r="240">
      <c r="A240" s="251"/>
    </row>
    <row r="241">
      <c r="A241" s="251"/>
    </row>
    <row r="242">
      <c r="A242" s="251"/>
    </row>
    <row r="243">
      <c r="A243" s="251"/>
    </row>
    <row r="244">
      <c r="A244" s="251"/>
    </row>
    <row r="245">
      <c r="A245" s="251"/>
    </row>
    <row r="246">
      <c r="A246" s="251"/>
    </row>
    <row r="247">
      <c r="A247" s="251"/>
    </row>
    <row r="248">
      <c r="A248" s="251"/>
    </row>
    <row r="249">
      <c r="A249" s="251"/>
    </row>
    <row r="250">
      <c r="A250" s="251"/>
    </row>
    <row r="251">
      <c r="A251" s="251"/>
    </row>
    <row r="252">
      <c r="A252" s="251"/>
    </row>
    <row r="253">
      <c r="A253" s="251"/>
    </row>
    <row r="254">
      <c r="A254" s="251"/>
    </row>
    <row r="255">
      <c r="A255" s="251"/>
    </row>
    <row r="256">
      <c r="A256" s="251"/>
    </row>
    <row r="257">
      <c r="A257" s="251"/>
    </row>
    <row r="258">
      <c r="A258" s="251"/>
    </row>
    <row r="259">
      <c r="A259" s="251"/>
    </row>
    <row r="260">
      <c r="A260" s="251"/>
    </row>
    <row r="261">
      <c r="A261" s="251"/>
    </row>
    <row r="262">
      <c r="A262" s="251"/>
    </row>
    <row r="263">
      <c r="A263" s="251"/>
    </row>
    <row r="264">
      <c r="A264" s="251"/>
    </row>
    <row r="265">
      <c r="A265" s="251"/>
    </row>
    <row r="266">
      <c r="A266" s="251"/>
    </row>
    <row r="267">
      <c r="A267" s="251"/>
    </row>
    <row r="268">
      <c r="A268" s="251"/>
    </row>
    <row r="269">
      <c r="A269" s="251"/>
    </row>
    <row r="270">
      <c r="A270" s="251"/>
    </row>
    <row r="271">
      <c r="A271" s="251"/>
    </row>
    <row r="272">
      <c r="A272" s="251"/>
    </row>
    <row r="273">
      <c r="A273" s="251"/>
    </row>
    <row r="274">
      <c r="A274" s="251"/>
    </row>
    <row r="275">
      <c r="A275" s="251"/>
    </row>
    <row r="276">
      <c r="A276" s="251"/>
    </row>
    <row r="277">
      <c r="A277" s="251"/>
    </row>
    <row r="278">
      <c r="A278" s="251"/>
    </row>
    <row r="279">
      <c r="A279" s="251"/>
    </row>
    <row r="280">
      <c r="A280" s="251"/>
    </row>
    <row r="281">
      <c r="A281" s="251"/>
    </row>
    <row r="282">
      <c r="A282" s="251"/>
    </row>
    <row r="283">
      <c r="A283" s="251"/>
    </row>
    <row r="284">
      <c r="A284" s="251"/>
    </row>
    <row r="285">
      <c r="A285" s="251"/>
    </row>
    <row r="286">
      <c r="A286" s="251"/>
    </row>
    <row r="287">
      <c r="A287" s="251"/>
    </row>
    <row r="288">
      <c r="A288" s="251"/>
    </row>
    <row r="289">
      <c r="A289" s="251"/>
    </row>
    <row r="290">
      <c r="A290" s="251"/>
    </row>
    <row r="291">
      <c r="A291" s="251"/>
    </row>
    <row r="292">
      <c r="A292" s="251"/>
    </row>
    <row r="293">
      <c r="A293" s="251"/>
    </row>
    <row r="294">
      <c r="A294" s="251"/>
    </row>
    <row r="295">
      <c r="A295" s="251"/>
    </row>
    <row r="296">
      <c r="A296" s="251"/>
    </row>
    <row r="297">
      <c r="A297" s="251"/>
    </row>
    <row r="298">
      <c r="A298" s="251"/>
    </row>
    <row r="299">
      <c r="A299" s="251"/>
    </row>
    <row r="300">
      <c r="A300" s="251"/>
    </row>
    <row r="301">
      <c r="A301" s="251"/>
    </row>
    <row r="302">
      <c r="A302" s="251"/>
    </row>
    <row r="303">
      <c r="A303" s="251"/>
    </row>
    <row r="304">
      <c r="A304" s="251"/>
    </row>
    <row r="305">
      <c r="A305" s="251"/>
    </row>
    <row r="306">
      <c r="A306" s="251"/>
    </row>
    <row r="307">
      <c r="A307" s="251"/>
    </row>
    <row r="308">
      <c r="A308" s="251"/>
    </row>
    <row r="309">
      <c r="A309" s="251"/>
    </row>
    <row r="310">
      <c r="A310" s="251"/>
    </row>
    <row r="311">
      <c r="A311" s="251"/>
    </row>
    <row r="312">
      <c r="A312" s="251"/>
    </row>
    <row r="313">
      <c r="A313" s="251"/>
    </row>
    <row r="314">
      <c r="A314" s="251"/>
    </row>
    <row r="315">
      <c r="A315" s="251"/>
    </row>
    <row r="316">
      <c r="A316" s="251"/>
    </row>
    <row r="317">
      <c r="A317" s="251"/>
    </row>
    <row r="318">
      <c r="A318" s="251"/>
    </row>
    <row r="319">
      <c r="A319" s="251"/>
    </row>
    <row r="320">
      <c r="A320" s="251"/>
    </row>
    <row r="321">
      <c r="A321" s="251"/>
    </row>
    <row r="322">
      <c r="A322" s="251"/>
    </row>
    <row r="323">
      <c r="A323" s="251"/>
    </row>
    <row r="324">
      <c r="A324" s="251"/>
    </row>
    <row r="325">
      <c r="A325" s="251"/>
    </row>
    <row r="326">
      <c r="A326" s="251"/>
    </row>
    <row r="327">
      <c r="A327" s="251"/>
    </row>
    <row r="328">
      <c r="A328" s="251"/>
    </row>
    <row r="329">
      <c r="A329" s="251"/>
    </row>
    <row r="330">
      <c r="A330" s="251"/>
    </row>
    <row r="331">
      <c r="A331" s="251"/>
    </row>
    <row r="332">
      <c r="A332" s="251"/>
    </row>
    <row r="333">
      <c r="A333" s="251"/>
    </row>
    <row r="334">
      <c r="A334" s="251"/>
    </row>
    <row r="335">
      <c r="A335" s="251"/>
    </row>
    <row r="336">
      <c r="A336" s="251"/>
    </row>
    <row r="337">
      <c r="A337" s="251"/>
    </row>
    <row r="338">
      <c r="A338" s="251"/>
    </row>
    <row r="339">
      <c r="A339" s="251"/>
    </row>
    <row r="340">
      <c r="A340" s="251"/>
    </row>
    <row r="341">
      <c r="A341" s="251"/>
    </row>
    <row r="342">
      <c r="A342" s="251"/>
    </row>
    <row r="343">
      <c r="A343" s="251"/>
    </row>
    <row r="344">
      <c r="A344" s="251"/>
    </row>
    <row r="345">
      <c r="A345" s="251"/>
    </row>
    <row r="346">
      <c r="A346" s="251"/>
    </row>
    <row r="347">
      <c r="A347" s="251"/>
    </row>
    <row r="348">
      <c r="A348" s="251"/>
    </row>
    <row r="349">
      <c r="A349" s="251"/>
    </row>
    <row r="350">
      <c r="A350" s="251"/>
    </row>
    <row r="351">
      <c r="A351" s="251"/>
    </row>
    <row r="352">
      <c r="A352" s="251"/>
    </row>
    <row r="353">
      <c r="A353" s="251"/>
    </row>
    <row r="354">
      <c r="A354" s="251"/>
    </row>
    <row r="355">
      <c r="A355" s="251"/>
    </row>
    <row r="356">
      <c r="A356" s="251"/>
    </row>
    <row r="357">
      <c r="A357" s="251"/>
    </row>
    <row r="358">
      <c r="A358" s="251"/>
    </row>
    <row r="359">
      <c r="A359" s="251"/>
    </row>
    <row r="360">
      <c r="A360" s="251"/>
    </row>
    <row r="361">
      <c r="A361" s="251"/>
    </row>
    <row r="362">
      <c r="A362" s="251"/>
    </row>
    <row r="363">
      <c r="A363" s="251"/>
    </row>
    <row r="364">
      <c r="A364" s="251"/>
    </row>
    <row r="365">
      <c r="A365" s="251"/>
    </row>
    <row r="366">
      <c r="A366" s="251"/>
    </row>
    <row r="367">
      <c r="A367" s="251"/>
    </row>
    <row r="368">
      <c r="A368" s="251"/>
    </row>
    <row r="369">
      <c r="A369" s="251"/>
    </row>
    <row r="370">
      <c r="A370" s="251"/>
    </row>
    <row r="371">
      <c r="A371" s="251"/>
    </row>
    <row r="372">
      <c r="A372" s="251"/>
    </row>
    <row r="373">
      <c r="A373" s="251"/>
    </row>
    <row r="374">
      <c r="A374" s="251"/>
    </row>
    <row r="375">
      <c r="A375" s="251"/>
    </row>
    <row r="376">
      <c r="A376" s="251"/>
    </row>
    <row r="377">
      <c r="A377" s="251"/>
    </row>
    <row r="378">
      <c r="A378" s="251"/>
    </row>
    <row r="379">
      <c r="A379" s="251"/>
    </row>
    <row r="380">
      <c r="A380" s="251"/>
    </row>
    <row r="381">
      <c r="A381" s="251"/>
    </row>
    <row r="382">
      <c r="A382" s="251"/>
    </row>
    <row r="383">
      <c r="A383" s="251"/>
    </row>
    <row r="384">
      <c r="A384" s="251"/>
    </row>
    <row r="385">
      <c r="A385" s="251"/>
    </row>
    <row r="386">
      <c r="A386" s="251"/>
    </row>
    <row r="387">
      <c r="A387" s="251"/>
    </row>
    <row r="388">
      <c r="A388" s="251"/>
    </row>
    <row r="389">
      <c r="A389" s="251"/>
    </row>
    <row r="390">
      <c r="A390" s="251"/>
    </row>
    <row r="391">
      <c r="A391" s="251"/>
    </row>
    <row r="392">
      <c r="A392" s="251"/>
    </row>
    <row r="393">
      <c r="A393" s="251"/>
    </row>
    <row r="394">
      <c r="A394" s="251"/>
    </row>
    <row r="395">
      <c r="A395" s="251"/>
    </row>
    <row r="396">
      <c r="A396" s="251"/>
    </row>
    <row r="397">
      <c r="A397" s="251"/>
    </row>
    <row r="398">
      <c r="A398" s="251"/>
    </row>
    <row r="399">
      <c r="A399" s="251"/>
    </row>
    <row r="400">
      <c r="A400" s="251"/>
    </row>
    <row r="401">
      <c r="A401" s="251"/>
    </row>
    <row r="402">
      <c r="A402" s="251"/>
    </row>
    <row r="403">
      <c r="A403" s="251"/>
    </row>
    <row r="404">
      <c r="A404" s="251"/>
    </row>
    <row r="405">
      <c r="A405" s="251"/>
    </row>
    <row r="406">
      <c r="A406" s="251"/>
    </row>
    <row r="407">
      <c r="A407" s="251"/>
    </row>
    <row r="408">
      <c r="A408" s="251"/>
    </row>
    <row r="409">
      <c r="A409" s="251"/>
    </row>
    <row r="410">
      <c r="A410" s="251"/>
    </row>
    <row r="411">
      <c r="A411" s="251"/>
    </row>
    <row r="412">
      <c r="A412" s="251"/>
    </row>
    <row r="413">
      <c r="A413" s="251"/>
    </row>
    <row r="414">
      <c r="A414" s="251"/>
    </row>
    <row r="415">
      <c r="A415" s="251"/>
    </row>
    <row r="416">
      <c r="A416" s="251"/>
    </row>
    <row r="417">
      <c r="A417" s="251"/>
    </row>
    <row r="418">
      <c r="A418" s="251"/>
    </row>
    <row r="419">
      <c r="A419" s="251"/>
    </row>
    <row r="420">
      <c r="A420" s="251"/>
    </row>
    <row r="421">
      <c r="A421" s="251"/>
    </row>
    <row r="422">
      <c r="A422" s="251"/>
    </row>
    <row r="423">
      <c r="A423" s="251"/>
    </row>
    <row r="424">
      <c r="A424" s="251"/>
    </row>
    <row r="425">
      <c r="A425" s="251"/>
    </row>
    <row r="426">
      <c r="A426" s="251"/>
    </row>
    <row r="427">
      <c r="A427" s="251"/>
    </row>
    <row r="428">
      <c r="A428" s="251"/>
    </row>
    <row r="429">
      <c r="A429" s="251"/>
    </row>
    <row r="430">
      <c r="A430" s="251"/>
    </row>
    <row r="431">
      <c r="A431" s="251"/>
    </row>
    <row r="432">
      <c r="A432" s="251"/>
    </row>
    <row r="433">
      <c r="A433" s="251"/>
    </row>
    <row r="434">
      <c r="A434" s="251"/>
    </row>
    <row r="435">
      <c r="A435" s="251"/>
    </row>
    <row r="436">
      <c r="A436" s="251"/>
    </row>
    <row r="437">
      <c r="A437" s="251"/>
    </row>
    <row r="438">
      <c r="A438" s="251"/>
    </row>
    <row r="439">
      <c r="A439" s="251"/>
    </row>
    <row r="440">
      <c r="A440" s="251"/>
    </row>
    <row r="441">
      <c r="A441" s="251"/>
    </row>
    <row r="442">
      <c r="A442" s="251"/>
    </row>
    <row r="443">
      <c r="A443" s="251"/>
    </row>
    <row r="444">
      <c r="A444" s="251"/>
    </row>
    <row r="445">
      <c r="A445" s="251"/>
    </row>
    <row r="446">
      <c r="A446" s="251"/>
    </row>
    <row r="447">
      <c r="A447" s="251"/>
    </row>
    <row r="448">
      <c r="A448" s="251"/>
    </row>
    <row r="449">
      <c r="A449" s="251"/>
    </row>
    <row r="450">
      <c r="A450" s="251"/>
    </row>
    <row r="451">
      <c r="A451" s="251"/>
    </row>
    <row r="452">
      <c r="A452" s="251"/>
    </row>
    <row r="453">
      <c r="A453" s="251"/>
    </row>
    <row r="454">
      <c r="A454" s="251"/>
    </row>
    <row r="455">
      <c r="A455" s="251"/>
    </row>
    <row r="456">
      <c r="A456" s="251"/>
    </row>
    <row r="457">
      <c r="A457" s="251"/>
    </row>
    <row r="458">
      <c r="A458" s="251"/>
    </row>
    <row r="459">
      <c r="A459" s="251"/>
    </row>
    <row r="460">
      <c r="A460" s="251"/>
    </row>
    <row r="461">
      <c r="A461" s="251"/>
    </row>
    <row r="462">
      <c r="A462" s="251"/>
    </row>
    <row r="463">
      <c r="A463" s="251"/>
    </row>
    <row r="464">
      <c r="A464" s="251"/>
    </row>
    <row r="465">
      <c r="A465" s="251"/>
    </row>
    <row r="466">
      <c r="A466" s="251"/>
    </row>
    <row r="467">
      <c r="A467" s="251"/>
    </row>
    <row r="468">
      <c r="A468" s="251"/>
    </row>
    <row r="469">
      <c r="A469" s="251"/>
    </row>
    <row r="470">
      <c r="A470" s="251"/>
    </row>
    <row r="471">
      <c r="A471" s="251"/>
    </row>
    <row r="472">
      <c r="A472" s="251"/>
    </row>
    <row r="473">
      <c r="A473" s="251"/>
    </row>
    <row r="474">
      <c r="A474" s="251"/>
    </row>
    <row r="475">
      <c r="A475" s="251"/>
    </row>
    <row r="476">
      <c r="A476" s="251"/>
    </row>
    <row r="477">
      <c r="A477" s="251"/>
    </row>
    <row r="478">
      <c r="A478" s="251"/>
    </row>
    <row r="479">
      <c r="A479" s="251"/>
    </row>
    <row r="480">
      <c r="A480" s="251"/>
    </row>
    <row r="481">
      <c r="A481" s="251"/>
    </row>
    <row r="482">
      <c r="A482" s="251"/>
    </row>
    <row r="483">
      <c r="A483" s="251"/>
    </row>
    <row r="484">
      <c r="A484" s="251"/>
    </row>
    <row r="485">
      <c r="A485" s="251"/>
    </row>
    <row r="486">
      <c r="A486" s="251"/>
    </row>
    <row r="487">
      <c r="A487" s="251"/>
    </row>
    <row r="488">
      <c r="A488" s="251"/>
    </row>
    <row r="489">
      <c r="A489" s="251"/>
    </row>
    <row r="490">
      <c r="A490" s="251"/>
    </row>
    <row r="491">
      <c r="A491" s="251"/>
    </row>
    <row r="492">
      <c r="A492" s="251"/>
    </row>
    <row r="493">
      <c r="A493" s="251"/>
    </row>
    <row r="494">
      <c r="A494" s="251"/>
    </row>
    <row r="495">
      <c r="A495" s="251"/>
    </row>
    <row r="496">
      <c r="A496" s="251"/>
    </row>
    <row r="497">
      <c r="A497" s="251"/>
    </row>
    <row r="498">
      <c r="A498" s="251"/>
    </row>
    <row r="499">
      <c r="A499" s="251"/>
    </row>
    <row r="500">
      <c r="A500" s="251"/>
    </row>
    <row r="501">
      <c r="A501" s="251"/>
    </row>
    <row r="502">
      <c r="A502" s="251"/>
    </row>
    <row r="503">
      <c r="A503" s="251"/>
    </row>
    <row r="504">
      <c r="A504" s="251"/>
    </row>
    <row r="505">
      <c r="A505" s="251"/>
    </row>
    <row r="506">
      <c r="A506" s="251"/>
    </row>
    <row r="507">
      <c r="A507" s="251"/>
    </row>
    <row r="508">
      <c r="A508" s="251"/>
    </row>
    <row r="509">
      <c r="A509" s="251"/>
    </row>
    <row r="510">
      <c r="A510" s="251"/>
    </row>
    <row r="511">
      <c r="A511" s="251"/>
    </row>
    <row r="512">
      <c r="A512" s="251"/>
    </row>
    <row r="513">
      <c r="A513" s="251"/>
    </row>
    <row r="514">
      <c r="A514" s="251"/>
    </row>
    <row r="515">
      <c r="A515" s="251"/>
    </row>
    <row r="516">
      <c r="A516" s="251"/>
    </row>
    <row r="517">
      <c r="A517" s="251"/>
    </row>
    <row r="518">
      <c r="A518" s="251"/>
    </row>
    <row r="519">
      <c r="A519" s="251"/>
    </row>
    <row r="520">
      <c r="A520" s="251"/>
    </row>
    <row r="521">
      <c r="A521" s="251"/>
    </row>
    <row r="522">
      <c r="A522" s="251"/>
    </row>
    <row r="523">
      <c r="A523" s="251"/>
    </row>
    <row r="524">
      <c r="A524" s="251"/>
    </row>
    <row r="525">
      <c r="A525" s="251"/>
    </row>
    <row r="526">
      <c r="A526" s="251"/>
    </row>
    <row r="527">
      <c r="A527" s="251"/>
    </row>
    <row r="528">
      <c r="A528" s="251"/>
    </row>
    <row r="529">
      <c r="A529" s="251"/>
    </row>
    <row r="530">
      <c r="A530" s="251"/>
    </row>
    <row r="531">
      <c r="A531" s="251"/>
    </row>
    <row r="532">
      <c r="A532" s="251"/>
    </row>
    <row r="533">
      <c r="A533" s="251"/>
    </row>
    <row r="534">
      <c r="A534" s="251"/>
    </row>
    <row r="535">
      <c r="A535" s="251"/>
    </row>
    <row r="536">
      <c r="A536" s="251"/>
    </row>
    <row r="537">
      <c r="A537" s="251"/>
    </row>
    <row r="538">
      <c r="A538" s="251"/>
    </row>
    <row r="539">
      <c r="A539" s="251"/>
    </row>
    <row r="540">
      <c r="A540" s="251"/>
    </row>
    <row r="541">
      <c r="A541" s="251"/>
    </row>
    <row r="542">
      <c r="A542" s="251"/>
    </row>
    <row r="543">
      <c r="A543" s="251"/>
    </row>
    <row r="544">
      <c r="A544" s="251"/>
    </row>
    <row r="545">
      <c r="A545" s="251"/>
    </row>
    <row r="546">
      <c r="A546" s="251"/>
    </row>
    <row r="547">
      <c r="A547" s="251"/>
    </row>
    <row r="548">
      <c r="A548" s="251"/>
    </row>
    <row r="549">
      <c r="A549" s="251"/>
    </row>
    <row r="550">
      <c r="A550" s="251"/>
    </row>
    <row r="551">
      <c r="A551" s="251"/>
    </row>
    <row r="552">
      <c r="A552" s="251"/>
    </row>
    <row r="553">
      <c r="A553" s="251"/>
    </row>
    <row r="554">
      <c r="A554" s="251"/>
    </row>
    <row r="555">
      <c r="A555" s="251"/>
    </row>
    <row r="556">
      <c r="A556" s="251"/>
    </row>
    <row r="557">
      <c r="A557" s="251"/>
    </row>
    <row r="558">
      <c r="A558" s="251"/>
    </row>
    <row r="559">
      <c r="A559" s="251"/>
    </row>
    <row r="560">
      <c r="A560" s="251"/>
    </row>
    <row r="561">
      <c r="A561" s="251"/>
    </row>
    <row r="562">
      <c r="A562" s="251"/>
    </row>
    <row r="563">
      <c r="A563" s="251"/>
    </row>
    <row r="564">
      <c r="A564" s="251"/>
    </row>
    <row r="565">
      <c r="A565" s="251"/>
    </row>
    <row r="566">
      <c r="A566" s="251"/>
    </row>
    <row r="567">
      <c r="A567" s="251"/>
    </row>
    <row r="568">
      <c r="A568" s="251"/>
    </row>
    <row r="569">
      <c r="A569" s="251"/>
    </row>
    <row r="570">
      <c r="A570" s="251"/>
    </row>
    <row r="571">
      <c r="A571" s="251"/>
    </row>
    <row r="572">
      <c r="A572" s="251"/>
    </row>
    <row r="573">
      <c r="A573" s="251"/>
    </row>
    <row r="574">
      <c r="A574" s="251"/>
    </row>
    <row r="575">
      <c r="A575" s="251"/>
    </row>
    <row r="576">
      <c r="A576" s="251"/>
    </row>
    <row r="577">
      <c r="A577" s="251"/>
    </row>
    <row r="578">
      <c r="A578" s="251"/>
    </row>
    <row r="579">
      <c r="A579" s="251"/>
    </row>
    <row r="580">
      <c r="A580" s="251"/>
    </row>
    <row r="581">
      <c r="A581" s="251"/>
    </row>
    <row r="582">
      <c r="A582" s="251"/>
    </row>
    <row r="583">
      <c r="A583" s="251"/>
    </row>
    <row r="584">
      <c r="A584" s="251"/>
    </row>
    <row r="585">
      <c r="A585" s="251"/>
    </row>
    <row r="586">
      <c r="A586" s="251"/>
    </row>
    <row r="587">
      <c r="A587" s="251"/>
    </row>
    <row r="588">
      <c r="A588" s="251"/>
    </row>
    <row r="589">
      <c r="A589" s="251"/>
    </row>
    <row r="590">
      <c r="A590" s="251"/>
    </row>
    <row r="591">
      <c r="A591" s="251"/>
    </row>
    <row r="592">
      <c r="A592" s="251"/>
    </row>
    <row r="593">
      <c r="A593" s="251"/>
    </row>
    <row r="594">
      <c r="A594" s="251"/>
    </row>
    <row r="595">
      <c r="A595" s="251"/>
    </row>
    <row r="596">
      <c r="A596" s="251"/>
    </row>
    <row r="597">
      <c r="A597" s="251"/>
    </row>
    <row r="598">
      <c r="A598" s="251"/>
    </row>
    <row r="599">
      <c r="A599" s="251"/>
    </row>
    <row r="600">
      <c r="A600" s="251"/>
    </row>
    <row r="601">
      <c r="A601" s="251"/>
    </row>
    <row r="602">
      <c r="A602" s="251"/>
    </row>
    <row r="603">
      <c r="A603" s="251"/>
    </row>
    <row r="604">
      <c r="A604" s="251"/>
    </row>
    <row r="605">
      <c r="A605" s="251"/>
    </row>
    <row r="606">
      <c r="A606" s="251"/>
    </row>
    <row r="607">
      <c r="A607" s="251"/>
    </row>
    <row r="608">
      <c r="A608" s="251"/>
    </row>
    <row r="609">
      <c r="A609" s="251"/>
    </row>
    <row r="610">
      <c r="A610" s="251"/>
    </row>
    <row r="611">
      <c r="A611" s="251"/>
    </row>
    <row r="612">
      <c r="A612" s="251"/>
    </row>
    <row r="613">
      <c r="A613" s="251"/>
    </row>
    <row r="614">
      <c r="A614" s="251"/>
    </row>
    <row r="615">
      <c r="A615" s="251"/>
    </row>
    <row r="616">
      <c r="A616" s="251"/>
    </row>
    <row r="617">
      <c r="A617" s="251"/>
    </row>
    <row r="618">
      <c r="A618" s="251"/>
    </row>
    <row r="619">
      <c r="A619" s="251"/>
    </row>
    <row r="620">
      <c r="A620" s="251"/>
    </row>
    <row r="621">
      <c r="A621" s="251"/>
    </row>
    <row r="622">
      <c r="A622" s="251"/>
    </row>
    <row r="623">
      <c r="A623" s="251"/>
    </row>
    <row r="624">
      <c r="A624" s="251"/>
    </row>
    <row r="625">
      <c r="A625" s="251"/>
    </row>
    <row r="626">
      <c r="A626" s="251"/>
    </row>
    <row r="627">
      <c r="A627" s="251"/>
    </row>
    <row r="628">
      <c r="A628" s="251"/>
    </row>
    <row r="629">
      <c r="A629" s="251"/>
    </row>
    <row r="630">
      <c r="A630" s="251"/>
    </row>
    <row r="631">
      <c r="A631" s="251"/>
    </row>
    <row r="632">
      <c r="A632" s="251"/>
    </row>
    <row r="633">
      <c r="A633" s="251"/>
    </row>
    <row r="634">
      <c r="A634" s="251"/>
    </row>
    <row r="635">
      <c r="A635" s="251"/>
    </row>
    <row r="636">
      <c r="A636" s="251"/>
    </row>
    <row r="637">
      <c r="A637" s="251"/>
    </row>
    <row r="638">
      <c r="A638" s="251"/>
    </row>
    <row r="639">
      <c r="A639" s="251"/>
    </row>
    <row r="640">
      <c r="A640" s="251"/>
    </row>
    <row r="641">
      <c r="A641" s="251"/>
    </row>
    <row r="642">
      <c r="A642" s="251"/>
    </row>
    <row r="643">
      <c r="A643" s="251"/>
    </row>
    <row r="644">
      <c r="A644" s="251"/>
    </row>
    <row r="645">
      <c r="A645" s="251"/>
    </row>
    <row r="646">
      <c r="A646" s="251"/>
    </row>
    <row r="647">
      <c r="A647" s="251"/>
    </row>
    <row r="648">
      <c r="A648" s="251"/>
    </row>
    <row r="649">
      <c r="A649" s="251"/>
    </row>
    <row r="650">
      <c r="A650" s="251"/>
    </row>
    <row r="651">
      <c r="A651" s="251"/>
    </row>
    <row r="652">
      <c r="A652" s="251"/>
    </row>
    <row r="653">
      <c r="A653" s="251"/>
    </row>
    <row r="654">
      <c r="A654" s="251"/>
    </row>
    <row r="655">
      <c r="A655" s="251"/>
    </row>
    <row r="656">
      <c r="A656" s="251"/>
    </row>
    <row r="657">
      <c r="A657" s="251"/>
    </row>
    <row r="658">
      <c r="A658" s="251"/>
    </row>
    <row r="659">
      <c r="A659" s="251"/>
    </row>
    <row r="660">
      <c r="A660" s="251"/>
    </row>
    <row r="661">
      <c r="A661" s="251"/>
    </row>
    <row r="662">
      <c r="A662" s="251"/>
    </row>
    <row r="663">
      <c r="A663" s="251"/>
    </row>
    <row r="664">
      <c r="A664" s="251"/>
    </row>
    <row r="665">
      <c r="A665" s="251"/>
    </row>
    <row r="666">
      <c r="A666" s="251"/>
    </row>
    <row r="667">
      <c r="A667" s="251"/>
    </row>
    <row r="668">
      <c r="A668" s="251"/>
    </row>
    <row r="669">
      <c r="A669" s="251"/>
    </row>
    <row r="670">
      <c r="A670" s="251"/>
    </row>
    <row r="671">
      <c r="A671" s="251"/>
    </row>
    <row r="672">
      <c r="A672" s="251"/>
    </row>
    <row r="673">
      <c r="A673" s="251"/>
    </row>
    <row r="674">
      <c r="A674" s="251"/>
    </row>
    <row r="675">
      <c r="A675" s="251"/>
    </row>
    <row r="676">
      <c r="A676" s="251"/>
    </row>
    <row r="677">
      <c r="A677" s="251"/>
    </row>
    <row r="678">
      <c r="A678" s="251"/>
    </row>
    <row r="679">
      <c r="A679" s="251"/>
    </row>
    <row r="680">
      <c r="A680" s="251"/>
    </row>
    <row r="681">
      <c r="A681" s="251"/>
    </row>
    <row r="682">
      <c r="A682" s="251"/>
    </row>
    <row r="683">
      <c r="A683" s="251"/>
    </row>
    <row r="684">
      <c r="A684" s="251"/>
    </row>
    <row r="685">
      <c r="A685" s="251"/>
    </row>
    <row r="686">
      <c r="A686" s="251"/>
    </row>
    <row r="687">
      <c r="A687" s="251"/>
    </row>
    <row r="688">
      <c r="A688" s="251"/>
    </row>
    <row r="689">
      <c r="A689" s="251"/>
    </row>
    <row r="690">
      <c r="A690" s="251"/>
    </row>
    <row r="691">
      <c r="A691" s="251"/>
    </row>
    <row r="692">
      <c r="A692" s="251"/>
    </row>
    <row r="693">
      <c r="A693" s="251"/>
    </row>
    <row r="694">
      <c r="A694" s="251"/>
    </row>
    <row r="695">
      <c r="A695" s="251"/>
    </row>
    <row r="696">
      <c r="A696" s="251"/>
    </row>
    <row r="697">
      <c r="A697" s="251"/>
    </row>
    <row r="698">
      <c r="A698" s="251"/>
    </row>
    <row r="699">
      <c r="A699" s="251"/>
    </row>
    <row r="700">
      <c r="A700" s="251"/>
    </row>
    <row r="701">
      <c r="A701" s="251"/>
    </row>
    <row r="702">
      <c r="A702" s="251"/>
    </row>
    <row r="703">
      <c r="A703" s="251"/>
    </row>
    <row r="704">
      <c r="A704" s="251"/>
    </row>
    <row r="705">
      <c r="A705" s="251"/>
    </row>
    <row r="706">
      <c r="A706" s="251"/>
    </row>
    <row r="707">
      <c r="A707" s="251"/>
    </row>
    <row r="708">
      <c r="A708" s="251"/>
    </row>
    <row r="709">
      <c r="A709" s="251"/>
    </row>
    <row r="710">
      <c r="A710" s="251"/>
    </row>
    <row r="711">
      <c r="A711" s="251"/>
    </row>
    <row r="712">
      <c r="A712" s="251"/>
    </row>
    <row r="713">
      <c r="A713" s="251"/>
    </row>
    <row r="714">
      <c r="A714" s="251"/>
    </row>
    <row r="715">
      <c r="A715" s="251"/>
    </row>
    <row r="716">
      <c r="A716" s="251"/>
    </row>
    <row r="717">
      <c r="A717" s="251"/>
    </row>
    <row r="718">
      <c r="A718" s="251"/>
    </row>
    <row r="719">
      <c r="A719" s="251"/>
    </row>
    <row r="720">
      <c r="A720" s="251"/>
    </row>
    <row r="721">
      <c r="A721" s="251"/>
    </row>
    <row r="722">
      <c r="A722" s="251"/>
    </row>
    <row r="723">
      <c r="A723" s="251"/>
    </row>
    <row r="724">
      <c r="A724" s="251"/>
    </row>
    <row r="725">
      <c r="A725" s="251"/>
    </row>
    <row r="726">
      <c r="A726" s="251"/>
    </row>
    <row r="727">
      <c r="A727" s="251"/>
    </row>
    <row r="728">
      <c r="A728" s="251"/>
    </row>
    <row r="729">
      <c r="A729" s="251"/>
    </row>
    <row r="730">
      <c r="A730" s="251"/>
    </row>
    <row r="731">
      <c r="A731" s="251"/>
    </row>
    <row r="732">
      <c r="A732" s="251"/>
    </row>
    <row r="733">
      <c r="A733" s="251"/>
    </row>
    <row r="734">
      <c r="A734" s="251"/>
    </row>
    <row r="735">
      <c r="A735" s="251"/>
    </row>
    <row r="736">
      <c r="A736" s="251"/>
    </row>
    <row r="737">
      <c r="A737" s="251"/>
    </row>
    <row r="738">
      <c r="A738" s="251"/>
    </row>
    <row r="739">
      <c r="A739" s="251"/>
    </row>
    <row r="740">
      <c r="A740" s="251"/>
    </row>
    <row r="741">
      <c r="A741" s="251"/>
    </row>
    <row r="742">
      <c r="A742" s="251"/>
    </row>
    <row r="743">
      <c r="A743" s="251"/>
    </row>
    <row r="744">
      <c r="A744" s="251"/>
    </row>
    <row r="745">
      <c r="A745" s="251"/>
    </row>
    <row r="746">
      <c r="A746" s="251"/>
    </row>
    <row r="747">
      <c r="A747" s="251"/>
    </row>
    <row r="748">
      <c r="A748" s="251"/>
    </row>
    <row r="749">
      <c r="A749" s="251"/>
    </row>
    <row r="750">
      <c r="A750" s="251"/>
    </row>
    <row r="751">
      <c r="A751" s="251"/>
    </row>
    <row r="752">
      <c r="A752" s="251"/>
    </row>
    <row r="753">
      <c r="A753" s="251"/>
    </row>
    <row r="754">
      <c r="A754" s="251"/>
    </row>
    <row r="755">
      <c r="A755" s="251"/>
    </row>
    <row r="756">
      <c r="A756" s="251"/>
    </row>
    <row r="757">
      <c r="A757" s="251"/>
    </row>
    <row r="758">
      <c r="A758" s="251"/>
    </row>
    <row r="759">
      <c r="A759" s="251"/>
    </row>
    <row r="760">
      <c r="A760" s="251"/>
    </row>
    <row r="761">
      <c r="A761" s="251"/>
    </row>
    <row r="762">
      <c r="A762" s="251"/>
    </row>
    <row r="763">
      <c r="A763" s="251"/>
    </row>
    <row r="764">
      <c r="A764" s="251"/>
    </row>
    <row r="765">
      <c r="A765" s="251"/>
    </row>
    <row r="766">
      <c r="A766" s="251"/>
    </row>
    <row r="767">
      <c r="A767" s="251"/>
    </row>
    <row r="768">
      <c r="A768" s="251"/>
    </row>
    <row r="769">
      <c r="A769" s="251"/>
    </row>
    <row r="770">
      <c r="A770" s="251"/>
    </row>
    <row r="771">
      <c r="A771" s="251"/>
    </row>
    <row r="772">
      <c r="A772" s="251"/>
    </row>
    <row r="773">
      <c r="A773" s="251"/>
    </row>
    <row r="774">
      <c r="A774" s="251"/>
    </row>
    <row r="775">
      <c r="A775" s="251"/>
    </row>
    <row r="776">
      <c r="A776" s="251"/>
    </row>
    <row r="777">
      <c r="A777" s="251"/>
    </row>
    <row r="778">
      <c r="A778" s="251"/>
    </row>
    <row r="779">
      <c r="A779" s="251"/>
    </row>
    <row r="780">
      <c r="A780" s="251"/>
    </row>
    <row r="781">
      <c r="A781" s="251"/>
    </row>
    <row r="782">
      <c r="A782" s="251"/>
    </row>
    <row r="783">
      <c r="A783" s="251"/>
    </row>
    <row r="784">
      <c r="A784" s="251"/>
    </row>
    <row r="785">
      <c r="A785" s="251"/>
    </row>
    <row r="786">
      <c r="A786" s="251"/>
    </row>
    <row r="787">
      <c r="A787" s="251"/>
    </row>
    <row r="788">
      <c r="A788" s="251"/>
    </row>
    <row r="789">
      <c r="A789" s="251"/>
    </row>
    <row r="790">
      <c r="A790" s="251"/>
    </row>
    <row r="791">
      <c r="A791" s="251"/>
    </row>
    <row r="792">
      <c r="A792" s="251"/>
    </row>
    <row r="793">
      <c r="A793" s="251"/>
    </row>
    <row r="794">
      <c r="A794" s="251"/>
    </row>
    <row r="795">
      <c r="A795" s="251"/>
    </row>
    <row r="796">
      <c r="A796" s="251"/>
    </row>
    <row r="797">
      <c r="A797" s="251"/>
    </row>
    <row r="798">
      <c r="A798" s="251"/>
    </row>
    <row r="799">
      <c r="A799" s="251"/>
    </row>
    <row r="800">
      <c r="A800" s="251"/>
    </row>
    <row r="801">
      <c r="A801" s="251"/>
    </row>
    <row r="802">
      <c r="A802" s="251"/>
    </row>
    <row r="803">
      <c r="A803" s="251"/>
    </row>
    <row r="804">
      <c r="A804" s="251"/>
    </row>
    <row r="805">
      <c r="A805" s="251"/>
    </row>
    <row r="806">
      <c r="A806" s="251"/>
    </row>
    <row r="807">
      <c r="A807" s="251"/>
    </row>
    <row r="808">
      <c r="A808" s="251"/>
    </row>
    <row r="809">
      <c r="A809" s="251"/>
    </row>
    <row r="810">
      <c r="A810" s="251"/>
    </row>
    <row r="811">
      <c r="A811" s="251"/>
    </row>
    <row r="812">
      <c r="A812" s="251"/>
    </row>
    <row r="813">
      <c r="A813" s="251"/>
    </row>
    <row r="814">
      <c r="A814" s="251"/>
    </row>
    <row r="815">
      <c r="A815" s="251"/>
    </row>
    <row r="816">
      <c r="A816" s="251"/>
    </row>
    <row r="817">
      <c r="A817" s="251"/>
    </row>
    <row r="818">
      <c r="A818" s="251"/>
    </row>
    <row r="819">
      <c r="A819" s="251"/>
    </row>
    <row r="820">
      <c r="A820" s="251"/>
    </row>
    <row r="821">
      <c r="A821" s="251"/>
    </row>
    <row r="822">
      <c r="A822" s="251"/>
    </row>
    <row r="823">
      <c r="A823" s="251"/>
    </row>
    <row r="824">
      <c r="A824" s="251"/>
    </row>
    <row r="825">
      <c r="A825" s="251"/>
    </row>
    <row r="826">
      <c r="A826" s="251"/>
    </row>
    <row r="827">
      <c r="A827" s="251"/>
    </row>
    <row r="828">
      <c r="A828" s="251"/>
    </row>
    <row r="829">
      <c r="A829" s="251"/>
    </row>
    <row r="830">
      <c r="A830" s="251"/>
    </row>
    <row r="831">
      <c r="A831" s="251"/>
    </row>
    <row r="832">
      <c r="A832" s="251"/>
    </row>
    <row r="833">
      <c r="A833" s="251"/>
    </row>
    <row r="834">
      <c r="A834" s="251"/>
    </row>
    <row r="835">
      <c r="A835" s="251"/>
    </row>
    <row r="836">
      <c r="A836" s="251"/>
    </row>
    <row r="837">
      <c r="A837" s="251"/>
    </row>
    <row r="838">
      <c r="A838" s="251"/>
    </row>
    <row r="839">
      <c r="A839" s="251"/>
    </row>
    <row r="840">
      <c r="A840" s="251"/>
    </row>
    <row r="841">
      <c r="A841" s="251"/>
    </row>
    <row r="842">
      <c r="A842" s="251"/>
    </row>
    <row r="843">
      <c r="A843" s="251"/>
    </row>
    <row r="844">
      <c r="A844" s="251"/>
    </row>
    <row r="845">
      <c r="A845" s="251"/>
    </row>
    <row r="846">
      <c r="A846" s="251"/>
    </row>
    <row r="847">
      <c r="A847" s="251"/>
    </row>
    <row r="848">
      <c r="A848" s="251"/>
    </row>
    <row r="849">
      <c r="A849" s="251"/>
    </row>
    <row r="850">
      <c r="A850" s="251"/>
    </row>
    <row r="851">
      <c r="A851" s="251"/>
    </row>
    <row r="852">
      <c r="A852" s="251"/>
    </row>
    <row r="853">
      <c r="A853" s="251"/>
    </row>
    <row r="854">
      <c r="A854" s="251"/>
    </row>
    <row r="855">
      <c r="A855" s="251"/>
    </row>
    <row r="856">
      <c r="A856" s="251"/>
    </row>
    <row r="857">
      <c r="A857" s="251"/>
    </row>
    <row r="858">
      <c r="A858" s="251"/>
    </row>
    <row r="859">
      <c r="A859" s="251"/>
    </row>
    <row r="860">
      <c r="A860" s="251"/>
    </row>
    <row r="861">
      <c r="A861" s="251"/>
    </row>
    <row r="862">
      <c r="A862" s="251"/>
    </row>
    <row r="863">
      <c r="A863" s="251"/>
    </row>
    <row r="864">
      <c r="A864" s="251"/>
    </row>
    <row r="865">
      <c r="A865" s="251"/>
    </row>
    <row r="866">
      <c r="A866" s="251"/>
    </row>
    <row r="867">
      <c r="A867" s="251"/>
    </row>
    <row r="868">
      <c r="A868" s="251"/>
    </row>
    <row r="869">
      <c r="A869" s="251"/>
    </row>
    <row r="870">
      <c r="A870" s="251"/>
    </row>
    <row r="871">
      <c r="A871" s="251"/>
    </row>
    <row r="872">
      <c r="A872" s="251"/>
    </row>
    <row r="873">
      <c r="A873" s="251"/>
    </row>
    <row r="874">
      <c r="A874" s="251"/>
    </row>
    <row r="875">
      <c r="A875" s="251"/>
    </row>
    <row r="876">
      <c r="A876" s="251"/>
    </row>
    <row r="877">
      <c r="A877" s="251"/>
    </row>
    <row r="878">
      <c r="A878" s="251"/>
    </row>
    <row r="879">
      <c r="A879" s="251"/>
    </row>
    <row r="880">
      <c r="A880" s="251"/>
    </row>
    <row r="881">
      <c r="A881" s="251"/>
    </row>
    <row r="882">
      <c r="A882" s="251"/>
    </row>
    <row r="883">
      <c r="A883" s="251"/>
    </row>
    <row r="884">
      <c r="A884" s="251"/>
    </row>
    <row r="885">
      <c r="A885" s="251"/>
    </row>
    <row r="886">
      <c r="A886" s="251"/>
    </row>
    <row r="887">
      <c r="A887" s="251"/>
    </row>
    <row r="888">
      <c r="A888" s="251"/>
    </row>
    <row r="889">
      <c r="A889" s="251"/>
    </row>
    <row r="890">
      <c r="A890" s="251"/>
    </row>
    <row r="891">
      <c r="A891" s="251"/>
    </row>
    <row r="892">
      <c r="A892" s="251"/>
    </row>
    <row r="893">
      <c r="A893" s="251"/>
    </row>
    <row r="894">
      <c r="A894" s="251"/>
    </row>
    <row r="895">
      <c r="A895" s="251"/>
    </row>
    <row r="896">
      <c r="A896" s="251"/>
    </row>
    <row r="897">
      <c r="A897" s="251"/>
    </row>
    <row r="898">
      <c r="A898" s="251"/>
    </row>
    <row r="899">
      <c r="A899" s="251"/>
    </row>
    <row r="900">
      <c r="A900" s="251"/>
    </row>
    <row r="901">
      <c r="A901" s="251"/>
    </row>
    <row r="902">
      <c r="A902" s="251"/>
    </row>
    <row r="903">
      <c r="A903" s="251"/>
    </row>
    <row r="904">
      <c r="A904" s="251"/>
    </row>
    <row r="905">
      <c r="A905" s="251"/>
    </row>
    <row r="906">
      <c r="A906" s="251"/>
    </row>
    <row r="907">
      <c r="A907" s="251"/>
    </row>
    <row r="908">
      <c r="A908" s="251"/>
    </row>
    <row r="909">
      <c r="A909" s="251"/>
    </row>
    <row r="910">
      <c r="A910" s="251"/>
    </row>
    <row r="911">
      <c r="A911" s="251"/>
    </row>
    <row r="912">
      <c r="A912" s="251"/>
    </row>
    <row r="913">
      <c r="A913" s="251"/>
    </row>
    <row r="914">
      <c r="A914" s="251"/>
    </row>
    <row r="915">
      <c r="A915" s="251"/>
    </row>
    <row r="916">
      <c r="A916" s="251"/>
    </row>
    <row r="917">
      <c r="A917" s="251"/>
    </row>
    <row r="918">
      <c r="A918" s="251"/>
    </row>
    <row r="919">
      <c r="A919" s="251"/>
    </row>
    <row r="920">
      <c r="A920" s="251"/>
    </row>
    <row r="921">
      <c r="A921" s="251"/>
    </row>
    <row r="922">
      <c r="A922" s="251"/>
    </row>
    <row r="923">
      <c r="A923" s="251"/>
    </row>
    <row r="924">
      <c r="A924" s="251"/>
    </row>
    <row r="925">
      <c r="A925" s="251"/>
    </row>
    <row r="926">
      <c r="A926" s="251"/>
    </row>
    <row r="927">
      <c r="A927" s="251"/>
    </row>
    <row r="928">
      <c r="A928" s="251"/>
    </row>
    <row r="929">
      <c r="A929" s="251"/>
    </row>
    <row r="930">
      <c r="A930" s="251"/>
    </row>
    <row r="931">
      <c r="A931" s="251"/>
    </row>
    <row r="932">
      <c r="A932" s="251"/>
    </row>
    <row r="933">
      <c r="A933" s="251"/>
    </row>
    <row r="934">
      <c r="A934" s="251"/>
    </row>
    <row r="935">
      <c r="A935" s="251"/>
    </row>
    <row r="936">
      <c r="A936" s="251"/>
    </row>
    <row r="937">
      <c r="A937" s="251"/>
    </row>
    <row r="938">
      <c r="A938" s="251"/>
    </row>
    <row r="939">
      <c r="A939" s="251"/>
    </row>
    <row r="940">
      <c r="A940" s="251"/>
    </row>
    <row r="941">
      <c r="A941" s="251"/>
    </row>
    <row r="942">
      <c r="A942" s="251"/>
    </row>
    <row r="943">
      <c r="A943" s="251"/>
    </row>
    <row r="944">
      <c r="A944" s="251"/>
    </row>
    <row r="945">
      <c r="A945" s="251"/>
    </row>
    <row r="946">
      <c r="A946" s="251"/>
    </row>
    <row r="947">
      <c r="A947" s="251"/>
    </row>
    <row r="948">
      <c r="A948" s="251"/>
    </row>
    <row r="949">
      <c r="A949" s="251"/>
    </row>
    <row r="950">
      <c r="A950" s="251"/>
    </row>
    <row r="951">
      <c r="A951" s="251"/>
    </row>
    <row r="952">
      <c r="A952" s="251"/>
    </row>
    <row r="953">
      <c r="A953" s="251"/>
    </row>
    <row r="954">
      <c r="A954" s="251"/>
    </row>
    <row r="955">
      <c r="A955" s="251"/>
    </row>
    <row r="956">
      <c r="A956" s="251"/>
    </row>
    <row r="957">
      <c r="A957" s="251"/>
    </row>
    <row r="958">
      <c r="A958" s="251"/>
    </row>
    <row r="959">
      <c r="A959" s="251"/>
    </row>
    <row r="960">
      <c r="A960" s="251"/>
    </row>
    <row r="961">
      <c r="A961" s="251"/>
    </row>
    <row r="962">
      <c r="A962" s="251"/>
    </row>
    <row r="963">
      <c r="A963" s="251"/>
    </row>
    <row r="964">
      <c r="A964" s="251"/>
    </row>
    <row r="965">
      <c r="A965" s="251"/>
    </row>
    <row r="966">
      <c r="A966" s="251"/>
    </row>
    <row r="967">
      <c r="A967" s="251"/>
    </row>
    <row r="968">
      <c r="A968" s="251"/>
    </row>
    <row r="969">
      <c r="A969" s="251"/>
    </row>
    <row r="970">
      <c r="A970" s="251"/>
    </row>
    <row r="971">
      <c r="A971" s="251"/>
    </row>
    <row r="972">
      <c r="A972" s="251"/>
    </row>
    <row r="973">
      <c r="A973" s="251"/>
    </row>
    <row r="974">
      <c r="A974" s="251"/>
    </row>
    <row r="975">
      <c r="A975" s="251"/>
    </row>
    <row r="976">
      <c r="A976" s="251"/>
    </row>
    <row r="977">
      <c r="A977" s="251"/>
    </row>
    <row r="978">
      <c r="A978" s="251"/>
    </row>
    <row r="979">
      <c r="A979" s="251"/>
    </row>
    <row r="980">
      <c r="A980" s="251"/>
    </row>
    <row r="981">
      <c r="A981" s="251"/>
    </row>
    <row r="982">
      <c r="A982" s="251"/>
    </row>
    <row r="983">
      <c r="A983" s="251"/>
    </row>
    <row r="984">
      <c r="A984" s="251"/>
    </row>
    <row r="985">
      <c r="A985" s="251"/>
    </row>
    <row r="986">
      <c r="A986" s="251"/>
    </row>
    <row r="987">
      <c r="A987" s="251"/>
    </row>
    <row r="988">
      <c r="A988" s="251"/>
    </row>
    <row r="989">
      <c r="A989" s="251"/>
    </row>
    <row r="990">
      <c r="A990" s="251"/>
    </row>
    <row r="991">
      <c r="A991" s="251"/>
    </row>
  </sheetData>
  <mergeCells count="1">
    <mergeCell ref="A22:D2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13"/>
    <col customWidth="1" min="2" max="2" width="12.13"/>
    <col customWidth="1" min="3" max="3" width="10.63"/>
    <col customWidth="1" min="4" max="4" width="14.38"/>
    <col customWidth="1" min="6" max="6" width="9.63"/>
    <col customWidth="1" min="7" max="7" width="14.88"/>
    <col customWidth="1" min="8" max="8" width="8.88"/>
    <col customWidth="1" min="9" max="9" width="16.38"/>
  </cols>
  <sheetData>
    <row r="1">
      <c r="A1" s="251"/>
      <c r="B1" s="74"/>
      <c r="C1" s="74"/>
      <c r="D1" s="74"/>
      <c r="E1" s="178"/>
      <c r="F1" s="235"/>
      <c r="G1" s="179"/>
      <c r="H1" s="179"/>
      <c r="I1" s="297"/>
    </row>
    <row r="2">
      <c r="A2" s="252" t="s">
        <v>41</v>
      </c>
      <c r="B2" s="253" t="s">
        <v>195</v>
      </c>
      <c r="C2" s="253" t="s">
        <v>196</v>
      </c>
      <c r="D2" s="253" t="s">
        <v>197</v>
      </c>
      <c r="E2" s="253" t="s">
        <v>4</v>
      </c>
      <c r="F2" s="249" t="s">
        <v>5</v>
      </c>
      <c r="G2" s="249" t="s">
        <v>6</v>
      </c>
      <c r="H2" s="253" t="s">
        <v>9</v>
      </c>
      <c r="I2" s="254" t="s">
        <v>198</v>
      </c>
    </row>
    <row r="3">
      <c r="A3" s="87" t="s">
        <v>247</v>
      </c>
      <c r="B3" s="98">
        <f>'Исходные данные'!D12</f>
        <v>402</v>
      </c>
      <c r="C3" s="98">
        <f>'Исходные данные'!G29</f>
        <v>2</v>
      </c>
      <c r="D3" s="134"/>
      <c r="E3" s="255">
        <v>637618.0</v>
      </c>
      <c r="F3" s="256">
        <v>12.0</v>
      </c>
      <c r="G3" s="163">
        <f t="shared" ref="G3:G10" si="1">E3/F3</f>
        <v>53134.83333</v>
      </c>
      <c r="H3" s="72"/>
      <c r="I3" s="282">
        <f t="shared" ref="I3:I4" si="2">G3/B3*C3</f>
        <v>264.3524046</v>
      </c>
      <c r="J3" s="283"/>
    </row>
    <row r="4">
      <c r="A4" s="87" t="s">
        <v>248</v>
      </c>
      <c r="B4" s="98">
        <f>'Исходные данные'!E13</f>
        <v>30</v>
      </c>
      <c r="C4" s="98">
        <f>'Исходные данные'!H29</f>
        <v>1</v>
      </c>
      <c r="D4" s="134"/>
      <c r="E4" s="177">
        <v>305868.0</v>
      </c>
      <c r="F4" s="256">
        <v>12.0</v>
      </c>
      <c r="G4" s="163">
        <f t="shared" si="1"/>
        <v>25489</v>
      </c>
      <c r="H4" s="72"/>
      <c r="I4" s="282">
        <f t="shared" si="2"/>
        <v>849.6333333</v>
      </c>
      <c r="J4" s="283"/>
    </row>
    <row r="5">
      <c r="A5" s="87" t="s">
        <v>249</v>
      </c>
      <c r="B5" s="134"/>
      <c r="C5" s="134"/>
      <c r="D5" s="134"/>
      <c r="E5" s="255">
        <v>8180.0</v>
      </c>
      <c r="F5" s="256">
        <v>12.0</v>
      </c>
      <c r="G5" s="163">
        <f t="shared" si="1"/>
        <v>681.6666667</v>
      </c>
      <c r="H5" s="72"/>
      <c r="I5" s="282">
        <f t="shared" ref="I5:I10" si="3">G5</f>
        <v>681.6666667</v>
      </c>
      <c r="J5" s="283"/>
    </row>
    <row r="6">
      <c r="A6" s="87"/>
      <c r="B6" s="134"/>
      <c r="C6" s="134"/>
      <c r="D6" s="134"/>
      <c r="E6" s="255"/>
      <c r="F6" s="256">
        <v>12.0</v>
      </c>
      <c r="G6" s="163">
        <f t="shared" si="1"/>
        <v>0</v>
      </c>
      <c r="H6" s="72"/>
      <c r="I6" s="282">
        <f t="shared" si="3"/>
        <v>0</v>
      </c>
    </row>
    <row r="7">
      <c r="A7" s="87" t="s">
        <v>148</v>
      </c>
      <c r="B7" s="134"/>
      <c r="C7" s="134"/>
      <c r="D7" s="134"/>
      <c r="E7" s="177">
        <v>10562.0</v>
      </c>
      <c r="F7" s="256">
        <v>12.0</v>
      </c>
      <c r="G7" s="163">
        <f t="shared" si="1"/>
        <v>880.1666667</v>
      </c>
      <c r="H7" s="72"/>
      <c r="I7" s="282">
        <f t="shared" si="3"/>
        <v>880.1666667</v>
      </c>
      <c r="J7" s="283"/>
    </row>
    <row r="8">
      <c r="A8" s="87" t="s">
        <v>150</v>
      </c>
      <c r="B8" s="134"/>
      <c r="C8" s="134"/>
      <c r="D8" s="134"/>
      <c r="E8" s="177">
        <v>3180.0</v>
      </c>
      <c r="F8" s="256">
        <v>12.0</v>
      </c>
      <c r="G8" s="163">
        <f t="shared" si="1"/>
        <v>265</v>
      </c>
      <c r="H8" s="72"/>
      <c r="I8" s="282">
        <f t="shared" si="3"/>
        <v>265</v>
      </c>
    </row>
    <row r="9">
      <c r="A9" s="87" t="s">
        <v>149</v>
      </c>
      <c r="B9" s="134"/>
      <c r="C9" s="134"/>
      <c r="D9" s="134"/>
      <c r="E9" s="177">
        <v>0.0</v>
      </c>
      <c r="F9" s="256">
        <v>12.0</v>
      </c>
      <c r="G9" s="163">
        <f t="shared" si="1"/>
        <v>0</v>
      </c>
      <c r="H9" s="72"/>
      <c r="I9" s="282">
        <f t="shared" si="3"/>
        <v>0</v>
      </c>
    </row>
    <row r="10">
      <c r="A10" s="293" t="s">
        <v>203</v>
      </c>
      <c r="B10" s="134"/>
      <c r="C10" s="134"/>
      <c r="D10" s="134"/>
      <c r="E10" s="177"/>
      <c r="F10" s="256">
        <v>12.0</v>
      </c>
      <c r="G10" s="163">
        <f t="shared" si="1"/>
        <v>0</v>
      </c>
      <c r="H10" s="72"/>
      <c r="I10" s="282">
        <f t="shared" si="3"/>
        <v>0</v>
      </c>
    </row>
    <row r="11">
      <c r="A11" s="293" t="s">
        <v>246</v>
      </c>
      <c r="B11" s="134"/>
      <c r="C11" s="134"/>
      <c r="D11" s="134"/>
      <c r="E11" s="177"/>
      <c r="F11" s="256"/>
      <c r="G11" s="163"/>
      <c r="H11" s="72"/>
      <c r="I11" s="282">
        <f>D28</f>
        <v>291.6666667</v>
      </c>
    </row>
    <row r="12">
      <c r="A12" s="293" t="s">
        <v>204</v>
      </c>
      <c r="B12" s="134"/>
      <c r="C12" s="134"/>
      <c r="D12" s="134"/>
      <c r="E12" s="177"/>
      <c r="F12" s="256">
        <v>12.0</v>
      </c>
      <c r="G12" s="163">
        <f>E12/F12</f>
        <v>0</v>
      </c>
      <c r="H12" s="72"/>
      <c r="I12" s="282">
        <f>G12</f>
        <v>0</v>
      </c>
    </row>
    <row r="13">
      <c r="A13" s="68" t="s">
        <v>152</v>
      </c>
      <c r="B13" s="72"/>
      <c r="C13" s="71"/>
      <c r="D13" s="265">
        <f>B18+B19</f>
        <v>144</v>
      </c>
      <c r="E13" s="72"/>
      <c r="F13" s="249"/>
      <c r="G13" s="72"/>
      <c r="H13" s="259">
        <f>'Общие расходы ГЭ'!G16</f>
        <v>9.195626292</v>
      </c>
      <c r="I13" s="282">
        <f t="shared" ref="I13:I15" si="4">D13*H13</f>
        <v>1324.170186</v>
      </c>
    </row>
    <row r="14">
      <c r="A14" s="68" t="s">
        <v>235</v>
      </c>
      <c r="B14" s="72"/>
      <c r="C14" s="71"/>
      <c r="D14" s="265">
        <f>B18+B19</f>
        <v>144</v>
      </c>
      <c r="E14" s="72"/>
      <c r="F14" s="249"/>
      <c r="G14" s="72"/>
      <c r="H14" s="259">
        <f>'Общие расходы г. Тюмень'!F4</f>
        <v>0.2743933235</v>
      </c>
      <c r="I14" s="282">
        <f t="shared" si="4"/>
        <v>39.51263858</v>
      </c>
    </row>
    <row r="15">
      <c r="A15" s="68" t="s">
        <v>156</v>
      </c>
      <c r="B15" s="72"/>
      <c r="C15" s="71"/>
      <c r="D15" s="265">
        <f>B18+B19</f>
        <v>144</v>
      </c>
      <c r="E15" s="72"/>
      <c r="F15" s="249"/>
      <c r="G15" s="72"/>
      <c r="H15" s="250">
        <f>'Общие расходы г. Тюмень'!F30</f>
        <v>0.7480139342</v>
      </c>
      <c r="I15" s="282">
        <f t="shared" si="4"/>
        <v>107.7140065</v>
      </c>
    </row>
    <row r="16">
      <c r="A16" s="311"/>
      <c r="B16" s="291"/>
      <c r="C16" s="289"/>
      <c r="D16" s="289"/>
      <c r="E16" s="291"/>
      <c r="F16" s="290"/>
      <c r="G16" s="291"/>
      <c r="H16" s="290"/>
      <c r="I16" s="282">
        <f>SUM(I3:I15)</f>
        <v>4703.882569</v>
      </c>
    </row>
    <row r="17">
      <c r="A17" s="251"/>
      <c r="B17" s="179"/>
      <c r="C17" s="179"/>
      <c r="D17" s="179"/>
      <c r="E17" s="179"/>
      <c r="F17" s="235"/>
      <c r="G17" s="179"/>
      <c r="H17" s="179"/>
      <c r="I17" s="297"/>
    </row>
    <row r="18">
      <c r="A18" s="68" t="s">
        <v>205</v>
      </c>
      <c r="B18" s="260">
        <f>'Исходные данные'!B29</f>
        <v>72</v>
      </c>
      <c r="C18" s="179"/>
      <c r="D18" s="179"/>
      <c r="E18" s="179"/>
      <c r="F18" s="235"/>
      <c r="G18" s="179"/>
      <c r="H18" s="179"/>
      <c r="I18" s="297"/>
    </row>
    <row r="19">
      <c r="A19" s="68" t="s">
        <v>206</v>
      </c>
      <c r="B19" s="260">
        <f>'Исходные данные'!C29</f>
        <v>72</v>
      </c>
      <c r="C19" s="179"/>
      <c r="D19" s="179"/>
      <c r="E19" s="179"/>
      <c r="F19" s="235"/>
      <c r="G19" s="179"/>
      <c r="H19" s="179"/>
      <c r="I19" s="297"/>
    </row>
    <row r="20">
      <c r="A20" s="68" t="s">
        <v>207</v>
      </c>
      <c r="B20" s="260" t="str">
        <f>'Исходные данные'!D29</f>
        <v/>
      </c>
      <c r="C20" s="179"/>
      <c r="D20" s="179"/>
      <c r="E20" s="179"/>
      <c r="F20" s="235"/>
      <c r="G20" s="179"/>
      <c r="H20" s="179"/>
      <c r="I20" s="297"/>
    </row>
    <row r="21">
      <c r="A21" s="292"/>
      <c r="B21" s="248"/>
      <c r="C21" s="248"/>
      <c r="D21" s="248"/>
      <c r="E21" s="248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</row>
    <row r="22">
      <c r="A22" s="266" t="s">
        <v>208</v>
      </c>
      <c r="B22" s="263"/>
      <c r="C22" s="263"/>
      <c r="D22" s="185"/>
    </row>
    <row r="23">
      <c r="A23" s="268" t="s">
        <v>209</v>
      </c>
      <c r="B23" s="269" t="s">
        <v>210</v>
      </c>
      <c r="C23" s="93" t="s">
        <v>5</v>
      </c>
      <c r="D23" s="269" t="s">
        <v>211</v>
      </c>
    </row>
    <row r="24">
      <c r="A24" s="300" t="s">
        <v>250</v>
      </c>
      <c r="B24" s="301">
        <v>3500.0</v>
      </c>
      <c r="C24" s="301">
        <v>12.0</v>
      </c>
      <c r="D24" s="301">
        <f t="shared" ref="D24:D25" si="5">B24/C24</f>
        <v>291.6666667</v>
      </c>
    </row>
    <row r="25">
      <c r="A25" s="68"/>
      <c r="B25" s="301"/>
      <c r="C25" s="301">
        <v>12.0</v>
      </c>
      <c r="D25" s="301">
        <f t="shared" si="5"/>
        <v>0</v>
      </c>
    </row>
    <row r="26">
      <c r="A26" s="305"/>
      <c r="B26" s="303"/>
      <c r="C26" s="303"/>
      <c r="D26" s="301"/>
    </row>
    <row r="27">
      <c r="A27" s="68"/>
      <c r="B27" s="303"/>
      <c r="C27" s="303"/>
      <c r="D27" s="177"/>
    </row>
    <row r="28">
      <c r="A28" s="304"/>
      <c r="B28" s="303"/>
      <c r="C28" s="303"/>
      <c r="D28" s="303">
        <f>SUM(D24:D27)</f>
        <v>291.6666667</v>
      </c>
    </row>
    <row r="29">
      <c r="A29" s="251"/>
    </row>
    <row r="30">
      <c r="A30" s="251"/>
    </row>
    <row r="31">
      <c r="A31" s="251"/>
    </row>
    <row r="32">
      <c r="A32" s="251"/>
    </row>
    <row r="33">
      <c r="A33" s="251"/>
    </row>
    <row r="34">
      <c r="A34" s="251"/>
    </row>
    <row r="35">
      <c r="A35" s="251"/>
    </row>
    <row r="36">
      <c r="A36" s="251"/>
    </row>
    <row r="37">
      <c r="A37" s="251"/>
    </row>
    <row r="38">
      <c r="A38" s="251"/>
    </row>
    <row r="39">
      <c r="A39" s="251"/>
    </row>
    <row r="40">
      <c r="A40" s="251"/>
    </row>
    <row r="41">
      <c r="A41" s="251"/>
    </row>
    <row r="42">
      <c r="A42" s="251"/>
    </row>
    <row r="43">
      <c r="A43" s="251"/>
    </row>
    <row r="44">
      <c r="A44" s="251"/>
    </row>
    <row r="45">
      <c r="A45" s="251"/>
    </row>
    <row r="46">
      <c r="A46" s="251"/>
    </row>
    <row r="47">
      <c r="A47" s="251"/>
    </row>
    <row r="48">
      <c r="A48" s="251"/>
    </row>
    <row r="49">
      <c r="A49" s="251"/>
    </row>
    <row r="50">
      <c r="A50" s="251"/>
    </row>
    <row r="51">
      <c r="A51" s="251"/>
    </row>
    <row r="52">
      <c r="A52" s="251"/>
    </row>
    <row r="53">
      <c r="A53" s="251"/>
    </row>
    <row r="54">
      <c r="A54" s="251"/>
    </row>
    <row r="55">
      <c r="A55" s="251"/>
    </row>
    <row r="56">
      <c r="A56" s="251"/>
    </row>
    <row r="57">
      <c r="A57" s="251"/>
    </row>
    <row r="58">
      <c r="A58" s="251"/>
    </row>
    <row r="59">
      <c r="A59" s="251"/>
    </row>
    <row r="60">
      <c r="A60" s="251"/>
    </row>
    <row r="61">
      <c r="A61" s="251"/>
    </row>
    <row r="62">
      <c r="A62" s="251"/>
    </row>
    <row r="63">
      <c r="A63" s="251"/>
    </row>
    <row r="64">
      <c r="A64" s="251"/>
    </row>
    <row r="65">
      <c r="A65" s="251"/>
    </row>
    <row r="66">
      <c r="A66" s="251"/>
    </row>
    <row r="67">
      <c r="A67" s="251"/>
    </row>
    <row r="68">
      <c r="A68" s="251"/>
    </row>
    <row r="69">
      <c r="A69" s="251"/>
    </row>
    <row r="70">
      <c r="A70" s="251"/>
    </row>
    <row r="71">
      <c r="A71" s="251"/>
    </row>
    <row r="72">
      <c r="A72" s="251"/>
    </row>
    <row r="73">
      <c r="A73" s="251"/>
    </row>
    <row r="74">
      <c r="A74" s="251"/>
    </row>
    <row r="75">
      <c r="A75" s="251"/>
    </row>
    <row r="76">
      <c r="A76" s="251"/>
    </row>
    <row r="77">
      <c r="A77" s="251"/>
    </row>
    <row r="78">
      <c r="A78" s="251"/>
    </row>
    <row r="79">
      <c r="A79" s="251"/>
    </row>
    <row r="80">
      <c r="A80" s="251"/>
    </row>
    <row r="81">
      <c r="A81" s="251"/>
    </row>
    <row r="82">
      <c r="A82" s="251"/>
    </row>
    <row r="83">
      <c r="A83" s="251"/>
    </row>
    <row r="84">
      <c r="A84" s="251"/>
    </row>
    <row r="85">
      <c r="A85" s="251"/>
    </row>
    <row r="86">
      <c r="A86" s="251"/>
    </row>
    <row r="87">
      <c r="A87" s="251"/>
    </row>
    <row r="88">
      <c r="A88" s="251"/>
    </row>
    <row r="89">
      <c r="A89" s="251"/>
    </row>
    <row r="90">
      <c r="A90" s="251"/>
    </row>
    <row r="91">
      <c r="A91" s="251"/>
    </row>
    <row r="92">
      <c r="A92" s="251"/>
    </row>
    <row r="93">
      <c r="A93" s="251"/>
    </row>
    <row r="94">
      <c r="A94" s="251"/>
    </row>
    <row r="95">
      <c r="A95" s="251"/>
    </row>
    <row r="96">
      <c r="A96" s="251"/>
    </row>
    <row r="97">
      <c r="A97" s="251"/>
    </row>
    <row r="98">
      <c r="A98" s="251"/>
    </row>
    <row r="99">
      <c r="A99" s="251"/>
    </row>
    <row r="100">
      <c r="A100" s="251"/>
    </row>
    <row r="101">
      <c r="A101" s="251"/>
    </row>
    <row r="102">
      <c r="A102" s="251"/>
    </row>
    <row r="103">
      <c r="A103" s="251"/>
    </row>
    <row r="104">
      <c r="A104" s="251"/>
    </row>
    <row r="105">
      <c r="A105" s="251"/>
    </row>
    <row r="106">
      <c r="A106" s="251"/>
    </row>
    <row r="107">
      <c r="A107" s="251"/>
    </row>
    <row r="108">
      <c r="A108" s="251"/>
    </row>
    <row r="109">
      <c r="A109" s="251"/>
    </row>
    <row r="110">
      <c r="A110" s="251"/>
    </row>
    <row r="111">
      <c r="A111" s="251"/>
    </row>
    <row r="112">
      <c r="A112" s="251"/>
    </row>
    <row r="113">
      <c r="A113" s="251"/>
    </row>
    <row r="114">
      <c r="A114" s="251"/>
    </row>
    <row r="115">
      <c r="A115" s="251"/>
    </row>
    <row r="116">
      <c r="A116" s="251"/>
    </row>
    <row r="117">
      <c r="A117" s="251"/>
    </row>
    <row r="118">
      <c r="A118" s="251"/>
    </row>
    <row r="119">
      <c r="A119" s="251"/>
    </row>
    <row r="120">
      <c r="A120" s="251"/>
    </row>
    <row r="121">
      <c r="A121" s="251"/>
    </row>
    <row r="122">
      <c r="A122" s="251"/>
    </row>
    <row r="123">
      <c r="A123" s="251"/>
    </row>
    <row r="124">
      <c r="A124" s="251"/>
    </row>
    <row r="125">
      <c r="A125" s="251"/>
    </row>
    <row r="126">
      <c r="A126" s="251"/>
    </row>
    <row r="127">
      <c r="A127" s="251"/>
    </row>
    <row r="128">
      <c r="A128" s="251"/>
    </row>
    <row r="129">
      <c r="A129" s="251"/>
    </row>
    <row r="130">
      <c r="A130" s="251"/>
    </row>
    <row r="131">
      <c r="A131" s="251"/>
    </row>
    <row r="132">
      <c r="A132" s="251"/>
    </row>
    <row r="133">
      <c r="A133" s="251"/>
    </row>
    <row r="134">
      <c r="A134" s="251"/>
    </row>
    <row r="135">
      <c r="A135" s="251"/>
    </row>
    <row r="136">
      <c r="A136" s="251"/>
    </row>
    <row r="137">
      <c r="A137" s="251"/>
    </row>
    <row r="138">
      <c r="A138" s="251"/>
    </row>
    <row r="139">
      <c r="A139" s="251"/>
    </row>
    <row r="140">
      <c r="A140" s="251"/>
    </row>
    <row r="141">
      <c r="A141" s="251"/>
    </row>
    <row r="142">
      <c r="A142" s="251"/>
    </row>
    <row r="143">
      <c r="A143" s="251"/>
    </row>
    <row r="144">
      <c r="A144" s="251"/>
    </row>
    <row r="145">
      <c r="A145" s="251"/>
    </row>
    <row r="146">
      <c r="A146" s="251"/>
    </row>
    <row r="147">
      <c r="A147" s="251"/>
    </row>
    <row r="148">
      <c r="A148" s="251"/>
    </row>
    <row r="149">
      <c r="A149" s="251"/>
    </row>
    <row r="150">
      <c r="A150" s="251"/>
    </row>
    <row r="151">
      <c r="A151" s="251"/>
    </row>
    <row r="152">
      <c r="A152" s="251"/>
    </row>
    <row r="153">
      <c r="A153" s="251"/>
    </row>
    <row r="154">
      <c r="A154" s="251"/>
    </row>
    <row r="155">
      <c r="A155" s="251"/>
    </row>
    <row r="156">
      <c r="A156" s="251"/>
    </row>
    <row r="157">
      <c r="A157" s="251"/>
    </row>
    <row r="158">
      <c r="A158" s="251"/>
    </row>
    <row r="159">
      <c r="A159" s="251"/>
    </row>
    <row r="160">
      <c r="A160" s="251"/>
    </row>
    <row r="161">
      <c r="A161" s="251"/>
    </row>
    <row r="162">
      <c r="A162" s="251"/>
    </row>
    <row r="163">
      <c r="A163" s="251"/>
    </row>
    <row r="164">
      <c r="A164" s="251"/>
    </row>
    <row r="165">
      <c r="A165" s="251"/>
    </row>
    <row r="166">
      <c r="A166" s="251"/>
    </row>
    <row r="167">
      <c r="A167" s="251"/>
    </row>
    <row r="168">
      <c r="A168" s="251"/>
    </row>
    <row r="169">
      <c r="A169" s="251"/>
    </row>
    <row r="170">
      <c r="A170" s="251"/>
    </row>
    <row r="171">
      <c r="A171" s="251"/>
    </row>
    <row r="172">
      <c r="A172" s="251"/>
    </row>
    <row r="173">
      <c r="A173" s="251"/>
    </row>
    <row r="174">
      <c r="A174" s="251"/>
    </row>
    <row r="175">
      <c r="A175" s="251"/>
    </row>
    <row r="176">
      <c r="A176" s="251"/>
    </row>
    <row r="177">
      <c r="A177" s="251"/>
    </row>
    <row r="178">
      <c r="A178" s="251"/>
    </row>
    <row r="179">
      <c r="A179" s="251"/>
    </row>
    <row r="180">
      <c r="A180" s="251"/>
    </row>
    <row r="181">
      <c r="A181" s="251"/>
    </row>
    <row r="182">
      <c r="A182" s="251"/>
    </row>
    <row r="183">
      <c r="A183" s="251"/>
    </row>
    <row r="184">
      <c r="A184" s="251"/>
    </row>
    <row r="185">
      <c r="A185" s="251"/>
    </row>
    <row r="186">
      <c r="A186" s="251"/>
    </row>
    <row r="187">
      <c r="A187" s="251"/>
    </row>
    <row r="188">
      <c r="A188" s="251"/>
    </row>
    <row r="189">
      <c r="A189" s="251"/>
    </row>
    <row r="190">
      <c r="A190" s="251"/>
    </row>
    <row r="191">
      <c r="A191" s="251"/>
    </row>
    <row r="192">
      <c r="A192" s="251"/>
    </row>
    <row r="193">
      <c r="A193" s="251"/>
    </row>
    <row r="194">
      <c r="A194" s="251"/>
    </row>
    <row r="195">
      <c r="A195" s="251"/>
    </row>
    <row r="196">
      <c r="A196" s="251"/>
    </row>
    <row r="197">
      <c r="A197" s="251"/>
    </row>
    <row r="198">
      <c r="A198" s="251"/>
    </row>
    <row r="199">
      <c r="A199" s="251"/>
    </row>
    <row r="200">
      <c r="A200" s="251"/>
    </row>
    <row r="201">
      <c r="A201" s="251"/>
    </row>
    <row r="202">
      <c r="A202" s="251"/>
    </row>
    <row r="203">
      <c r="A203" s="251"/>
    </row>
    <row r="204">
      <c r="A204" s="251"/>
    </row>
    <row r="205">
      <c r="A205" s="251"/>
    </row>
    <row r="206">
      <c r="A206" s="251"/>
    </row>
    <row r="207">
      <c r="A207" s="251"/>
    </row>
    <row r="208">
      <c r="A208" s="251"/>
    </row>
    <row r="209">
      <c r="A209" s="251"/>
    </row>
    <row r="210">
      <c r="A210" s="251"/>
    </row>
    <row r="211">
      <c r="A211" s="251"/>
    </row>
    <row r="212">
      <c r="A212" s="251"/>
    </row>
    <row r="213">
      <c r="A213" s="251"/>
    </row>
    <row r="214">
      <c r="A214" s="251"/>
    </row>
    <row r="215">
      <c r="A215" s="251"/>
    </row>
    <row r="216">
      <c r="A216" s="251"/>
    </row>
    <row r="217">
      <c r="A217" s="251"/>
    </row>
    <row r="218">
      <c r="A218" s="251"/>
    </row>
    <row r="219">
      <c r="A219" s="251"/>
    </row>
    <row r="220">
      <c r="A220" s="251"/>
    </row>
    <row r="221">
      <c r="A221" s="251"/>
    </row>
    <row r="222">
      <c r="A222" s="251"/>
    </row>
    <row r="223">
      <c r="A223" s="251"/>
    </row>
    <row r="224">
      <c r="A224" s="251"/>
    </row>
    <row r="225">
      <c r="A225" s="251"/>
    </row>
    <row r="226">
      <c r="A226" s="251"/>
    </row>
    <row r="227">
      <c r="A227" s="251"/>
    </row>
    <row r="228">
      <c r="A228" s="251"/>
    </row>
    <row r="229">
      <c r="A229" s="251"/>
    </row>
    <row r="230">
      <c r="A230" s="251"/>
    </row>
    <row r="231">
      <c r="A231" s="251"/>
    </row>
    <row r="232">
      <c r="A232" s="251"/>
    </row>
    <row r="233">
      <c r="A233" s="251"/>
    </row>
    <row r="234">
      <c r="A234" s="251"/>
    </row>
    <row r="235">
      <c r="A235" s="251"/>
    </row>
    <row r="236">
      <c r="A236" s="251"/>
    </row>
    <row r="237">
      <c r="A237" s="251"/>
    </row>
    <row r="238">
      <c r="A238" s="251"/>
    </row>
    <row r="239">
      <c r="A239" s="251"/>
    </row>
    <row r="240">
      <c r="A240" s="251"/>
    </row>
    <row r="241">
      <c r="A241" s="251"/>
    </row>
    <row r="242">
      <c r="A242" s="251"/>
    </row>
    <row r="243">
      <c r="A243" s="251"/>
    </row>
    <row r="244">
      <c r="A244" s="251"/>
    </row>
    <row r="245">
      <c r="A245" s="251"/>
    </row>
    <row r="246">
      <c r="A246" s="251"/>
    </row>
    <row r="247">
      <c r="A247" s="251"/>
    </row>
    <row r="248">
      <c r="A248" s="251"/>
    </row>
    <row r="249">
      <c r="A249" s="251"/>
    </row>
    <row r="250">
      <c r="A250" s="251"/>
    </row>
    <row r="251">
      <c r="A251" s="251"/>
    </row>
    <row r="252">
      <c r="A252" s="251"/>
    </row>
    <row r="253">
      <c r="A253" s="251"/>
    </row>
    <row r="254">
      <c r="A254" s="251"/>
    </row>
    <row r="255">
      <c r="A255" s="251"/>
    </row>
    <row r="256">
      <c r="A256" s="251"/>
    </row>
    <row r="257">
      <c r="A257" s="251"/>
    </row>
    <row r="258">
      <c r="A258" s="251"/>
    </row>
    <row r="259">
      <c r="A259" s="251"/>
    </row>
    <row r="260">
      <c r="A260" s="251"/>
    </row>
    <row r="261">
      <c r="A261" s="251"/>
    </row>
    <row r="262">
      <c r="A262" s="251"/>
    </row>
    <row r="263">
      <c r="A263" s="251"/>
    </row>
    <row r="264">
      <c r="A264" s="251"/>
    </row>
    <row r="265">
      <c r="A265" s="251"/>
    </row>
    <row r="266">
      <c r="A266" s="251"/>
    </row>
    <row r="267">
      <c r="A267" s="251"/>
    </row>
    <row r="268">
      <c r="A268" s="251"/>
    </row>
    <row r="269">
      <c r="A269" s="251"/>
    </row>
    <row r="270">
      <c r="A270" s="251"/>
    </row>
    <row r="271">
      <c r="A271" s="251"/>
    </row>
    <row r="272">
      <c r="A272" s="251"/>
    </row>
    <row r="273">
      <c r="A273" s="251"/>
    </row>
    <row r="274">
      <c r="A274" s="251"/>
    </row>
    <row r="275">
      <c r="A275" s="251"/>
    </row>
    <row r="276">
      <c r="A276" s="251"/>
    </row>
    <row r="277">
      <c r="A277" s="251"/>
    </row>
    <row r="278">
      <c r="A278" s="251"/>
    </row>
    <row r="279">
      <c r="A279" s="251"/>
    </row>
    <row r="280">
      <c r="A280" s="251"/>
    </row>
    <row r="281">
      <c r="A281" s="251"/>
    </row>
    <row r="282">
      <c r="A282" s="251"/>
    </row>
    <row r="283">
      <c r="A283" s="251"/>
    </row>
    <row r="284">
      <c r="A284" s="251"/>
    </row>
    <row r="285">
      <c r="A285" s="251"/>
    </row>
    <row r="286">
      <c r="A286" s="251"/>
    </row>
    <row r="287">
      <c r="A287" s="251"/>
    </row>
    <row r="288">
      <c r="A288" s="251"/>
    </row>
    <row r="289">
      <c r="A289" s="251"/>
    </row>
    <row r="290">
      <c r="A290" s="251"/>
    </row>
    <row r="291">
      <c r="A291" s="251"/>
    </row>
    <row r="292">
      <c r="A292" s="251"/>
    </row>
    <row r="293">
      <c r="A293" s="251"/>
    </row>
    <row r="294">
      <c r="A294" s="251"/>
    </row>
    <row r="295">
      <c r="A295" s="251"/>
    </row>
    <row r="296">
      <c r="A296" s="251"/>
    </row>
    <row r="297">
      <c r="A297" s="251"/>
    </row>
    <row r="298">
      <c r="A298" s="251"/>
    </row>
    <row r="299">
      <c r="A299" s="251"/>
    </row>
    <row r="300">
      <c r="A300" s="251"/>
    </row>
    <row r="301">
      <c r="A301" s="251"/>
    </row>
    <row r="302">
      <c r="A302" s="251"/>
    </row>
    <row r="303">
      <c r="A303" s="251"/>
    </row>
    <row r="304">
      <c r="A304" s="251"/>
    </row>
    <row r="305">
      <c r="A305" s="251"/>
    </row>
    <row r="306">
      <c r="A306" s="251"/>
    </row>
    <row r="307">
      <c r="A307" s="251"/>
    </row>
    <row r="308">
      <c r="A308" s="251"/>
    </row>
    <row r="309">
      <c r="A309" s="251"/>
    </row>
    <row r="310">
      <c r="A310" s="251"/>
    </row>
    <row r="311">
      <c r="A311" s="251"/>
    </row>
    <row r="312">
      <c r="A312" s="251"/>
    </row>
    <row r="313">
      <c r="A313" s="251"/>
    </row>
    <row r="314">
      <c r="A314" s="251"/>
    </row>
    <row r="315">
      <c r="A315" s="251"/>
    </row>
    <row r="316">
      <c r="A316" s="251"/>
    </row>
    <row r="317">
      <c r="A317" s="251"/>
    </row>
    <row r="318">
      <c r="A318" s="251"/>
    </row>
    <row r="319">
      <c r="A319" s="251"/>
    </row>
    <row r="320">
      <c r="A320" s="251"/>
    </row>
    <row r="321">
      <c r="A321" s="251"/>
    </row>
    <row r="322">
      <c r="A322" s="251"/>
    </row>
    <row r="323">
      <c r="A323" s="251"/>
    </row>
    <row r="324">
      <c r="A324" s="251"/>
    </row>
    <row r="325">
      <c r="A325" s="251"/>
    </row>
    <row r="326">
      <c r="A326" s="251"/>
    </row>
    <row r="327">
      <c r="A327" s="251"/>
    </row>
    <row r="328">
      <c r="A328" s="251"/>
    </row>
    <row r="329">
      <c r="A329" s="251"/>
    </row>
    <row r="330">
      <c r="A330" s="251"/>
    </row>
    <row r="331">
      <c r="A331" s="251"/>
    </row>
    <row r="332">
      <c r="A332" s="251"/>
    </row>
    <row r="333">
      <c r="A333" s="251"/>
    </row>
    <row r="334">
      <c r="A334" s="251"/>
    </row>
    <row r="335">
      <c r="A335" s="251"/>
    </row>
    <row r="336">
      <c r="A336" s="251"/>
    </row>
    <row r="337">
      <c r="A337" s="251"/>
    </row>
    <row r="338">
      <c r="A338" s="251"/>
    </row>
    <row r="339">
      <c r="A339" s="251"/>
    </row>
    <row r="340">
      <c r="A340" s="251"/>
    </row>
    <row r="341">
      <c r="A341" s="251"/>
    </row>
    <row r="342">
      <c r="A342" s="251"/>
    </row>
    <row r="343">
      <c r="A343" s="251"/>
    </row>
    <row r="344">
      <c r="A344" s="251"/>
    </row>
    <row r="345">
      <c r="A345" s="251"/>
    </row>
    <row r="346">
      <c r="A346" s="251"/>
    </row>
    <row r="347">
      <c r="A347" s="251"/>
    </row>
    <row r="348">
      <c r="A348" s="251"/>
    </row>
    <row r="349">
      <c r="A349" s="251"/>
    </row>
    <row r="350">
      <c r="A350" s="251"/>
    </row>
    <row r="351">
      <c r="A351" s="251"/>
    </row>
    <row r="352">
      <c r="A352" s="251"/>
    </row>
    <row r="353">
      <c r="A353" s="251"/>
    </row>
    <row r="354">
      <c r="A354" s="251"/>
    </row>
    <row r="355">
      <c r="A355" s="251"/>
    </row>
    <row r="356">
      <c r="A356" s="251"/>
    </row>
    <row r="357">
      <c r="A357" s="251"/>
    </row>
    <row r="358">
      <c r="A358" s="251"/>
    </row>
    <row r="359">
      <c r="A359" s="251"/>
    </row>
    <row r="360">
      <c r="A360" s="251"/>
    </row>
    <row r="361">
      <c r="A361" s="251"/>
    </row>
    <row r="362">
      <c r="A362" s="251"/>
    </row>
    <row r="363">
      <c r="A363" s="251"/>
    </row>
    <row r="364">
      <c r="A364" s="251"/>
    </row>
    <row r="365">
      <c r="A365" s="251"/>
    </row>
    <row r="366">
      <c r="A366" s="251"/>
    </row>
    <row r="367">
      <c r="A367" s="251"/>
    </row>
    <row r="368">
      <c r="A368" s="251"/>
    </row>
    <row r="369">
      <c r="A369" s="251"/>
    </row>
    <row r="370">
      <c r="A370" s="251"/>
    </row>
    <row r="371">
      <c r="A371" s="251"/>
    </row>
    <row r="372">
      <c r="A372" s="251"/>
    </row>
    <row r="373">
      <c r="A373" s="251"/>
    </row>
    <row r="374">
      <c r="A374" s="251"/>
    </row>
    <row r="375">
      <c r="A375" s="251"/>
    </row>
    <row r="376">
      <c r="A376" s="251"/>
    </row>
    <row r="377">
      <c r="A377" s="251"/>
    </row>
    <row r="378">
      <c r="A378" s="251"/>
    </row>
    <row r="379">
      <c r="A379" s="251"/>
    </row>
    <row r="380">
      <c r="A380" s="251"/>
    </row>
    <row r="381">
      <c r="A381" s="251"/>
    </row>
    <row r="382">
      <c r="A382" s="251"/>
    </row>
    <row r="383">
      <c r="A383" s="251"/>
    </row>
    <row r="384">
      <c r="A384" s="251"/>
    </row>
    <row r="385">
      <c r="A385" s="251"/>
    </row>
    <row r="386">
      <c r="A386" s="251"/>
    </row>
    <row r="387">
      <c r="A387" s="251"/>
    </row>
    <row r="388">
      <c r="A388" s="251"/>
    </row>
    <row r="389">
      <c r="A389" s="251"/>
    </row>
    <row r="390">
      <c r="A390" s="251"/>
    </row>
    <row r="391">
      <c r="A391" s="251"/>
    </row>
    <row r="392">
      <c r="A392" s="251"/>
    </row>
    <row r="393">
      <c r="A393" s="251"/>
    </row>
    <row r="394">
      <c r="A394" s="251"/>
    </row>
    <row r="395">
      <c r="A395" s="251"/>
    </row>
    <row r="396">
      <c r="A396" s="251"/>
    </row>
    <row r="397">
      <c r="A397" s="251"/>
    </row>
    <row r="398">
      <c r="A398" s="251"/>
    </row>
    <row r="399">
      <c r="A399" s="251"/>
    </row>
    <row r="400">
      <c r="A400" s="251"/>
    </row>
    <row r="401">
      <c r="A401" s="251"/>
    </row>
    <row r="402">
      <c r="A402" s="251"/>
    </row>
    <row r="403">
      <c r="A403" s="251"/>
    </row>
    <row r="404">
      <c r="A404" s="251"/>
    </row>
    <row r="405">
      <c r="A405" s="251"/>
    </row>
    <row r="406">
      <c r="A406" s="251"/>
    </row>
    <row r="407">
      <c r="A407" s="251"/>
    </row>
    <row r="408">
      <c r="A408" s="251"/>
    </row>
    <row r="409">
      <c r="A409" s="251"/>
    </row>
    <row r="410">
      <c r="A410" s="251"/>
    </row>
    <row r="411">
      <c r="A411" s="251"/>
    </row>
    <row r="412">
      <c r="A412" s="251"/>
    </row>
    <row r="413">
      <c r="A413" s="251"/>
    </row>
    <row r="414">
      <c r="A414" s="251"/>
    </row>
    <row r="415">
      <c r="A415" s="251"/>
    </row>
    <row r="416">
      <c r="A416" s="251"/>
    </row>
    <row r="417">
      <c r="A417" s="251"/>
    </row>
    <row r="418">
      <c r="A418" s="251"/>
    </row>
    <row r="419">
      <c r="A419" s="251"/>
    </row>
    <row r="420">
      <c r="A420" s="251"/>
    </row>
    <row r="421">
      <c r="A421" s="251"/>
    </row>
    <row r="422">
      <c r="A422" s="251"/>
    </row>
    <row r="423">
      <c r="A423" s="251"/>
    </row>
    <row r="424">
      <c r="A424" s="251"/>
    </row>
    <row r="425">
      <c r="A425" s="251"/>
    </row>
    <row r="426">
      <c r="A426" s="251"/>
    </row>
    <row r="427">
      <c r="A427" s="251"/>
    </row>
    <row r="428">
      <c r="A428" s="251"/>
    </row>
    <row r="429">
      <c r="A429" s="251"/>
    </row>
    <row r="430">
      <c r="A430" s="251"/>
    </row>
    <row r="431">
      <c r="A431" s="251"/>
    </row>
    <row r="432">
      <c r="A432" s="251"/>
    </row>
    <row r="433">
      <c r="A433" s="251"/>
    </row>
    <row r="434">
      <c r="A434" s="251"/>
    </row>
    <row r="435">
      <c r="A435" s="251"/>
    </row>
    <row r="436">
      <c r="A436" s="251"/>
    </row>
    <row r="437">
      <c r="A437" s="251"/>
    </row>
    <row r="438">
      <c r="A438" s="251"/>
    </row>
    <row r="439">
      <c r="A439" s="251"/>
    </row>
    <row r="440">
      <c r="A440" s="251"/>
    </row>
    <row r="441">
      <c r="A441" s="251"/>
    </row>
    <row r="442">
      <c r="A442" s="251"/>
    </row>
    <row r="443">
      <c r="A443" s="251"/>
    </row>
    <row r="444">
      <c r="A444" s="251"/>
    </row>
    <row r="445">
      <c r="A445" s="251"/>
    </row>
    <row r="446">
      <c r="A446" s="251"/>
    </row>
    <row r="447">
      <c r="A447" s="251"/>
    </row>
    <row r="448">
      <c r="A448" s="251"/>
    </row>
    <row r="449">
      <c r="A449" s="251"/>
    </row>
    <row r="450">
      <c r="A450" s="251"/>
    </row>
    <row r="451">
      <c r="A451" s="251"/>
    </row>
    <row r="452">
      <c r="A452" s="251"/>
    </row>
    <row r="453">
      <c r="A453" s="251"/>
    </row>
    <row r="454">
      <c r="A454" s="251"/>
    </row>
    <row r="455">
      <c r="A455" s="251"/>
    </row>
    <row r="456">
      <c r="A456" s="251"/>
    </row>
    <row r="457">
      <c r="A457" s="251"/>
    </row>
    <row r="458">
      <c r="A458" s="251"/>
    </row>
    <row r="459">
      <c r="A459" s="251"/>
    </row>
    <row r="460">
      <c r="A460" s="251"/>
    </row>
    <row r="461">
      <c r="A461" s="251"/>
    </row>
    <row r="462">
      <c r="A462" s="251"/>
    </row>
    <row r="463">
      <c r="A463" s="251"/>
    </row>
    <row r="464">
      <c r="A464" s="251"/>
    </row>
    <row r="465">
      <c r="A465" s="251"/>
    </row>
    <row r="466">
      <c r="A466" s="251"/>
    </row>
    <row r="467">
      <c r="A467" s="251"/>
    </row>
    <row r="468">
      <c r="A468" s="251"/>
    </row>
    <row r="469">
      <c r="A469" s="251"/>
    </row>
    <row r="470">
      <c r="A470" s="251"/>
    </row>
    <row r="471">
      <c r="A471" s="251"/>
    </row>
    <row r="472">
      <c r="A472" s="251"/>
    </row>
    <row r="473">
      <c r="A473" s="251"/>
    </row>
    <row r="474">
      <c r="A474" s="251"/>
    </row>
    <row r="475">
      <c r="A475" s="251"/>
    </row>
    <row r="476">
      <c r="A476" s="251"/>
    </row>
    <row r="477">
      <c r="A477" s="251"/>
    </row>
    <row r="478">
      <c r="A478" s="251"/>
    </row>
    <row r="479">
      <c r="A479" s="251"/>
    </row>
    <row r="480">
      <c r="A480" s="251"/>
    </row>
    <row r="481">
      <c r="A481" s="251"/>
    </row>
    <row r="482">
      <c r="A482" s="251"/>
    </row>
    <row r="483">
      <c r="A483" s="251"/>
    </row>
    <row r="484">
      <c r="A484" s="251"/>
    </row>
    <row r="485">
      <c r="A485" s="251"/>
    </row>
    <row r="486">
      <c r="A486" s="251"/>
    </row>
    <row r="487">
      <c r="A487" s="251"/>
    </row>
    <row r="488">
      <c r="A488" s="251"/>
    </row>
    <row r="489">
      <c r="A489" s="251"/>
    </row>
    <row r="490">
      <c r="A490" s="251"/>
    </row>
    <row r="491">
      <c r="A491" s="251"/>
    </row>
    <row r="492">
      <c r="A492" s="251"/>
    </row>
    <row r="493">
      <c r="A493" s="251"/>
    </row>
    <row r="494">
      <c r="A494" s="251"/>
    </row>
    <row r="495">
      <c r="A495" s="251"/>
    </row>
    <row r="496">
      <c r="A496" s="251"/>
    </row>
    <row r="497">
      <c r="A497" s="251"/>
    </row>
    <row r="498">
      <c r="A498" s="251"/>
    </row>
    <row r="499">
      <c r="A499" s="251"/>
    </row>
    <row r="500">
      <c r="A500" s="251"/>
    </row>
    <row r="501">
      <c r="A501" s="251"/>
    </row>
    <row r="502">
      <c r="A502" s="251"/>
    </row>
    <row r="503">
      <c r="A503" s="251"/>
    </row>
    <row r="504">
      <c r="A504" s="251"/>
    </row>
    <row r="505">
      <c r="A505" s="251"/>
    </row>
    <row r="506">
      <c r="A506" s="251"/>
    </row>
    <row r="507">
      <c r="A507" s="251"/>
    </row>
    <row r="508">
      <c r="A508" s="251"/>
    </row>
    <row r="509">
      <c r="A509" s="251"/>
    </row>
    <row r="510">
      <c r="A510" s="251"/>
    </row>
    <row r="511">
      <c r="A511" s="251"/>
    </row>
    <row r="512">
      <c r="A512" s="251"/>
    </row>
    <row r="513">
      <c r="A513" s="251"/>
    </row>
    <row r="514">
      <c r="A514" s="251"/>
    </row>
    <row r="515">
      <c r="A515" s="251"/>
    </row>
    <row r="516">
      <c r="A516" s="251"/>
    </row>
    <row r="517">
      <c r="A517" s="251"/>
    </row>
    <row r="518">
      <c r="A518" s="251"/>
    </row>
    <row r="519">
      <c r="A519" s="251"/>
    </row>
    <row r="520">
      <c r="A520" s="251"/>
    </row>
    <row r="521">
      <c r="A521" s="251"/>
    </row>
    <row r="522">
      <c r="A522" s="251"/>
    </row>
    <row r="523">
      <c r="A523" s="251"/>
    </row>
    <row r="524">
      <c r="A524" s="251"/>
    </row>
    <row r="525">
      <c r="A525" s="251"/>
    </row>
    <row r="526">
      <c r="A526" s="251"/>
    </row>
    <row r="527">
      <c r="A527" s="251"/>
    </row>
    <row r="528">
      <c r="A528" s="251"/>
    </row>
    <row r="529">
      <c r="A529" s="251"/>
    </row>
    <row r="530">
      <c r="A530" s="251"/>
    </row>
    <row r="531">
      <c r="A531" s="251"/>
    </row>
    <row r="532">
      <c r="A532" s="251"/>
    </row>
    <row r="533">
      <c r="A533" s="251"/>
    </row>
    <row r="534">
      <c r="A534" s="251"/>
    </row>
    <row r="535">
      <c r="A535" s="251"/>
    </row>
    <row r="536">
      <c r="A536" s="251"/>
    </row>
    <row r="537">
      <c r="A537" s="251"/>
    </row>
    <row r="538">
      <c r="A538" s="251"/>
    </row>
    <row r="539">
      <c r="A539" s="251"/>
    </row>
    <row r="540">
      <c r="A540" s="251"/>
    </row>
    <row r="541">
      <c r="A541" s="251"/>
    </row>
    <row r="542">
      <c r="A542" s="251"/>
    </row>
    <row r="543">
      <c r="A543" s="251"/>
    </row>
    <row r="544">
      <c r="A544" s="251"/>
    </row>
    <row r="545">
      <c r="A545" s="251"/>
    </row>
    <row r="546">
      <c r="A546" s="251"/>
    </row>
    <row r="547">
      <c r="A547" s="251"/>
    </row>
    <row r="548">
      <c r="A548" s="251"/>
    </row>
    <row r="549">
      <c r="A549" s="251"/>
    </row>
    <row r="550">
      <c r="A550" s="251"/>
    </row>
    <row r="551">
      <c r="A551" s="251"/>
    </row>
    <row r="552">
      <c r="A552" s="251"/>
    </row>
    <row r="553">
      <c r="A553" s="251"/>
    </row>
    <row r="554">
      <c r="A554" s="251"/>
    </row>
    <row r="555">
      <c r="A555" s="251"/>
    </row>
    <row r="556">
      <c r="A556" s="251"/>
    </row>
    <row r="557">
      <c r="A557" s="251"/>
    </row>
    <row r="558">
      <c r="A558" s="251"/>
    </row>
    <row r="559">
      <c r="A559" s="251"/>
    </row>
    <row r="560">
      <c r="A560" s="251"/>
    </row>
    <row r="561">
      <c r="A561" s="251"/>
    </row>
    <row r="562">
      <c r="A562" s="251"/>
    </row>
    <row r="563">
      <c r="A563" s="251"/>
    </row>
    <row r="564">
      <c r="A564" s="251"/>
    </row>
    <row r="565">
      <c r="A565" s="251"/>
    </row>
    <row r="566">
      <c r="A566" s="251"/>
    </row>
    <row r="567">
      <c r="A567" s="251"/>
    </row>
    <row r="568">
      <c r="A568" s="251"/>
    </row>
    <row r="569">
      <c r="A569" s="251"/>
    </row>
    <row r="570">
      <c r="A570" s="251"/>
    </row>
    <row r="571">
      <c r="A571" s="251"/>
    </row>
    <row r="572">
      <c r="A572" s="251"/>
    </row>
    <row r="573">
      <c r="A573" s="251"/>
    </row>
    <row r="574">
      <c r="A574" s="251"/>
    </row>
    <row r="575">
      <c r="A575" s="251"/>
    </row>
    <row r="576">
      <c r="A576" s="251"/>
    </row>
    <row r="577">
      <c r="A577" s="251"/>
    </row>
    <row r="578">
      <c r="A578" s="251"/>
    </row>
    <row r="579">
      <c r="A579" s="251"/>
    </row>
    <row r="580">
      <c r="A580" s="251"/>
    </row>
    <row r="581">
      <c r="A581" s="251"/>
    </row>
    <row r="582">
      <c r="A582" s="251"/>
    </row>
    <row r="583">
      <c r="A583" s="251"/>
    </row>
    <row r="584">
      <c r="A584" s="251"/>
    </row>
    <row r="585">
      <c r="A585" s="251"/>
    </row>
    <row r="586">
      <c r="A586" s="251"/>
    </row>
    <row r="587">
      <c r="A587" s="251"/>
    </row>
    <row r="588">
      <c r="A588" s="251"/>
    </row>
    <row r="589">
      <c r="A589" s="251"/>
    </row>
    <row r="590">
      <c r="A590" s="251"/>
    </row>
    <row r="591">
      <c r="A591" s="251"/>
    </row>
    <row r="592">
      <c r="A592" s="251"/>
    </row>
    <row r="593">
      <c r="A593" s="251"/>
    </row>
    <row r="594">
      <c r="A594" s="251"/>
    </row>
    <row r="595">
      <c r="A595" s="251"/>
    </row>
    <row r="596">
      <c r="A596" s="251"/>
    </row>
    <row r="597">
      <c r="A597" s="251"/>
    </row>
    <row r="598">
      <c r="A598" s="251"/>
    </row>
    <row r="599">
      <c r="A599" s="251"/>
    </row>
    <row r="600">
      <c r="A600" s="251"/>
    </row>
    <row r="601">
      <c r="A601" s="251"/>
    </row>
    <row r="602">
      <c r="A602" s="251"/>
    </row>
    <row r="603">
      <c r="A603" s="251"/>
    </row>
    <row r="604">
      <c r="A604" s="251"/>
    </row>
    <row r="605">
      <c r="A605" s="251"/>
    </row>
    <row r="606">
      <c r="A606" s="251"/>
    </row>
    <row r="607">
      <c r="A607" s="251"/>
    </row>
    <row r="608">
      <c r="A608" s="251"/>
    </row>
    <row r="609">
      <c r="A609" s="251"/>
    </row>
    <row r="610">
      <c r="A610" s="251"/>
    </row>
    <row r="611">
      <c r="A611" s="251"/>
    </row>
    <row r="612">
      <c r="A612" s="251"/>
    </row>
    <row r="613">
      <c r="A613" s="251"/>
    </row>
    <row r="614">
      <c r="A614" s="251"/>
    </row>
    <row r="615">
      <c r="A615" s="251"/>
    </row>
    <row r="616">
      <c r="A616" s="251"/>
    </row>
    <row r="617">
      <c r="A617" s="251"/>
    </row>
    <row r="618">
      <c r="A618" s="251"/>
    </row>
    <row r="619">
      <c r="A619" s="251"/>
    </row>
    <row r="620">
      <c r="A620" s="251"/>
    </row>
    <row r="621">
      <c r="A621" s="251"/>
    </row>
    <row r="622">
      <c r="A622" s="251"/>
    </row>
    <row r="623">
      <c r="A623" s="251"/>
    </row>
    <row r="624">
      <c r="A624" s="251"/>
    </row>
    <row r="625">
      <c r="A625" s="251"/>
    </row>
    <row r="626">
      <c r="A626" s="251"/>
    </row>
    <row r="627">
      <c r="A627" s="251"/>
    </row>
    <row r="628">
      <c r="A628" s="251"/>
    </row>
    <row r="629">
      <c r="A629" s="251"/>
    </row>
    <row r="630">
      <c r="A630" s="251"/>
    </row>
    <row r="631">
      <c r="A631" s="251"/>
    </row>
    <row r="632">
      <c r="A632" s="251"/>
    </row>
    <row r="633">
      <c r="A633" s="251"/>
    </row>
    <row r="634">
      <c r="A634" s="251"/>
    </row>
    <row r="635">
      <c r="A635" s="251"/>
    </row>
    <row r="636">
      <c r="A636" s="251"/>
    </row>
    <row r="637">
      <c r="A637" s="251"/>
    </row>
    <row r="638">
      <c r="A638" s="251"/>
    </row>
    <row r="639">
      <c r="A639" s="251"/>
    </row>
    <row r="640">
      <c r="A640" s="251"/>
    </row>
    <row r="641">
      <c r="A641" s="251"/>
    </row>
    <row r="642">
      <c r="A642" s="251"/>
    </row>
    <row r="643">
      <c r="A643" s="251"/>
    </row>
    <row r="644">
      <c r="A644" s="251"/>
    </row>
    <row r="645">
      <c r="A645" s="251"/>
    </row>
    <row r="646">
      <c r="A646" s="251"/>
    </row>
    <row r="647">
      <c r="A647" s="251"/>
    </row>
    <row r="648">
      <c r="A648" s="251"/>
    </row>
    <row r="649">
      <c r="A649" s="251"/>
    </row>
    <row r="650">
      <c r="A650" s="251"/>
    </row>
    <row r="651">
      <c r="A651" s="251"/>
    </row>
    <row r="652">
      <c r="A652" s="251"/>
    </row>
    <row r="653">
      <c r="A653" s="251"/>
    </row>
    <row r="654">
      <c r="A654" s="251"/>
    </row>
    <row r="655">
      <c r="A655" s="251"/>
    </row>
    <row r="656">
      <c r="A656" s="251"/>
    </row>
    <row r="657">
      <c r="A657" s="251"/>
    </row>
    <row r="658">
      <c r="A658" s="251"/>
    </row>
    <row r="659">
      <c r="A659" s="251"/>
    </row>
    <row r="660">
      <c r="A660" s="251"/>
    </row>
    <row r="661">
      <c r="A661" s="251"/>
    </row>
    <row r="662">
      <c r="A662" s="251"/>
    </row>
    <row r="663">
      <c r="A663" s="251"/>
    </row>
    <row r="664">
      <c r="A664" s="251"/>
    </row>
    <row r="665">
      <c r="A665" s="251"/>
    </row>
    <row r="666">
      <c r="A666" s="251"/>
    </row>
    <row r="667">
      <c r="A667" s="251"/>
    </row>
    <row r="668">
      <c r="A668" s="251"/>
    </row>
    <row r="669">
      <c r="A669" s="251"/>
    </row>
    <row r="670">
      <c r="A670" s="251"/>
    </row>
    <row r="671">
      <c r="A671" s="251"/>
    </row>
    <row r="672">
      <c r="A672" s="251"/>
    </row>
    <row r="673">
      <c r="A673" s="251"/>
    </row>
    <row r="674">
      <c r="A674" s="251"/>
    </row>
    <row r="675">
      <c r="A675" s="251"/>
    </row>
    <row r="676">
      <c r="A676" s="251"/>
    </row>
    <row r="677">
      <c r="A677" s="251"/>
    </row>
    <row r="678">
      <c r="A678" s="251"/>
    </row>
    <row r="679">
      <c r="A679" s="251"/>
    </row>
    <row r="680">
      <c r="A680" s="251"/>
    </row>
    <row r="681">
      <c r="A681" s="251"/>
    </row>
    <row r="682">
      <c r="A682" s="251"/>
    </row>
    <row r="683">
      <c r="A683" s="251"/>
    </row>
    <row r="684">
      <c r="A684" s="251"/>
    </row>
    <row r="685">
      <c r="A685" s="251"/>
    </row>
    <row r="686">
      <c r="A686" s="251"/>
    </row>
    <row r="687">
      <c r="A687" s="251"/>
    </row>
    <row r="688">
      <c r="A688" s="251"/>
    </row>
    <row r="689">
      <c r="A689" s="251"/>
    </row>
    <row r="690">
      <c r="A690" s="251"/>
    </row>
    <row r="691">
      <c r="A691" s="251"/>
    </row>
    <row r="692">
      <c r="A692" s="251"/>
    </row>
    <row r="693">
      <c r="A693" s="251"/>
    </row>
    <row r="694">
      <c r="A694" s="251"/>
    </row>
    <row r="695">
      <c r="A695" s="251"/>
    </row>
    <row r="696">
      <c r="A696" s="251"/>
    </row>
    <row r="697">
      <c r="A697" s="251"/>
    </row>
    <row r="698">
      <c r="A698" s="251"/>
    </row>
    <row r="699">
      <c r="A699" s="251"/>
    </row>
    <row r="700">
      <c r="A700" s="251"/>
    </row>
    <row r="701">
      <c r="A701" s="251"/>
    </row>
    <row r="702">
      <c r="A702" s="251"/>
    </row>
    <row r="703">
      <c r="A703" s="251"/>
    </row>
    <row r="704">
      <c r="A704" s="251"/>
    </row>
    <row r="705">
      <c r="A705" s="251"/>
    </row>
    <row r="706">
      <c r="A706" s="251"/>
    </row>
    <row r="707">
      <c r="A707" s="251"/>
    </row>
    <row r="708">
      <c r="A708" s="251"/>
    </row>
    <row r="709">
      <c r="A709" s="251"/>
    </row>
    <row r="710">
      <c r="A710" s="251"/>
    </row>
    <row r="711">
      <c r="A711" s="251"/>
    </row>
    <row r="712">
      <c r="A712" s="251"/>
    </row>
    <row r="713">
      <c r="A713" s="251"/>
    </row>
    <row r="714">
      <c r="A714" s="251"/>
    </row>
    <row r="715">
      <c r="A715" s="251"/>
    </row>
    <row r="716">
      <c r="A716" s="251"/>
    </row>
    <row r="717">
      <c r="A717" s="251"/>
    </row>
    <row r="718">
      <c r="A718" s="251"/>
    </row>
    <row r="719">
      <c r="A719" s="251"/>
    </row>
    <row r="720">
      <c r="A720" s="251"/>
    </row>
    <row r="721">
      <c r="A721" s="251"/>
    </row>
    <row r="722">
      <c r="A722" s="251"/>
    </row>
    <row r="723">
      <c r="A723" s="251"/>
    </row>
    <row r="724">
      <c r="A724" s="251"/>
    </row>
    <row r="725">
      <c r="A725" s="251"/>
    </row>
    <row r="726">
      <c r="A726" s="251"/>
    </row>
    <row r="727">
      <c r="A727" s="251"/>
    </row>
    <row r="728">
      <c r="A728" s="251"/>
    </row>
    <row r="729">
      <c r="A729" s="251"/>
    </row>
    <row r="730">
      <c r="A730" s="251"/>
    </row>
    <row r="731">
      <c r="A731" s="251"/>
    </row>
    <row r="732">
      <c r="A732" s="251"/>
    </row>
    <row r="733">
      <c r="A733" s="251"/>
    </row>
    <row r="734">
      <c r="A734" s="251"/>
    </row>
    <row r="735">
      <c r="A735" s="251"/>
    </row>
    <row r="736">
      <c r="A736" s="251"/>
    </row>
    <row r="737">
      <c r="A737" s="251"/>
    </row>
    <row r="738">
      <c r="A738" s="251"/>
    </row>
    <row r="739">
      <c r="A739" s="251"/>
    </row>
    <row r="740">
      <c r="A740" s="251"/>
    </row>
    <row r="741">
      <c r="A741" s="251"/>
    </row>
    <row r="742">
      <c r="A742" s="251"/>
    </row>
    <row r="743">
      <c r="A743" s="251"/>
    </row>
    <row r="744">
      <c r="A744" s="251"/>
    </row>
    <row r="745">
      <c r="A745" s="251"/>
    </row>
    <row r="746">
      <c r="A746" s="251"/>
    </row>
    <row r="747">
      <c r="A747" s="251"/>
    </row>
    <row r="748">
      <c r="A748" s="251"/>
    </row>
    <row r="749">
      <c r="A749" s="251"/>
    </row>
    <row r="750">
      <c r="A750" s="251"/>
    </row>
    <row r="751">
      <c r="A751" s="251"/>
    </row>
    <row r="752">
      <c r="A752" s="251"/>
    </row>
    <row r="753">
      <c r="A753" s="251"/>
    </row>
    <row r="754">
      <c r="A754" s="251"/>
    </row>
    <row r="755">
      <c r="A755" s="251"/>
    </row>
    <row r="756">
      <c r="A756" s="251"/>
    </row>
    <row r="757">
      <c r="A757" s="251"/>
    </row>
    <row r="758">
      <c r="A758" s="251"/>
    </row>
    <row r="759">
      <c r="A759" s="251"/>
    </row>
    <row r="760">
      <c r="A760" s="251"/>
    </row>
    <row r="761">
      <c r="A761" s="251"/>
    </row>
    <row r="762">
      <c r="A762" s="251"/>
    </row>
    <row r="763">
      <c r="A763" s="251"/>
    </row>
    <row r="764">
      <c r="A764" s="251"/>
    </row>
    <row r="765">
      <c r="A765" s="251"/>
    </row>
    <row r="766">
      <c r="A766" s="251"/>
    </row>
    <row r="767">
      <c r="A767" s="251"/>
    </row>
    <row r="768">
      <c r="A768" s="251"/>
    </row>
    <row r="769">
      <c r="A769" s="251"/>
    </row>
    <row r="770">
      <c r="A770" s="251"/>
    </row>
    <row r="771">
      <c r="A771" s="251"/>
    </row>
    <row r="772">
      <c r="A772" s="251"/>
    </row>
    <row r="773">
      <c r="A773" s="251"/>
    </row>
    <row r="774">
      <c r="A774" s="251"/>
    </row>
    <row r="775">
      <c r="A775" s="251"/>
    </row>
    <row r="776">
      <c r="A776" s="251"/>
    </row>
    <row r="777">
      <c r="A777" s="251"/>
    </row>
    <row r="778">
      <c r="A778" s="251"/>
    </row>
    <row r="779">
      <c r="A779" s="251"/>
    </row>
    <row r="780">
      <c r="A780" s="251"/>
    </row>
    <row r="781">
      <c r="A781" s="251"/>
    </row>
    <row r="782">
      <c r="A782" s="251"/>
    </row>
    <row r="783">
      <c r="A783" s="251"/>
    </row>
    <row r="784">
      <c r="A784" s="251"/>
    </row>
    <row r="785">
      <c r="A785" s="251"/>
    </row>
    <row r="786">
      <c r="A786" s="251"/>
    </row>
    <row r="787">
      <c r="A787" s="251"/>
    </row>
    <row r="788">
      <c r="A788" s="251"/>
    </row>
    <row r="789">
      <c r="A789" s="251"/>
    </row>
    <row r="790">
      <c r="A790" s="251"/>
    </row>
    <row r="791">
      <c r="A791" s="251"/>
    </row>
    <row r="792">
      <c r="A792" s="251"/>
    </row>
    <row r="793">
      <c r="A793" s="251"/>
    </row>
    <row r="794">
      <c r="A794" s="251"/>
    </row>
    <row r="795">
      <c r="A795" s="251"/>
    </row>
    <row r="796">
      <c r="A796" s="251"/>
    </row>
    <row r="797">
      <c r="A797" s="251"/>
    </row>
    <row r="798">
      <c r="A798" s="251"/>
    </row>
    <row r="799">
      <c r="A799" s="251"/>
    </row>
    <row r="800">
      <c r="A800" s="251"/>
    </row>
    <row r="801">
      <c r="A801" s="251"/>
    </row>
    <row r="802">
      <c r="A802" s="251"/>
    </row>
    <row r="803">
      <c r="A803" s="251"/>
    </row>
    <row r="804">
      <c r="A804" s="251"/>
    </row>
    <row r="805">
      <c r="A805" s="251"/>
    </row>
    <row r="806">
      <c r="A806" s="251"/>
    </row>
    <row r="807">
      <c r="A807" s="251"/>
    </row>
    <row r="808">
      <c r="A808" s="251"/>
    </row>
    <row r="809">
      <c r="A809" s="251"/>
    </row>
    <row r="810">
      <c r="A810" s="251"/>
    </row>
    <row r="811">
      <c r="A811" s="251"/>
    </row>
    <row r="812">
      <c r="A812" s="251"/>
    </row>
    <row r="813">
      <c r="A813" s="251"/>
    </row>
    <row r="814">
      <c r="A814" s="251"/>
    </row>
    <row r="815">
      <c r="A815" s="251"/>
    </row>
    <row r="816">
      <c r="A816" s="251"/>
    </row>
    <row r="817">
      <c r="A817" s="251"/>
    </row>
    <row r="818">
      <c r="A818" s="251"/>
    </row>
    <row r="819">
      <c r="A819" s="251"/>
    </row>
    <row r="820">
      <c r="A820" s="251"/>
    </row>
    <row r="821">
      <c r="A821" s="251"/>
    </row>
    <row r="822">
      <c r="A822" s="251"/>
    </row>
    <row r="823">
      <c r="A823" s="251"/>
    </row>
    <row r="824">
      <c r="A824" s="251"/>
    </row>
    <row r="825">
      <c r="A825" s="251"/>
    </row>
    <row r="826">
      <c r="A826" s="251"/>
    </row>
    <row r="827">
      <c r="A827" s="251"/>
    </row>
    <row r="828">
      <c r="A828" s="251"/>
    </row>
    <row r="829">
      <c r="A829" s="251"/>
    </row>
    <row r="830">
      <c r="A830" s="251"/>
    </row>
    <row r="831">
      <c r="A831" s="251"/>
    </row>
    <row r="832">
      <c r="A832" s="251"/>
    </row>
    <row r="833">
      <c r="A833" s="251"/>
    </row>
    <row r="834">
      <c r="A834" s="251"/>
    </row>
    <row r="835">
      <c r="A835" s="251"/>
    </row>
    <row r="836">
      <c r="A836" s="251"/>
    </row>
    <row r="837">
      <c r="A837" s="251"/>
    </row>
    <row r="838">
      <c r="A838" s="251"/>
    </row>
    <row r="839">
      <c r="A839" s="251"/>
    </row>
    <row r="840">
      <c r="A840" s="251"/>
    </row>
    <row r="841">
      <c r="A841" s="251"/>
    </row>
    <row r="842">
      <c r="A842" s="251"/>
    </row>
    <row r="843">
      <c r="A843" s="251"/>
    </row>
    <row r="844">
      <c r="A844" s="251"/>
    </row>
    <row r="845">
      <c r="A845" s="251"/>
    </row>
    <row r="846">
      <c r="A846" s="251"/>
    </row>
    <row r="847">
      <c r="A847" s="251"/>
    </row>
    <row r="848">
      <c r="A848" s="251"/>
    </row>
    <row r="849">
      <c r="A849" s="251"/>
    </row>
    <row r="850">
      <c r="A850" s="251"/>
    </row>
    <row r="851">
      <c r="A851" s="251"/>
    </row>
    <row r="852">
      <c r="A852" s="251"/>
    </row>
    <row r="853">
      <c r="A853" s="251"/>
    </row>
    <row r="854">
      <c r="A854" s="251"/>
    </row>
    <row r="855">
      <c r="A855" s="251"/>
    </row>
    <row r="856">
      <c r="A856" s="251"/>
    </row>
    <row r="857">
      <c r="A857" s="251"/>
    </row>
    <row r="858">
      <c r="A858" s="251"/>
    </row>
    <row r="859">
      <c r="A859" s="251"/>
    </row>
    <row r="860">
      <c r="A860" s="251"/>
    </row>
    <row r="861">
      <c r="A861" s="251"/>
    </row>
    <row r="862">
      <c r="A862" s="251"/>
    </row>
    <row r="863">
      <c r="A863" s="251"/>
    </row>
    <row r="864">
      <c r="A864" s="251"/>
    </row>
    <row r="865">
      <c r="A865" s="251"/>
    </row>
    <row r="866">
      <c r="A866" s="251"/>
    </row>
    <row r="867">
      <c r="A867" s="251"/>
    </row>
    <row r="868">
      <c r="A868" s="251"/>
    </row>
    <row r="869">
      <c r="A869" s="251"/>
    </row>
    <row r="870">
      <c r="A870" s="251"/>
    </row>
    <row r="871">
      <c r="A871" s="251"/>
    </row>
    <row r="872">
      <c r="A872" s="251"/>
    </row>
    <row r="873">
      <c r="A873" s="251"/>
    </row>
    <row r="874">
      <c r="A874" s="251"/>
    </row>
    <row r="875">
      <c r="A875" s="251"/>
    </row>
    <row r="876">
      <c r="A876" s="251"/>
    </row>
    <row r="877">
      <c r="A877" s="251"/>
    </row>
    <row r="878">
      <c r="A878" s="251"/>
    </row>
    <row r="879">
      <c r="A879" s="251"/>
    </row>
    <row r="880">
      <c r="A880" s="251"/>
    </row>
    <row r="881">
      <c r="A881" s="251"/>
    </row>
    <row r="882">
      <c r="A882" s="251"/>
    </row>
    <row r="883">
      <c r="A883" s="251"/>
    </row>
    <row r="884">
      <c r="A884" s="251"/>
    </row>
    <row r="885">
      <c r="A885" s="251"/>
    </row>
    <row r="886">
      <c r="A886" s="251"/>
    </row>
    <row r="887">
      <c r="A887" s="251"/>
    </row>
    <row r="888">
      <c r="A888" s="251"/>
    </row>
    <row r="889">
      <c r="A889" s="251"/>
    </row>
    <row r="890">
      <c r="A890" s="251"/>
    </row>
    <row r="891">
      <c r="A891" s="251"/>
    </row>
    <row r="892">
      <c r="A892" s="251"/>
    </row>
    <row r="893">
      <c r="A893" s="251"/>
    </row>
    <row r="894">
      <c r="A894" s="251"/>
    </row>
    <row r="895">
      <c r="A895" s="251"/>
    </row>
    <row r="896">
      <c r="A896" s="251"/>
    </row>
    <row r="897">
      <c r="A897" s="251"/>
    </row>
    <row r="898">
      <c r="A898" s="251"/>
    </row>
    <row r="899">
      <c r="A899" s="251"/>
    </row>
    <row r="900">
      <c r="A900" s="251"/>
    </row>
    <row r="901">
      <c r="A901" s="251"/>
    </row>
    <row r="902">
      <c r="A902" s="251"/>
    </row>
    <row r="903">
      <c r="A903" s="251"/>
    </row>
    <row r="904">
      <c r="A904" s="251"/>
    </row>
    <row r="905">
      <c r="A905" s="251"/>
    </row>
    <row r="906">
      <c r="A906" s="251"/>
    </row>
    <row r="907">
      <c r="A907" s="251"/>
    </row>
    <row r="908">
      <c r="A908" s="251"/>
    </row>
    <row r="909">
      <c r="A909" s="251"/>
    </row>
    <row r="910">
      <c r="A910" s="251"/>
    </row>
    <row r="911">
      <c r="A911" s="251"/>
    </row>
    <row r="912">
      <c r="A912" s="251"/>
    </row>
    <row r="913">
      <c r="A913" s="251"/>
    </row>
    <row r="914">
      <c r="A914" s="251"/>
    </row>
    <row r="915">
      <c r="A915" s="251"/>
    </row>
    <row r="916">
      <c r="A916" s="251"/>
    </row>
    <row r="917">
      <c r="A917" s="251"/>
    </row>
    <row r="918">
      <c r="A918" s="251"/>
    </row>
    <row r="919">
      <c r="A919" s="251"/>
    </row>
    <row r="920">
      <c r="A920" s="251"/>
    </row>
    <row r="921">
      <c r="A921" s="251"/>
    </row>
    <row r="922">
      <c r="A922" s="251"/>
    </row>
    <row r="923">
      <c r="A923" s="251"/>
    </row>
    <row r="924">
      <c r="A924" s="251"/>
    </row>
    <row r="925">
      <c r="A925" s="251"/>
    </row>
    <row r="926">
      <c r="A926" s="251"/>
    </row>
    <row r="927">
      <c r="A927" s="251"/>
    </row>
    <row r="928">
      <c r="A928" s="251"/>
    </row>
    <row r="929">
      <c r="A929" s="251"/>
    </row>
    <row r="930">
      <c r="A930" s="251"/>
    </row>
    <row r="931">
      <c r="A931" s="251"/>
    </row>
    <row r="932">
      <c r="A932" s="251"/>
    </row>
    <row r="933">
      <c r="A933" s="251"/>
    </row>
    <row r="934">
      <c r="A934" s="251"/>
    </row>
    <row r="935">
      <c r="A935" s="251"/>
    </row>
    <row r="936">
      <c r="A936" s="251"/>
    </row>
    <row r="937">
      <c r="A937" s="251"/>
    </row>
    <row r="938">
      <c r="A938" s="251"/>
    </row>
    <row r="939">
      <c r="A939" s="251"/>
    </row>
    <row r="940">
      <c r="A940" s="251"/>
    </row>
    <row r="941">
      <c r="A941" s="251"/>
    </row>
    <row r="942">
      <c r="A942" s="251"/>
    </row>
    <row r="943">
      <c r="A943" s="251"/>
    </row>
    <row r="944">
      <c r="A944" s="251"/>
    </row>
    <row r="945">
      <c r="A945" s="251"/>
    </row>
    <row r="946">
      <c r="A946" s="251"/>
    </row>
    <row r="947">
      <c r="A947" s="251"/>
    </row>
    <row r="948">
      <c r="A948" s="251"/>
    </row>
    <row r="949">
      <c r="A949" s="251"/>
    </row>
    <row r="950">
      <c r="A950" s="251"/>
    </row>
    <row r="951">
      <c r="A951" s="251"/>
    </row>
    <row r="952">
      <c r="A952" s="251"/>
    </row>
    <row r="953">
      <c r="A953" s="251"/>
    </row>
    <row r="954">
      <c r="A954" s="251"/>
    </row>
    <row r="955">
      <c r="A955" s="251"/>
    </row>
    <row r="956">
      <c r="A956" s="251"/>
    </row>
    <row r="957">
      <c r="A957" s="251"/>
    </row>
    <row r="958">
      <c r="A958" s="251"/>
    </row>
    <row r="959">
      <c r="A959" s="251"/>
    </row>
    <row r="960">
      <c r="A960" s="251"/>
    </row>
    <row r="961">
      <c r="A961" s="251"/>
    </row>
    <row r="962">
      <c r="A962" s="251"/>
    </row>
    <row r="963">
      <c r="A963" s="251"/>
    </row>
    <row r="964">
      <c r="A964" s="251"/>
    </row>
    <row r="965">
      <c r="A965" s="251"/>
    </row>
    <row r="966">
      <c r="A966" s="251"/>
    </row>
    <row r="967">
      <c r="A967" s="251"/>
    </row>
    <row r="968">
      <c r="A968" s="251"/>
    </row>
    <row r="969">
      <c r="A969" s="251"/>
    </row>
    <row r="970">
      <c r="A970" s="251"/>
    </row>
    <row r="971">
      <c r="A971" s="251"/>
    </row>
    <row r="972">
      <c r="A972" s="251"/>
    </row>
    <row r="973">
      <c r="A973" s="251"/>
    </row>
    <row r="974">
      <c r="A974" s="251"/>
    </row>
    <row r="975">
      <c r="A975" s="251"/>
    </row>
    <row r="976">
      <c r="A976" s="251"/>
    </row>
    <row r="977">
      <c r="A977" s="251"/>
    </row>
    <row r="978">
      <c r="A978" s="251"/>
    </row>
    <row r="979">
      <c r="A979" s="251"/>
    </row>
    <row r="980">
      <c r="A980" s="251"/>
    </row>
    <row r="981">
      <c r="A981" s="251"/>
    </row>
    <row r="982">
      <c r="A982" s="251"/>
    </row>
    <row r="983">
      <c r="A983" s="251"/>
    </row>
    <row r="984">
      <c r="A984" s="251"/>
    </row>
    <row r="985">
      <c r="A985" s="251"/>
    </row>
    <row r="986">
      <c r="A986" s="251"/>
    </row>
    <row r="987">
      <c r="A987" s="251"/>
    </row>
    <row r="988">
      <c r="A988" s="251"/>
    </row>
    <row r="989">
      <c r="A989" s="251"/>
    </row>
    <row r="990">
      <c r="A990" s="251"/>
    </row>
    <row r="991">
      <c r="A991" s="251"/>
    </row>
  </sheetData>
  <mergeCells count="1">
    <mergeCell ref="A22:D2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13"/>
    <col customWidth="1" min="2" max="2" width="12.13"/>
    <col customWidth="1" min="3" max="3" width="10.63"/>
    <col customWidth="1" min="4" max="4" width="14.38"/>
    <col customWidth="1" min="6" max="6" width="9.63"/>
    <col customWidth="1" min="7" max="7" width="14.88"/>
    <col customWidth="1" min="8" max="8" width="8.88"/>
    <col customWidth="1" min="9" max="9" width="16.38"/>
  </cols>
  <sheetData>
    <row r="1">
      <c r="A1" s="251"/>
      <c r="B1" s="74"/>
      <c r="C1" s="74"/>
      <c r="D1" s="74"/>
      <c r="E1" s="178"/>
      <c r="F1" s="235"/>
      <c r="G1" s="179"/>
      <c r="H1" s="179"/>
      <c r="I1" s="297"/>
    </row>
    <row r="2">
      <c r="A2" s="252" t="s">
        <v>41</v>
      </c>
      <c r="B2" s="253" t="s">
        <v>195</v>
      </c>
      <c r="C2" s="253" t="s">
        <v>196</v>
      </c>
      <c r="D2" s="253" t="s">
        <v>197</v>
      </c>
      <c r="E2" s="253" t="s">
        <v>4</v>
      </c>
      <c r="F2" s="249" t="s">
        <v>5</v>
      </c>
      <c r="G2" s="249" t="s">
        <v>6</v>
      </c>
      <c r="H2" s="253" t="s">
        <v>9</v>
      </c>
      <c r="I2" s="254" t="s">
        <v>198</v>
      </c>
    </row>
    <row r="3">
      <c r="A3" s="87" t="s">
        <v>247</v>
      </c>
      <c r="B3" s="98">
        <f>'Исходные данные'!D12</f>
        <v>402</v>
      </c>
      <c r="C3" s="98">
        <f>'Исходные данные'!G20</f>
        <v>14</v>
      </c>
      <c r="D3" s="134"/>
      <c r="E3" s="255">
        <v>637618.0</v>
      </c>
      <c r="F3" s="256">
        <v>12.0</v>
      </c>
      <c r="G3" s="163">
        <f t="shared" ref="G3:G10" si="1">E3/F3</f>
        <v>53134.83333</v>
      </c>
      <c r="H3" s="72"/>
      <c r="I3" s="282">
        <f>G3/B3*C3</f>
        <v>1850.466833</v>
      </c>
    </row>
    <row r="4">
      <c r="A4" s="87" t="s">
        <v>251</v>
      </c>
      <c r="B4" s="98"/>
      <c r="C4" s="98"/>
      <c r="D4" s="134"/>
      <c r="E4" s="134"/>
      <c r="F4" s="256">
        <v>12.0</v>
      </c>
      <c r="G4" s="163">
        <f t="shared" si="1"/>
        <v>0</v>
      </c>
      <c r="H4" s="72"/>
      <c r="I4" s="282">
        <f t="shared" ref="I4:I10" si="2">G4</f>
        <v>0</v>
      </c>
    </row>
    <row r="5">
      <c r="A5" s="87" t="s">
        <v>249</v>
      </c>
      <c r="B5" s="134"/>
      <c r="C5" s="134"/>
      <c r="D5" s="134"/>
      <c r="E5" s="255">
        <v>15792.0</v>
      </c>
      <c r="F5" s="256">
        <v>12.0</v>
      </c>
      <c r="G5" s="163">
        <f t="shared" si="1"/>
        <v>1316</v>
      </c>
      <c r="H5" s="72"/>
      <c r="I5" s="282">
        <f t="shared" si="2"/>
        <v>1316</v>
      </c>
    </row>
    <row r="6">
      <c r="A6" s="87"/>
      <c r="B6" s="134"/>
      <c r="C6" s="134"/>
      <c r="D6" s="134"/>
      <c r="E6" s="255"/>
      <c r="F6" s="256">
        <v>12.0</v>
      </c>
      <c r="G6" s="163">
        <f t="shared" si="1"/>
        <v>0</v>
      </c>
      <c r="H6" s="72"/>
      <c r="I6" s="282">
        <f t="shared" si="2"/>
        <v>0</v>
      </c>
    </row>
    <row r="7">
      <c r="A7" s="87" t="s">
        <v>148</v>
      </c>
      <c r="B7" s="134"/>
      <c r="C7" s="134"/>
      <c r="D7" s="134"/>
      <c r="E7" s="177">
        <v>80624.0</v>
      </c>
      <c r="F7" s="256">
        <v>12.0</v>
      </c>
      <c r="G7" s="163">
        <f t="shared" si="1"/>
        <v>6718.666667</v>
      </c>
      <c r="H7" s="72"/>
      <c r="I7" s="282">
        <f t="shared" si="2"/>
        <v>6718.666667</v>
      </c>
    </row>
    <row r="8">
      <c r="A8" s="87" t="s">
        <v>150</v>
      </c>
      <c r="B8" s="134"/>
      <c r="C8" s="134"/>
      <c r="D8" s="134"/>
      <c r="E8" s="177">
        <v>0.0</v>
      </c>
      <c r="F8" s="256">
        <v>12.0</v>
      </c>
      <c r="G8" s="163">
        <f t="shared" si="1"/>
        <v>0</v>
      </c>
      <c r="H8" s="72"/>
      <c r="I8" s="282">
        <f t="shared" si="2"/>
        <v>0</v>
      </c>
    </row>
    <row r="9">
      <c r="A9" s="87" t="s">
        <v>149</v>
      </c>
      <c r="B9" s="134"/>
      <c r="C9" s="134"/>
      <c r="D9" s="134"/>
      <c r="E9" s="177">
        <v>0.0</v>
      </c>
      <c r="F9" s="256">
        <v>12.0</v>
      </c>
      <c r="G9" s="163">
        <f t="shared" si="1"/>
        <v>0</v>
      </c>
      <c r="H9" s="72"/>
      <c r="I9" s="282">
        <f t="shared" si="2"/>
        <v>0</v>
      </c>
    </row>
    <row r="10">
      <c r="A10" s="293" t="s">
        <v>203</v>
      </c>
      <c r="B10" s="134"/>
      <c r="C10" s="134"/>
      <c r="D10" s="134"/>
      <c r="E10" s="177"/>
      <c r="F10" s="256">
        <v>12.0</v>
      </c>
      <c r="G10" s="163">
        <f t="shared" si="1"/>
        <v>0</v>
      </c>
      <c r="H10" s="72"/>
      <c r="I10" s="282">
        <f t="shared" si="2"/>
        <v>0</v>
      </c>
    </row>
    <row r="11">
      <c r="A11" s="293" t="s">
        <v>246</v>
      </c>
      <c r="B11" s="134"/>
      <c r="C11" s="134"/>
      <c r="D11" s="134"/>
      <c r="E11" s="177"/>
      <c r="F11" s="256"/>
      <c r="G11" s="163"/>
      <c r="H11" s="72"/>
      <c r="I11" s="282" t="str">
        <f>D24</f>
        <v/>
      </c>
    </row>
    <row r="12">
      <c r="A12" s="293" t="s">
        <v>204</v>
      </c>
      <c r="B12" s="134"/>
      <c r="C12" s="134"/>
      <c r="D12" s="134"/>
      <c r="E12" s="177">
        <v>580.0</v>
      </c>
      <c r="F12" s="256">
        <v>12.0</v>
      </c>
      <c r="G12" s="163">
        <f>E12/F12</f>
        <v>48.33333333</v>
      </c>
      <c r="H12" s="72"/>
      <c r="I12" s="282">
        <f>G12</f>
        <v>48.33333333</v>
      </c>
    </row>
    <row r="13">
      <c r="A13" s="68" t="s">
        <v>152</v>
      </c>
      <c r="B13" s="72"/>
      <c r="C13" s="71"/>
      <c r="D13" s="265">
        <f>B18+B19</f>
        <v>514</v>
      </c>
      <c r="E13" s="72"/>
      <c r="F13" s="249"/>
      <c r="G13" s="72"/>
      <c r="H13" s="259">
        <f>'Общие расходы ГЭ'!G16</f>
        <v>9.195626292</v>
      </c>
      <c r="I13" s="282">
        <f t="shared" ref="I13:I15" si="3">D13*H13</f>
        <v>4726.551914</v>
      </c>
    </row>
    <row r="14">
      <c r="A14" s="68" t="s">
        <v>235</v>
      </c>
      <c r="B14" s="72"/>
      <c r="C14" s="71"/>
      <c r="D14" s="265">
        <f>B18+B19</f>
        <v>514</v>
      </c>
      <c r="E14" s="72"/>
      <c r="F14" s="249"/>
      <c r="G14" s="72"/>
      <c r="H14" s="259">
        <f>'Общие расходы г. Тюмень'!F4</f>
        <v>0.2743933235</v>
      </c>
      <c r="I14" s="282">
        <f t="shared" si="3"/>
        <v>141.0381683</v>
      </c>
    </row>
    <row r="15">
      <c r="A15" s="68" t="s">
        <v>156</v>
      </c>
      <c r="B15" s="72"/>
      <c r="C15" s="71"/>
      <c r="D15" s="265">
        <f>B18+B19</f>
        <v>514</v>
      </c>
      <c r="E15" s="72"/>
      <c r="F15" s="249"/>
      <c r="G15" s="72"/>
      <c r="H15" s="250">
        <f>'Общие расходы г. Тюмень'!F30</f>
        <v>0.7480139342</v>
      </c>
      <c r="I15" s="282">
        <f t="shared" si="3"/>
        <v>384.4791622</v>
      </c>
    </row>
    <row r="16">
      <c r="A16" s="311"/>
      <c r="B16" s="291"/>
      <c r="C16" s="289"/>
      <c r="D16" s="289"/>
      <c r="E16" s="291"/>
      <c r="F16" s="290"/>
      <c r="G16" s="291"/>
      <c r="H16" s="290"/>
      <c r="I16" s="282">
        <f>SUM(I3:I15)</f>
        <v>15185.53608</v>
      </c>
    </row>
    <row r="17">
      <c r="A17" s="251"/>
      <c r="B17" s="179"/>
      <c r="C17" s="179"/>
      <c r="D17" s="179"/>
      <c r="E17" s="179"/>
      <c r="F17" s="235"/>
      <c r="G17" s="179"/>
      <c r="H17" s="179"/>
      <c r="I17" s="297"/>
    </row>
    <row r="18">
      <c r="A18" s="68" t="s">
        <v>205</v>
      </c>
      <c r="B18" s="260">
        <f>'Исходные данные'!B20</f>
        <v>514</v>
      </c>
      <c r="C18" s="179"/>
      <c r="D18" s="179"/>
      <c r="E18" s="179"/>
      <c r="F18" s="235"/>
      <c r="G18" s="179"/>
      <c r="H18" s="179"/>
      <c r="I18" s="297"/>
    </row>
    <row r="19">
      <c r="A19" s="68" t="s">
        <v>206</v>
      </c>
      <c r="B19" s="260" t="str">
        <f>'Исходные данные'!C20</f>
        <v/>
      </c>
      <c r="C19" s="179"/>
      <c r="D19" s="179"/>
      <c r="E19" s="179"/>
      <c r="F19" s="235"/>
      <c r="G19" s="179"/>
      <c r="H19" s="179"/>
      <c r="I19" s="297"/>
    </row>
    <row r="20">
      <c r="A20" s="68" t="s">
        <v>207</v>
      </c>
      <c r="B20" s="260" t="str">
        <f>'Исходные данные'!D20</f>
        <v/>
      </c>
      <c r="C20" s="179"/>
      <c r="D20" s="179"/>
      <c r="E20" s="179"/>
      <c r="F20" s="235"/>
      <c r="G20" s="179"/>
      <c r="H20" s="179"/>
      <c r="I20" s="297"/>
    </row>
    <row r="21">
      <c r="A21" s="292"/>
      <c r="B21" s="248"/>
      <c r="C21" s="248"/>
      <c r="D21" s="248"/>
      <c r="E21" s="248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</row>
    <row r="22">
      <c r="A22" s="266" t="s">
        <v>208</v>
      </c>
      <c r="B22" s="263"/>
      <c r="C22" s="263"/>
      <c r="D22" s="185"/>
    </row>
    <row r="23">
      <c r="A23" s="268" t="s">
        <v>209</v>
      </c>
      <c r="B23" s="269" t="s">
        <v>210</v>
      </c>
      <c r="C23" s="93" t="s">
        <v>5</v>
      </c>
      <c r="D23" s="269" t="s">
        <v>211</v>
      </c>
    </row>
    <row r="24">
      <c r="A24" s="300"/>
      <c r="B24" s="301"/>
      <c r="C24" s="301"/>
      <c r="D24" s="301"/>
    </row>
    <row r="25">
      <c r="A25" s="68"/>
      <c r="B25" s="303"/>
      <c r="C25" s="303"/>
      <c r="D25" s="301"/>
    </row>
    <row r="26">
      <c r="A26" s="305"/>
      <c r="B26" s="303"/>
      <c r="C26" s="303"/>
      <c r="D26" s="301"/>
    </row>
    <row r="27">
      <c r="A27" s="68"/>
      <c r="B27" s="303"/>
      <c r="C27" s="303"/>
      <c r="D27" s="177"/>
    </row>
    <row r="28">
      <c r="A28" s="304"/>
      <c r="B28" s="303"/>
      <c r="C28" s="303"/>
      <c r="D28" s="303"/>
    </row>
    <row r="29">
      <c r="A29" s="251"/>
    </row>
    <row r="30">
      <c r="A30" s="251"/>
    </row>
    <row r="31">
      <c r="A31" s="251"/>
    </row>
    <row r="32">
      <c r="A32" s="251"/>
    </row>
    <row r="33">
      <c r="A33" s="251"/>
    </row>
    <row r="34">
      <c r="A34" s="251"/>
    </row>
    <row r="35">
      <c r="A35" s="251"/>
    </row>
    <row r="36">
      <c r="A36" s="251"/>
    </row>
    <row r="37">
      <c r="A37" s="251"/>
    </row>
    <row r="38">
      <c r="A38" s="251"/>
    </row>
    <row r="39">
      <c r="A39" s="251"/>
    </row>
    <row r="40">
      <c r="A40" s="251"/>
    </row>
    <row r="41">
      <c r="A41" s="251"/>
    </row>
    <row r="42">
      <c r="A42" s="251"/>
    </row>
    <row r="43">
      <c r="A43" s="251"/>
    </row>
    <row r="44">
      <c r="A44" s="251"/>
    </row>
    <row r="45">
      <c r="A45" s="251"/>
    </row>
    <row r="46">
      <c r="A46" s="251"/>
    </row>
    <row r="47">
      <c r="A47" s="251"/>
    </row>
    <row r="48">
      <c r="A48" s="251"/>
    </row>
    <row r="49">
      <c r="A49" s="251"/>
    </row>
    <row r="50">
      <c r="A50" s="251"/>
    </row>
    <row r="51">
      <c r="A51" s="251"/>
    </row>
    <row r="52">
      <c r="A52" s="251"/>
    </row>
    <row r="53">
      <c r="A53" s="251"/>
    </row>
    <row r="54">
      <c r="A54" s="251"/>
    </row>
    <row r="55">
      <c r="A55" s="251"/>
    </row>
    <row r="56">
      <c r="A56" s="251"/>
    </row>
    <row r="57">
      <c r="A57" s="251"/>
    </row>
    <row r="58">
      <c r="A58" s="251"/>
    </row>
    <row r="59">
      <c r="A59" s="251"/>
    </row>
    <row r="60">
      <c r="A60" s="251"/>
    </row>
    <row r="61">
      <c r="A61" s="251"/>
    </row>
    <row r="62">
      <c r="A62" s="251"/>
    </row>
    <row r="63">
      <c r="A63" s="251"/>
    </row>
    <row r="64">
      <c r="A64" s="251"/>
    </row>
    <row r="65">
      <c r="A65" s="251"/>
    </row>
    <row r="66">
      <c r="A66" s="251"/>
    </row>
    <row r="67">
      <c r="A67" s="251"/>
    </row>
    <row r="68">
      <c r="A68" s="251"/>
    </row>
    <row r="69">
      <c r="A69" s="251"/>
    </row>
    <row r="70">
      <c r="A70" s="251"/>
    </row>
    <row r="71">
      <c r="A71" s="251"/>
    </row>
    <row r="72">
      <c r="A72" s="251"/>
    </row>
    <row r="73">
      <c r="A73" s="251"/>
    </row>
    <row r="74">
      <c r="A74" s="251"/>
    </row>
    <row r="75">
      <c r="A75" s="251"/>
    </row>
    <row r="76">
      <c r="A76" s="251"/>
    </row>
    <row r="77">
      <c r="A77" s="251"/>
    </row>
    <row r="78">
      <c r="A78" s="251"/>
    </row>
    <row r="79">
      <c r="A79" s="251"/>
    </row>
    <row r="80">
      <c r="A80" s="251"/>
    </row>
    <row r="81">
      <c r="A81" s="251"/>
    </row>
    <row r="82">
      <c r="A82" s="251"/>
    </row>
    <row r="83">
      <c r="A83" s="251"/>
    </row>
    <row r="84">
      <c r="A84" s="251"/>
    </row>
    <row r="85">
      <c r="A85" s="251"/>
    </row>
    <row r="86">
      <c r="A86" s="251"/>
    </row>
    <row r="87">
      <c r="A87" s="251"/>
    </row>
    <row r="88">
      <c r="A88" s="251"/>
    </row>
    <row r="89">
      <c r="A89" s="251"/>
    </row>
    <row r="90">
      <c r="A90" s="251"/>
    </row>
    <row r="91">
      <c r="A91" s="251"/>
    </row>
    <row r="92">
      <c r="A92" s="251"/>
    </row>
    <row r="93">
      <c r="A93" s="251"/>
    </row>
    <row r="94">
      <c r="A94" s="251"/>
    </row>
    <row r="95">
      <c r="A95" s="251"/>
    </row>
    <row r="96">
      <c r="A96" s="251"/>
    </row>
    <row r="97">
      <c r="A97" s="251"/>
    </row>
    <row r="98">
      <c r="A98" s="251"/>
    </row>
    <row r="99">
      <c r="A99" s="251"/>
    </row>
    <row r="100">
      <c r="A100" s="251"/>
    </row>
    <row r="101">
      <c r="A101" s="251"/>
    </row>
    <row r="102">
      <c r="A102" s="251"/>
    </row>
    <row r="103">
      <c r="A103" s="251"/>
    </row>
    <row r="104">
      <c r="A104" s="251"/>
    </row>
    <row r="105">
      <c r="A105" s="251"/>
    </row>
    <row r="106">
      <c r="A106" s="251"/>
    </row>
    <row r="107">
      <c r="A107" s="251"/>
    </row>
    <row r="108">
      <c r="A108" s="251"/>
    </row>
    <row r="109">
      <c r="A109" s="251"/>
    </row>
    <row r="110">
      <c r="A110" s="251"/>
    </row>
    <row r="111">
      <c r="A111" s="251"/>
    </row>
    <row r="112">
      <c r="A112" s="251"/>
    </row>
    <row r="113">
      <c r="A113" s="251"/>
    </row>
    <row r="114">
      <c r="A114" s="251"/>
    </row>
    <row r="115">
      <c r="A115" s="251"/>
    </row>
    <row r="116">
      <c r="A116" s="251"/>
    </row>
    <row r="117">
      <c r="A117" s="251"/>
    </row>
    <row r="118">
      <c r="A118" s="251"/>
    </row>
    <row r="119">
      <c r="A119" s="251"/>
    </row>
    <row r="120">
      <c r="A120" s="251"/>
    </row>
    <row r="121">
      <c r="A121" s="251"/>
    </row>
    <row r="122">
      <c r="A122" s="251"/>
    </row>
    <row r="123">
      <c r="A123" s="251"/>
    </row>
    <row r="124">
      <c r="A124" s="251"/>
    </row>
    <row r="125">
      <c r="A125" s="251"/>
    </row>
    <row r="126">
      <c r="A126" s="251"/>
    </row>
    <row r="127">
      <c r="A127" s="251"/>
    </row>
    <row r="128">
      <c r="A128" s="251"/>
    </row>
    <row r="129">
      <c r="A129" s="251"/>
    </row>
    <row r="130">
      <c r="A130" s="251"/>
    </row>
    <row r="131">
      <c r="A131" s="251"/>
    </row>
    <row r="132">
      <c r="A132" s="251"/>
    </row>
    <row r="133">
      <c r="A133" s="251"/>
    </row>
    <row r="134">
      <c r="A134" s="251"/>
    </row>
    <row r="135">
      <c r="A135" s="251"/>
    </row>
    <row r="136">
      <c r="A136" s="251"/>
    </row>
    <row r="137">
      <c r="A137" s="251"/>
    </row>
    <row r="138">
      <c r="A138" s="251"/>
    </row>
    <row r="139">
      <c r="A139" s="251"/>
    </row>
    <row r="140">
      <c r="A140" s="251"/>
    </row>
    <row r="141">
      <c r="A141" s="251"/>
    </row>
    <row r="142">
      <c r="A142" s="251"/>
    </row>
    <row r="143">
      <c r="A143" s="251"/>
    </row>
    <row r="144">
      <c r="A144" s="251"/>
    </row>
    <row r="145">
      <c r="A145" s="251"/>
    </row>
    <row r="146">
      <c r="A146" s="251"/>
    </row>
    <row r="147">
      <c r="A147" s="251"/>
    </row>
    <row r="148">
      <c r="A148" s="251"/>
    </row>
    <row r="149">
      <c r="A149" s="251"/>
    </row>
    <row r="150">
      <c r="A150" s="251"/>
    </row>
    <row r="151">
      <c r="A151" s="251"/>
    </row>
    <row r="152">
      <c r="A152" s="251"/>
    </row>
    <row r="153">
      <c r="A153" s="251"/>
    </row>
    <row r="154">
      <c r="A154" s="251"/>
    </row>
    <row r="155">
      <c r="A155" s="251"/>
    </row>
    <row r="156">
      <c r="A156" s="251"/>
    </row>
    <row r="157">
      <c r="A157" s="251"/>
    </row>
    <row r="158">
      <c r="A158" s="251"/>
    </row>
    <row r="159">
      <c r="A159" s="251"/>
    </row>
    <row r="160">
      <c r="A160" s="251"/>
    </row>
    <row r="161">
      <c r="A161" s="251"/>
    </row>
    <row r="162">
      <c r="A162" s="251"/>
    </row>
    <row r="163">
      <c r="A163" s="251"/>
    </row>
    <row r="164">
      <c r="A164" s="251"/>
    </row>
    <row r="165">
      <c r="A165" s="251"/>
    </row>
    <row r="166">
      <c r="A166" s="251"/>
    </row>
    <row r="167">
      <c r="A167" s="251"/>
    </row>
    <row r="168">
      <c r="A168" s="251"/>
    </row>
    <row r="169">
      <c r="A169" s="251"/>
    </row>
    <row r="170">
      <c r="A170" s="251"/>
    </row>
    <row r="171">
      <c r="A171" s="251"/>
    </row>
    <row r="172">
      <c r="A172" s="251"/>
    </row>
    <row r="173">
      <c r="A173" s="251"/>
    </row>
    <row r="174">
      <c r="A174" s="251"/>
    </row>
    <row r="175">
      <c r="A175" s="251"/>
    </row>
    <row r="176">
      <c r="A176" s="251"/>
    </row>
    <row r="177">
      <c r="A177" s="251"/>
    </row>
    <row r="178">
      <c r="A178" s="251"/>
    </row>
    <row r="179">
      <c r="A179" s="251"/>
    </row>
    <row r="180">
      <c r="A180" s="251"/>
    </row>
    <row r="181">
      <c r="A181" s="251"/>
    </row>
    <row r="182">
      <c r="A182" s="251"/>
    </row>
    <row r="183">
      <c r="A183" s="251"/>
    </row>
    <row r="184">
      <c r="A184" s="251"/>
    </row>
    <row r="185">
      <c r="A185" s="251"/>
    </row>
    <row r="186">
      <c r="A186" s="251"/>
    </row>
    <row r="187">
      <c r="A187" s="251"/>
    </row>
    <row r="188">
      <c r="A188" s="251"/>
    </row>
    <row r="189">
      <c r="A189" s="251"/>
    </row>
    <row r="190">
      <c r="A190" s="251"/>
    </row>
    <row r="191">
      <c r="A191" s="251"/>
    </row>
    <row r="192">
      <c r="A192" s="251"/>
    </row>
    <row r="193">
      <c r="A193" s="251"/>
    </row>
    <row r="194">
      <c r="A194" s="251"/>
    </row>
    <row r="195">
      <c r="A195" s="251"/>
    </row>
    <row r="196">
      <c r="A196" s="251"/>
    </row>
    <row r="197">
      <c r="A197" s="251"/>
    </row>
    <row r="198">
      <c r="A198" s="251"/>
    </row>
    <row r="199">
      <c r="A199" s="251"/>
    </row>
    <row r="200">
      <c r="A200" s="251"/>
    </row>
    <row r="201">
      <c r="A201" s="251"/>
    </row>
    <row r="202">
      <c r="A202" s="251"/>
    </row>
    <row r="203">
      <c r="A203" s="251"/>
    </row>
    <row r="204">
      <c r="A204" s="251"/>
    </row>
    <row r="205">
      <c r="A205" s="251"/>
    </row>
    <row r="206">
      <c r="A206" s="251"/>
    </row>
    <row r="207">
      <c r="A207" s="251"/>
    </row>
    <row r="208">
      <c r="A208" s="251"/>
    </row>
    <row r="209">
      <c r="A209" s="251"/>
    </row>
    <row r="210">
      <c r="A210" s="251"/>
    </row>
    <row r="211">
      <c r="A211" s="251"/>
    </row>
    <row r="212">
      <c r="A212" s="251"/>
    </row>
    <row r="213">
      <c r="A213" s="251"/>
    </row>
    <row r="214">
      <c r="A214" s="251"/>
    </row>
    <row r="215">
      <c r="A215" s="251"/>
    </row>
    <row r="216">
      <c r="A216" s="251"/>
    </row>
    <row r="217">
      <c r="A217" s="251"/>
    </row>
    <row r="218">
      <c r="A218" s="251"/>
    </row>
    <row r="219">
      <c r="A219" s="251"/>
    </row>
    <row r="220">
      <c r="A220" s="251"/>
    </row>
    <row r="221">
      <c r="A221" s="251"/>
    </row>
    <row r="222">
      <c r="A222" s="251"/>
    </row>
    <row r="223">
      <c r="A223" s="251"/>
    </row>
    <row r="224">
      <c r="A224" s="251"/>
    </row>
    <row r="225">
      <c r="A225" s="251"/>
    </row>
    <row r="226">
      <c r="A226" s="251"/>
    </row>
    <row r="227">
      <c r="A227" s="251"/>
    </row>
    <row r="228">
      <c r="A228" s="251"/>
    </row>
    <row r="229">
      <c r="A229" s="251"/>
    </row>
    <row r="230">
      <c r="A230" s="251"/>
    </row>
    <row r="231">
      <c r="A231" s="251"/>
    </row>
    <row r="232">
      <c r="A232" s="251"/>
    </row>
    <row r="233">
      <c r="A233" s="251"/>
    </row>
    <row r="234">
      <c r="A234" s="251"/>
    </row>
    <row r="235">
      <c r="A235" s="251"/>
    </row>
    <row r="236">
      <c r="A236" s="251"/>
    </row>
    <row r="237">
      <c r="A237" s="251"/>
    </row>
    <row r="238">
      <c r="A238" s="251"/>
    </row>
    <row r="239">
      <c r="A239" s="251"/>
    </row>
    <row r="240">
      <c r="A240" s="251"/>
    </row>
    <row r="241">
      <c r="A241" s="251"/>
    </row>
    <row r="242">
      <c r="A242" s="251"/>
    </row>
    <row r="243">
      <c r="A243" s="251"/>
    </row>
    <row r="244">
      <c r="A244" s="251"/>
    </row>
    <row r="245">
      <c r="A245" s="251"/>
    </row>
    <row r="246">
      <c r="A246" s="251"/>
    </row>
    <row r="247">
      <c r="A247" s="251"/>
    </row>
    <row r="248">
      <c r="A248" s="251"/>
    </row>
    <row r="249">
      <c r="A249" s="251"/>
    </row>
    <row r="250">
      <c r="A250" s="251"/>
    </row>
    <row r="251">
      <c r="A251" s="251"/>
    </row>
    <row r="252">
      <c r="A252" s="251"/>
    </row>
    <row r="253">
      <c r="A253" s="251"/>
    </row>
    <row r="254">
      <c r="A254" s="251"/>
    </row>
    <row r="255">
      <c r="A255" s="251"/>
    </row>
    <row r="256">
      <c r="A256" s="251"/>
    </row>
    <row r="257">
      <c r="A257" s="251"/>
    </row>
    <row r="258">
      <c r="A258" s="251"/>
    </row>
    <row r="259">
      <c r="A259" s="251"/>
    </row>
    <row r="260">
      <c r="A260" s="251"/>
    </row>
    <row r="261">
      <c r="A261" s="251"/>
    </row>
    <row r="262">
      <c r="A262" s="251"/>
    </row>
    <row r="263">
      <c r="A263" s="251"/>
    </row>
    <row r="264">
      <c r="A264" s="251"/>
    </row>
    <row r="265">
      <c r="A265" s="251"/>
    </row>
    <row r="266">
      <c r="A266" s="251"/>
    </row>
    <row r="267">
      <c r="A267" s="251"/>
    </row>
    <row r="268">
      <c r="A268" s="251"/>
    </row>
    <row r="269">
      <c r="A269" s="251"/>
    </row>
    <row r="270">
      <c r="A270" s="251"/>
    </row>
    <row r="271">
      <c r="A271" s="251"/>
    </row>
    <row r="272">
      <c r="A272" s="251"/>
    </row>
    <row r="273">
      <c r="A273" s="251"/>
    </row>
    <row r="274">
      <c r="A274" s="251"/>
    </row>
    <row r="275">
      <c r="A275" s="251"/>
    </row>
    <row r="276">
      <c r="A276" s="251"/>
    </row>
    <row r="277">
      <c r="A277" s="251"/>
    </row>
    <row r="278">
      <c r="A278" s="251"/>
    </row>
    <row r="279">
      <c r="A279" s="251"/>
    </row>
    <row r="280">
      <c r="A280" s="251"/>
    </row>
    <row r="281">
      <c r="A281" s="251"/>
    </row>
    <row r="282">
      <c r="A282" s="251"/>
    </row>
    <row r="283">
      <c r="A283" s="251"/>
    </row>
    <row r="284">
      <c r="A284" s="251"/>
    </row>
    <row r="285">
      <c r="A285" s="251"/>
    </row>
    <row r="286">
      <c r="A286" s="251"/>
    </row>
    <row r="287">
      <c r="A287" s="251"/>
    </row>
    <row r="288">
      <c r="A288" s="251"/>
    </row>
    <row r="289">
      <c r="A289" s="251"/>
    </row>
    <row r="290">
      <c r="A290" s="251"/>
    </row>
    <row r="291">
      <c r="A291" s="251"/>
    </row>
    <row r="292">
      <c r="A292" s="251"/>
    </row>
    <row r="293">
      <c r="A293" s="251"/>
    </row>
    <row r="294">
      <c r="A294" s="251"/>
    </row>
    <row r="295">
      <c r="A295" s="251"/>
    </row>
    <row r="296">
      <c r="A296" s="251"/>
    </row>
    <row r="297">
      <c r="A297" s="251"/>
    </row>
    <row r="298">
      <c r="A298" s="251"/>
    </row>
    <row r="299">
      <c r="A299" s="251"/>
    </row>
    <row r="300">
      <c r="A300" s="251"/>
    </row>
    <row r="301">
      <c r="A301" s="251"/>
    </row>
    <row r="302">
      <c r="A302" s="251"/>
    </row>
    <row r="303">
      <c r="A303" s="251"/>
    </row>
    <row r="304">
      <c r="A304" s="251"/>
    </row>
    <row r="305">
      <c r="A305" s="251"/>
    </row>
    <row r="306">
      <c r="A306" s="251"/>
    </row>
    <row r="307">
      <c r="A307" s="251"/>
    </row>
    <row r="308">
      <c r="A308" s="251"/>
    </row>
    <row r="309">
      <c r="A309" s="251"/>
    </row>
    <row r="310">
      <c r="A310" s="251"/>
    </row>
    <row r="311">
      <c r="A311" s="251"/>
    </row>
    <row r="312">
      <c r="A312" s="251"/>
    </row>
    <row r="313">
      <c r="A313" s="251"/>
    </row>
    <row r="314">
      <c r="A314" s="251"/>
    </row>
    <row r="315">
      <c r="A315" s="251"/>
    </row>
    <row r="316">
      <c r="A316" s="251"/>
    </row>
    <row r="317">
      <c r="A317" s="251"/>
    </row>
    <row r="318">
      <c r="A318" s="251"/>
    </row>
    <row r="319">
      <c r="A319" s="251"/>
    </row>
    <row r="320">
      <c r="A320" s="251"/>
    </row>
    <row r="321">
      <c r="A321" s="251"/>
    </row>
    <row r="322">
      <c r="A322" s="251"/>
    </row>
    <row r="323">
      <c r="A323" s="251"/>
    </row>
    <row r="324">
      <c r="A324" s="251"/>
    </row>
    <row r="325">
      <c r="A325" s="251"/>
    </row>
    <row r="326">
      <c r="A326" s="251"/>
    </row>
    <row r="327">
      <c r="A327" s="251"/>
    </row>
    <row r="328">
      <c r="A328" s="251"/>
    </row>
    <row r="329">
      <c r="A329" s="251"/>
    </row>
    <row r="330">
      <c r="A330" s="251"/>
    </row>
    <row r="331">
      <c r="A331" s="251"/>
    </row>
    <row r="332">
      <c r="A332" s="251"/>
    </row>
    <row r="333">
      <c r="A333" s="251"/>
    </row>
    <row r="334">
      <c r="A334" s="251"/>
    </row>
    <row r="335">
      <c r="A335" s="251"/>
    </row>
    <row r="336">
      <c r="A336" s="251"/>
    </row>
    <row r="337">
      <c r="A337" s="251"/>
    </row>
    <row r="338">
      <c r="A338" s="251"/>
    </row>
    <row r="339">
      <c r="A339" s="251"/>
    </row>
    <row r="340">
      <c r="A340" s="251"/>
    </row>
    <row r="341">
      <c r="A341" s="251"/>
    </row>
    <row r="342">
      <c r="A342" s="251"/>
    </row>
    <row r="343">
      <c r="A343" s="251"/>
    </row>
    <row r="344">
      <c r="A344" s="251"/>
    </row>
    <row r="345">
      <c r="A345" s="251"/>
    </row>
    <row r="346">
      <c r="A346" s="251"/>
    </row>
    <row r="347">
      <c r="A347" s="251"/>
    </row>
    <row r="348">
      <c r="A348" s="251"/>
    </row>
    <row r="349">
      <c r="A349" s="251"/>
    </row>
    <row r="350">
      <c r="A350" s="251"/>
    </row>
    <row r="351">
      <c r="A351" s="251"/>
    </row>
    <row r="352">
      <c r="A352" s="251"/>
    </row>
    <row r="353">
      <c r="A353" s="251"/>
    </row>
    <row r="354">
      <c r="A354" s="251"/>
    </row>
    <row r="355">
      <c r="A355" s="251"/>
    </row>
    <row r="356">
      <c r="A356" s="251"/>
    </row>
    <row r="357">
      <c r="A357" s="251"/>
    </row>
    <row r="358">
      <c r="A358" s="251"/>
    </row>
    <row r="359">
      <c r="A359" s="251"/>
    </row>
    <row r="360">
      <c r="A360" s="251"/>
    </row>
    <row r="361">
      <c r="A361" s="251"/>
    </row>
    <row r="362">
      <c r="A362" s="251"/>
    </row>
    <row r="363">
      <c r="A363" s="251"/>
    </row>
    <row r="364">
      <c r="A364" s="251"/>
    </row>
    <row r="365">
      <c r="A365" s="251"/>
    </row>
    <row r="366">
      <c r="A366" s="251"/>
    </row>
    <row r="367">
      <c r="A367" s="251"/>
    </row>
    <row r="368">
      <c r="A368" s="251"/>
    </row>
    <row r="369">
      <c r="A369" s="251"/>
    </row>
    <row r="370">
      <c r="A370" s="251"/>
    </row>
    <row r="371">
      <c r="A371" s="251"/>
    </row>
    <row r="372">
      <c r="A372" s="251"/>
    </row>
    <row r="373">
      <c r="A373" s="251"/>
    </row>
    <row r="374">
      <c r="A374" s="251"/>
    </row>
    <row r="375">
      <c r="A375" s="251"/>
    </row>
    <row r="376">
      <c r="A376" s="251"/>
    </row>
    <row r="377">
      <c r="A377" s="251"/>
    </row>
    <row r="378">
      <c r="A378" s="251"/>
    </row>
    <row r="379">
      <c r="A379" s="251"/>
    </row>
    <row r="380">
      <c r="A380" s="251"/>
    </row>
    <row r="381">
      <c r="A381" s="251"/>
    </row>
    <row r="382">
      <c r="A382" s="251"/>
    </row>
    <row r="383">
      <c r="A383" s="251"/>
    </row>
    <row r="384">
      <c r="A384" s="251"/>
    </row>
    <row r="385">
      <c r="A385" s="251"/>
    </row>
    <row r="386">
      <c r="A386" s="251"/>
    </row>
    <row r="387">
      <c r="A387" s="251"/>
    </row>
    <row r="388">
      <c r="A388" s="251"/>
    </row>
    <row r="389">
      <c r="A389" s="251"/>
    </row>
    <row r="390">
      <c r="A390" s="251"/>
    </row>
    <row r="391">
      <c r="A391" s="251"/>
    </row>
    <row r="392">
      <c r="A392" s="251"/>
    </row>
    <row r="393">
      <c r="A393" s="251"/>
    </row>
    <row r="394">
      <c r="A394" s="251"/>
    </row>
    <row r="395">
      <c r="A395" s="251"/>
    </row>
    <row r="396">
      <c r="A396" s="251"/>
    </row>
    <row r="397">
      <c r="A397" s="251"/>
    </row>
    <row r="398">
      <c r="A398" s="251"/>
    </row>
    <row r="399">
      <c r="A399" s="251"/>
    </row>
    <row r="400">
      <c r="A400" s="251"/>
    </row>
    <row r="401">
      <c r="A401" s="251"/>
    </row>
    <row r="402">
      <c r="A402" s="251"/>
    </row>
    <row r="403">
      <c r="A403" s="251"/>
    </row>
    <row r="404">
      <c r="A404" s="251"/>
    </row>
    <row r="405">
      <c r="A405" s="251"/>
    </row>
    <row r="406">
      <c r="A406" s="251"/>
    </row>
    <row r="407">
      <c r="A407" s="251"/>
    </row>
    <row r="408">
      <c r="A408" s="251"/>
    </row>
    <row r="409">
      <c r="A409" s="251"/>
    </row>
    <row r="410">
      <c r="A410" s="251"/>
    </row>
    <row r="411">
      <c r="A411" s="251"/>
    </row>
    <row r="412">
      <c r="A412" s="251"/>
    </row>
    <row r="413">
      <c r="A413" s="251"/>
    </row>
    <row r="414">
      <c r="A414" s="251"/>
    </row>
    <row r="415">
      <c r="A415" s="251"/>
    </row>
    <row r="416">
      <c r="A416" s="251"/>
    </row>
    <row r="417">
      <c r="A417" s="251"/>
    </row>
    <row r="418">
      <c r="A418" s="251"/>
    </row>
    <row r="419">
      <c r="A419" s="251"/>
    </row>
    <row r="420">
      <c r="A420" s="251"/>
    </row>
    <row r="421">
      <c r="A421" s="251"/>
    </row>
    <row r="422">
      <c r="A422" s="251"/>
    </row>
    <row r="423">
      <c r="A423" s="251"/>
    </row>
    <row r="424">
      <c r="A424" s="251"/>
    </row>
    <row r="425">
      <c r="A425" s="251"/>
    </row>
    <row r="426">
      <c r="A426" s="251"/>
    </row>
    <row r="427">
      <c r="A427" s="251"/>
    </row>
    <row r="428">
      <c r="A428" s="251"/>
    </row>
    <row r="429">
      <c r="A429" s="251"/>
    </row>
    <row r="430">
      <c r="A430" s="251"/>
    </row>
    <row r="431">
      <c r="A431" s="251"/>
    </row>
    <row r="432">
      <c r="A432" s="251"/>
    </row>
    <row r="433">
      <c r="A433" s="251"/>
    </row>
    <row r="434">
      <c r="A434" s="251"/>
    </row>
    <row r="435">
      <c r="A435" s="251"/>
    </row>
    <row r="436">
      <c r="A436" s="251"/>
    </row>
    <row r="437">
      <c r="A437" s="251"/>
    </row>
    <row r="438">
      <c r="A438" s="251"/>
    </row>
    <row r="439">
      <c r="A439" s="251"/>
    </row>
    <row r="440">
      <c r="A440" s="251"/>
    </row>
    <row r="441">
      <c r="A441" s="251"/>
    </row>
    <row r="442">
      <c r="A442" s="251"/>
    </row>
    <row r="443">
      <c r="A443" s="251"/>
    </row>
    <row r="444">
      <c r="A444" s="251"/>
    </row>
    <row r="445">
      <c r="A445" s="251"/>
    </row>
    <row r="446">
      <c r="A446" s="251"/>
    </row>
    <row r="447">
      <c r="A447" s="251"/>
    </row>
    <row r="448">
      <c r="A448" s="251"/>
    </row>
    <row r="449">
      <c r="A449" s="251"/>
    </row>
    <row r="450">
      <c r="A450" s="251"/>
    </row>
    <row r="451">
      <c r="A451" s="251"/>
    </row>
    <row r="452">
      <c r="A452" s="251"/>
    </row>
    <row r="453">
      <c r="A453" s="251"/>
    </row>
    <row r="454">
      <c r="A454" s="251"/>
    </row>
    <row r="455">
      <c r="A455" s="251"/>
    </row>
    <row r="456">
      <c r="A456" s="251"/>
    </row>
    <row r="457">
      <c r="A457" s="251"/>
    </row>
    <row r="458">
      <c r="A458" s="251"/>
    </row>
    <row r="459">
      <c r="A459" s="251"/>
    </row>
    <row r="460">
      <c r="A460" s="251"/>
    </row>
    <row r="461">
      <c r="A461" s="251"/>
    </row>
    <row r="462">
      <c r="A462" s="251"/>
    </row>
    <row r="463">
      <c r="A463" s="251"/>
    </row>
    <row r="464">
      <c r="A464" s="251"/>
    </row>
    <row r="465">
      <c r="A465" s="251"/>
    </row>
    <row r="466">
      <c r="A466" s="251"/>
    </row>
    <row r="467">
      <c r="A467" s="251"/>
    </row>
    <row r="468">
      <c r="A468" s="251"/>
    </row>
    <row r="469">
      <c r="A469" s="251"/>
    </row>
    <row r="470">
      <c r="A470" s="251"/>
    </row>
    <row r="471">
      <c r="A471" s="251"/>
    </row>
    <row r="472">
      <c r="A472" s="251"/>
    </row>
    <row r="473">
      <c r="A473" s="251"/>
    </row>
    <row r="474">
      <c r="A474" s="251"/>
    </row>
    <row r="475">
      <c r="A475" s="251"/>
    </row>
    <row r="476">
      <c r="A476" s="251"/>
    </row>
    <row r="477">
      <c r="A477" s="251"/>
    </row>
    <row r="478">
      <c r="A478" s="251"/>
    </row>
    <row r="479">
      <c r="A479" s="251"/>
    </row>
    <row r="480">
      <c r="A480" s="251"/>
    </row>
    <row r="481">
      <c r="A481" s="251"/>
    </row>
    <row r="482">
      <c r="A482" s="251"/>
    </row>
    <row r="483">
      <c r="A483" s="251"/>
    </row>
    <row r="484">
      <c r="A484" s="251"/>
    </row>
    <row r="485">
      <c r="A485" s="251"/>
    </row>
    <row r="486">
      <c r="A486" s="251"/>
    </row>
    <row r="487">
      <c r="A487" s="251"/>
    </row>
    <row r="488">
      <c r="A488" s="251"/>
    </row>
    <row r="489">
      <c r="A489" s="251"/>
    </row>
    <row r="490">
      <c r="A490" s="251"/>
    </row>
    <row r="491">
      <c r="A491" s="251"/>
    </row>
    <row r="492">
      <c r="A492" s="251"/>
    </row>
    <row r="493">
      <c r="A493" s="251"/>
    </row>
    <row r="494">
      <c r="A494" s="251"/>
    </row>
    <row r="495">
      <c r="A495" s="251"/>
    </row>
    <row r="496">
      <c r="A496" s="251"/>
    </row>
    <row r="497">
      <c r="A497" s="251"/>
    </row>
    <row r="498">
      <c r="A498" s="251"/>
    </row>
    <row r="499">
      <c r="A499" s="251"/>
    </row>
    <row r="500">
      <c r="A500" s="251"/>
    </row>
    <row r="501">
      <c r="A501" s="251"/>
    </row>
    <row r="502">
      <c r="A502" s="251"/>
    </row>
    <row r="503">
      <c r="A503" s="251"/>
    </row>
    <row r="504">
      <c r="A504" s="251"/>
    </row>
    <row r="505">
      <c r="A505" s="251"/>
    </row>
    <row r="506">
      <c r="A506" s="251"/>
    </row>
    <row r="507">
      <c r="A507" s="251"/>
    </row>
    <row r="508">
      <c r="A508" s="251"/>
    </row>
    <row r="509">
      <c r="A509" s="251"/>
    </row>
    <row r="510">
      <c r="A510" s="251"/>
    </row>
    <row r="511">
      <c r="A511" s="251"/>
    </row>
    <row r="512">
      <c r="A512" s="251"/>
    </row>
    <row r="513">
      <c r="A513" s="251"/>
    </row>
    <row r="514">
      <c r="A514" s="251"/>
    </row>
    <row r="515">
      <c r="A515" s="251"/>
    </row>
    <row r="516">
      <c r="A516" s="251"/>
    </row>
    <row r="517">
      <c r="A517" s="251"/>
    </row>
    <row r="518">
      <c r="A518" s="251"/>
    </row>
    <row r="519">
      <c r="A519" s="251"/>
    </row>
    <row r="520">
      <c r="A520" s="251"/>
    </row>
    <row r="521">
      <c r="A521" s="251"/>
    </row>
    <row r="522">
      <c r="A522" s="251"/>
    </row>
    <row r="523">
      <c r="A523" s="251"/>
    </row>
    <row r="524">
      <c r="A524" s="251"/>
    </row>
    <row r="525">
      <c r="A525" s="251"/>
    </row>
    <row r="526">
      <c r="A526" s="251"/>
    </row>
    <row r="527">
      <c r="A527" s="251"/>
    </row>
    <row r="528">
      <c r="A528" s="251"/>
    </row>
    <row r="529">
      <c r="A529" s="251"/>
    </row>
    <row r="530">
      <c r="A530" s="251"/>
    </row>
    <row r="531">
      <c r="A531" s="251"/>
    </row>
    <row r="532">
      <c r="A532" s="251"/>
    </row>
    <row r="533">
      <c r="A533" s="251"/>
    </row>
    <row r="534">
      <c r="A534" s="251"/>
    </row>
    <row r="535">
      <c r="A535" s="251"/>
    </row>
    <row r="536">
      <c r="A536" s="251"/>
    </row>
    <row r="537">
      <c r="A537" s="251"/>
    </row>
    <row r="538">
      <c r="A538" s="251"/>
    </row>
    <row r="539">
      <c r="A539" s="251"/>
    </row>
    <row r="540">
      <c r="A540" s="251"/>
    </row>
    <row r="541">
      <c r="A541" s="251"/>
    </row>
    <row r="542">
      <c r="A542" s="251"/>
    </row>
    <row r="543">
      <c r="A543" s="251"/>
    </row>
    <row r="544">
      <c r="A544" s="251"/>
    </row>
    <row r="545">
      <c r="A545" s="251"/>
    </row>
    <row r="546">
      <c r="A546" s="251"/>
    </row>
    <row r="547">
      <c r="A547" s="251"/>
    </row>
    <row r="548">
      <c r="A548" s="251"/>
    </row>
    <row r="549">
      <c r="A549" s="251"/>
    </row>
    <row r="550">
      <c r="A550" s="251"/>
    </row>
    <row r="551">
      <c r="A551" s="251"/>
    </row>
    <row r="552">
      <c r="A552" s="251"/>
    </row>
    <row r="553">
      <c r="A553" s="251"/>
    </row>
    <row r="554">
      <c r="A554" s="251"/>
    </row>
    <row r="555">
      <c r="A555" s="251"/>
    </row>
    <row r="556">
      <c r="A556" s="251"/>
    </row>
    <row r="557">
      <c r="A557" s="251"/>
    </row>
    <row r="558">
      <c r="A558" s="251"/>
    </row>
    <row r="559">
      <c r="A559" s="251"/>
    </row>
    <row r="560">
      <c r="A560" s="251"/>
    </row>
    <row r="561">
      <c r="A561" s="251"/>
    </row>
    <row r="562">
      <c r="A562" s="251"/>
    </row>
    <row r="563">
      <c r="A563" s="251"/>
    </row>
    <row r="564">
      <c r="A564" s="251"/>
    </row>
    <row r="565">
      <c r="A565" s="251"/>
    </row>
    <row r="566">
      <c r="A566" s="251"/>
    </row>
    <row r="567">
      <c r="A567" s="251"/>
    </row>
    <row r="568">
      <c r="A568" s="251"/>
    </row>
    <row r="569">
      <c r="A569" s="251"/>
    </row>
    <row r="570">
      <c r="A570" s="251"/>
    </row>
    <row r="571">
      <c r="A571" s="251"/>
    </row>
    <row r="572">
      <c r="A572" s="251"/>
    </row>
    <row r="573">
      <c r="A573" s="251"/>
    </row>
    <row r="574">
      <c r="A574" s="251"/>
    </row>
    <row r="575">
      <c r="A575" s="251"/>
    </row>
    <row r="576">
      <c r="A576" s="251"/>
    </row>
    <row r="577">
      <c r="A577" s="251"/>
    </row>
    <row r="578">
      <c r="A578" s="251"/>
    </row>
    <row r="579">
      <c r="A579" s="251"/>
    </row>
    <row r="580">
      <c r="A580" s="251"/>
    </row>
    <row r="581">
      <c r="A581" s="251"/>
    </row>
    <row r="582">
      <c r="A582" s="251"/>
    </row>
    <row r="583">
      <c r="A583" s="251"/>
    </row>
    <row r="584">
      <c r="A584" s="251"/>
    </row>
    <row r="585">
      <c r="A585" s="251"/>
    </row>
    <row r="586">
      <c r="A586" s="251"/>
    </row>
    <row r="587">
      <c r="A587" s="251"/>
    </row>
    <row r="588">
      <c r="A588" s="251"/>
    </row>
    <row r="589">
      <c r="A589" s="251"/>
    </row>
    <row r="590">
      <c r="A590" s="251"/>
    </row>
    <row r="591">
      <c r="A591" s="251"/>
    </row>
    <row r="592">
      <c r="A592" s="251"/>
    </row>
    <row r="593">
      <c r="A593" s="251"/>
    </row>
    <row r="594">
      <c r="A594" s="251"/>
    </row>
    <row r="595">
      <c r="A595" s="251"/>
    </row>
    <row r="596">
      <c r="A596" s="251"/>
    </row>
    <row r="597">
      <c r="A597" s="251"/>
    </row>
    <row r="598">
      <c r="A598" s="251"/>
    </row>
    <row r="599">
      <c r="A599" s="251"/>
    </row>
    <row r="600">
      <c r="A600" s="251"/>
    </row>
    <row r="601">
      <c r="A601" s="251"/>
    </row>
    <row r="602">
      <c r="A602" s="251"/>
    </row>
    <row r="603">
      <c r="A603" s="251"/>
    </row>
    <row r="604">
      <c r="A604" s="251"/>
    </row>
    <row r="605">
      <c r="A605" s="251"/>
    </row>
    <row r="606">
      <c r="A606" s="251"/>
    </row>
    <row r="607">
      <c r="A607" s="251"/>
    </row>
    <row r="608">
      <c r="A608" s="251"/>
    </row>
    <row r="609">
      <c r="A609" s="251"/>
    </row>
    <row r="610">
      <c r="A610" s="251"/>
    </row>
    <row r="611">
      <c r="A611" s="251"/>
    </row>
    <row r="612">
      <c r="A612" s="251"/>
    </row>
    <row r="613">
      <c r="A613" s="251"/>
    </row>
    <row r="614">
      <c r="A614" s="251"/>
    </row>
    <row r="615">
      <c r="A615" s="251"/>
    </row>
    <row r="616">
      <c r="A616" s="251"/>
    </row>
    <row r="617">
      <c r="A617" s="251"/>
    </row>
    <row r="618">
      <c r="A618" s="251"/>
    </row>
    <row r="619">
      <c r="A619" s="251"/>
    </row>
    <row r="620">
      <c r="A620" s="251"/>
    </row>
    <row r="621">
      <c r="A621" s="251"/>
    </row>
    <row r="622">
      <c r="A622" s="251"/>
    </row>
    <row r="623">
      <c r="A623" s="251"/>
    </row>
    <row r="624">
      <c r="A624" s="251"/>
    </row>
    <row r="625">
      <c r="A625" s="251"/>
    </row>
    <row r="626">
      <c r="A626" s="251"/>
    </row>
    <row r="627">
      <c r="A627" s="251"/>
    </row>
    <row r="628">
      <c r="A628" s="251"/>
    </row>
    <row r="629">
      <c r="A629" s="251"/>
    </row>
    <row r="630">
      <c r="A630" s="251"/>
    </row>
    <row r="631">
      <c r="A631" s="251"/>
    </row>
    <row r="632">
      <c r="A632" s="251"/>
    </row>
    <row r="633">
      <c r="A633" s="251"/>
    </row>
    <row r="634">
      <c r="A634" s="251"/>
    </row>
    <row r="635">
      <c r="A635" s="251"/>
    </row>
    <row r="636">
      <c r="A636" s="251"/>
    </row>
    <row r="637">
      <c r="A637" s="251"/>
    </row>
    <row r="638">
      <c r="A638" s="251"/>
    </row>
    <row r="639">
      <c r="A639" s="251"/>
    </row>
    <row r="640">
      <c r="A640" s="251"/>
    </row>
    <row r="641">
      <c r="A641" s="251"/>
    </row>
    <row r="642">
      <c r="A642" s="251"/>
    </row>
    <row r="643">
      <c r="A643" s="251"/>
    </row>
    <row r="644">
      <c r="A644" s="251"/>
    </row>
    <row r="645">
      <c r="A645" s="251"/>
    </row>
    <row r="646">
      <c r="A646" s="251"/>
    </row>
    <row r="647">
      <c r="A647" s="251"/>
    </row>
    <row r="648">
      <c r="A648" s="251"/>
    </row>
    <row r="649">
      <c r="A649" s="251"/>
    </row>
    <row r="650">
      <c r="A650" s="251"/>
    </row>
    <row r="651">
      <c r="A651" s="251"/>
    </row>
    <row r="652">
      <c r="A652" s="251"/>
    </row>
    <row r="653">
      <c r="A653" s="251"/>
    </row>
    <row r="654">
      <c r="A654" s="251"/>
    </row>
    <row r="655">
      <c r="A655" s="251"/>
    </row>
    <row r="656">
      <c r="A656" s="251"/>
    </row>
    <row r="657">
      <c r="A657" s="251"/>
    </row>
    <row r="658">
      <c r="A658" s="251"/>
    </row>
    <row r="659">
      <c r="A659" s="251"/>
    </row>
    <row r="660">
      <c r="A660" s="251"/>
    </row>
    <row r="661">
      <c r="A661" s="251"/>
    </row>
    <row r="662">
      <c r="A662" s="251"/>
    </row>
    <row r="663">
      <c r="A663" s="251"/>
    </row>
    <row r="664">
      <c r="A664" s="251"/>
    </row>
    <row r="665">
      <c r="A665" s="251"/>
    </row>
    <row r="666">
      <c r="A666" s="251"/>
    </row>
    <row r="667">
      <c r="A667" s="251"/>
    </row>
    <row r="668">
      <c r="A668" s="251"/>
    </row>
    <row r="669">
      <c r="A669" s="251"/>
    </row>
    <row r="670">
      <c r="A670" s="251"/>
    </row>
    <row r="671">
      <c r="A671" s="251"/>
    </row>
    <row r="672">
      <c r="A672" s="251"/>
    </row>
    <row r="673">
      <c r="A673" s="251"/>
    </row>
    <row r="674">
      <c r="A674" s="251"/>
    </row>
    <row r="675">
      <c r="A675" s="251"/>
    </row>
    <row r="676">
      <c r="A676" s="251"/>
    </row>
    <row r="677">
      <c r="A677" s="251"/>
    </row>
    <row r="678">
      <c r="A678" s="251"/>
    </row>
    <row r="679">
      <c r="A679" s="251"/>
    </row>
    <row r="680">
      <c r="A680" s="251"/>
    </row>
    <row r="681">
      <c r="A681" s="251"/>
    </row>
    <row r="682">
      <c r="A682" s="251"/>
    </row>
    <row r="683">
      <c r="A683" s="251"/>
    </row>
    <row r="684">
      <c r="A684" s="251"/>
    </row>
    <row r="685">
      <c r="A685" s="251"/>
    </row>
    <row r="686">
      <c r="A686" s="251"/>
    </row>
    <row r="687">
      <c r="A687" s="251"/>
    </row>
    <row r="688">
      <c r="A688" s="251"/>
    </row>
    <row r="689">
      <c r="A689" s="251"/>
    </row>
    <row r="690">
      <c r="A690" s="251"/>
    </row>
    <row r="691">
      <c r="A691" s="251"/>
    </row>
    <row r="692">
      <c r="A692" s="251"/>
    </row>
    <row r="693">
      <c r="A693" s="251"/>
    </row>
    <row r="694">
      <c r="A694" s="251"/>
    </row>
    <row r="695">
      <c r="A695" s="251"/>
    </row>
    <row r="696">
      <c r="A696" s="251"/>
    </row>
    <row r="697">
      <c r="A697" s="251"/>
    </row>
    <row r="698">
      <c r="A698" s="251"/>
    </row>
    <row r="699">
      <c r="A699" s="251"/>
    </row>
    <row r="700">
      <c r="A700" s="251"/>
    </row>
    <row r="701">
      <c r="A701" s="251"/>
    </row>
    <row r="702">
      <c r="A702" s="251"/>
    </row>
    <row r="703">
      <c r="A703" s="251"/>
    </row>
    <row r="704">
      <c r="A704" s="251"/>
    </row>
    <row r="705">
      <c r="A705" s="251"/>
    </row>
    <row r="706">
      <c r="A706" s="251"/>
    </row>
    <row r="707">
      <c r="A707" s="251"/>
    </row>
    <row r="708">
      <c r="A708" s="251"/>
    </row>
    <row r="709">
      <c r="A709" s="251"/>
    </row>
    <row r="710">
      <c r="A710" s="251"/>
    </row>
    <row r="711">
      <c r="A711" s="251"/>
    </row>
    <row r="712">
      <c r="A712" s="251"/>
    </row>
    <row r="713">
      <c r="A713" s="251"/>
    </row>
    <row r="714">
      <c r="A714" s="251"/>
    </row>
    <row r="715">
      <c r="A715" s="251"/>
    </row>
    <row r="716">
      <c r="A716" s="251"/>
    </row>
    <row r="717">
      <c r="A717" s="251"/>
    </row>
    <row r="718">
      <c r="A718" s="251"/>
    </row>
    <row r="719">
      <c r="A719" s="251"/>
    </row>
    <row r="720">
      <c r="A720" s="251"/>
    </row>
    <row r="721">
      <c r="A721" s="251"/>
    </row>
    <row r="722">
      <c r="A722" s="251"/>
    </row>
    <row r="723">
      <c r="A723" s="251"/>
    </row>
    <row r="724">
      <c r="A724" s="251"/>
    </row>
    <row r="725">
      <c r="A725" s="251"/>
    </row>
    <row r="726">
      <c r="A726" s="251"/>
    </row>
    <row r="727">
      <c r="A727" s="251"/>
    </row>
    <row r="728">
      <c r="A728" s="251"/>
    </row>
    <row r="729">
      <c r="A729" s="251"/>
    </row>
    <row r="730">
      <c r="A730" s="251"/>
    </row>
    <row r="731">
      <c r="A731" s="251"/>
    </row>
    <row r="732">
      <c r="A732" s="251"/>
    </row>
    <row r="733">
      <c r="A733" s="251"/>
    </row>
    <row r="734">
      <c r="A734" s="251"/>
    </row>
    <row r="735">
      <c r="A735" s="251"/>
    </row>
    <row r="736">
      <c r="A736" s="251"/>
    </row>
    <row r="737">
      <c r="A737" s="251"/>
    </row>
    <row r="738">
      <c r="A738" s="251"/>
    </row>
    <row r="739">
      <c r="A739" s="251"/>
    </row>
    <row r="740">
      <c r="A740" s="251"/>
    </row>
    <row r="741">
      <c r="A741" s="251"/>
    </row>
    <row r="742">
      <c r="A742" s="251"/>
    </row>
    <row r="743">
      <c r="A743" s="251"/>
    </row>
    <row r="744">
      <c r="A744" s="251"/>
    </row>
    <row r="745">
      <c r="A745" s="251"/>
    </row>
    <row r="746">
      <c r="A746" s="251"/>
    </row>
    <row r="747">
      <c r="A747" s="251"/>
    </row>
    <row r="748">
      <c r="A748" s="251"/>
    </row>
    <row r="749">
      <c r="A749" s="251"/>
    </row>
    <row r="750">
      <c r="A750" s="251"/>
    </row>
    <row r="751">
      <c r="A751" s="251"/>
    </row>
    <row r="752">
      <c r="A752" s="251"/>
    </row>
    <row r="753">
      <c r="A753" s="251"/>
    </row>
    <row r="754">
      <c r="A754" s="251"/>
    </row>
    <row r="755">
      <c r="A755" s="251"/>
    </row>
    <row r="756">
      <c r="A756" s="251"/>
    </row>
    <row r="757">
      <c r="A757" s="251"/>
    </row>
    <row r="758">
      <c r="A758" s="251"/>
    </row>
    <row r="759">
      <c r="A759" s="251"/>
    </row>
    <row r="760">
      <c r="A760" s="251"/>
    </row>
    <row r="761">
      <c r="A761" s="251"/>
    </row>
    <row r="762">
      <c r="A762" s="251"/>
    </row>
    <row r="763">
      <c r="A763" s="251"/>
    </row>
    <row r="764">
      <c r="A764" s="251"/>
    </row>
    <row r="765">
      <c r="A765" s="251"/>
    </row>
    <row r="766">
      <c r="A766" s="251"/>
    </row>
    <row r="767">
      <c r="A767" s="251"/>
    </row>
    <row r="768">
      <c r="A768" s="251"/>
    </row>
    <row r="769">
      <c r="A769" s="251"/>
    </row>
    <row r="770">
      <c r="A770" s="251"/>
    </row>
    <row r="771">
      <c r="A771" s="251"/>
    </row>
    <row r="772">
      <c r="A772" s="251"/>
    </row>
    <row r="773">
      <c r="A773" s="251"/>
    </row>
    <row r="774">
      <c r="A774" s="251"/>
    </row>
    <row r="775">
      <c r="A775" s="251"/>
    </row>
    <row r="776">
      <c r="A776" s="251"/>
    </row>
    <row r="777">
      <c r="A777" s="251"/>
    </row>
    <row r="778">
      <c r="A778" s="251"/>
    </row>
    <row r="779">
      <c r="A779" s="251"/>
    </row>
    <row r="780">
      <c r="A780" s="251"/>
    </row>
    <row r="781">
      <c r="A781" s="251"/>
    </row>
    <row r="782">
      <c r="A782" s="251"/>
    </row>
    <row r="783">
      <c r="A783" s="251"/>
    </row>
    <row r="784">
      <c r="A784" s="251"/>
    </row>
    <row r="785">
      <c r="A785" s="251"/>
    </row>
    <row r="786">
      <c r="A786" s="251"/>
    </row>
    <row r="787">
      <c r="A787" s="251"/>
    </row>
    <row r="788">
      <c r="A788" s="251"/>
    </row>
    <row r="789">
      <c r="A789" s="251"/>
    </row>
    <row r="790">
      <c r="A790" s="251"/>
    </row>
    <row r="791">
      <c r="A791" s="251"/>
    </row>
    <row r="792">
      <c r="A792" s="251"/>
    </row>
    <row r="793">
      <c r="A793" s="251"/>
    </row>
    <row r="794">
      <c r="A794" s="251"/>
    </row>
    <row r="795">
      <c r="A795" s="251"/>
    </row>
    <row r="796">
      <c r="A796" s="251"/>
    </row>
    <row r="797">
      <c r="A797" s="251"/>
    </row>
    <row r="798">
      <c r="A798" s="251"/>
    </row>
    <row r="799">
      <c r="A799" s="251"/>
    </row>
    <row r="800">
      <c r="A800" s="251"/>
    </row>
    <row r="801">
      <c r="A801" s="251"/>
    </row>
    <row r="802">
      <c r="A802" s="251"/>
    </row>
    <row r="803">
      <c r="A803" s="251"/>
    </row>
    <row r="804">
      <c r="A804" s="251"/>
    </row>
    <row r="805">
      <c r="A805" s="251"/>
    </row>
    <row r="806">
      <c r="A806" s="251"/>
    </row>
    <row r="807">
      <c r="A807" s="251"/>
    </row>
    <row r="808">
      <c r="A808" s="251"/>
    </row>
    <row r="809">
      <c r="A809" s="251"/>
    </row>
    <row r="810">
      <c r="A810" s="251"/>
    </row>
    <row r="811">
      <c r="A811" s="251"/>
    </row>
    <row r="812">
      <c r="A812" s="251"/>
    </row>
    <row r="813">
      <c r="A813" s="251"/>
    </row>
    <row r="814">
      <c r="A814" s="251"/>
    </row>
    <row r="815">
      <c r="A815" s="251"/>
    </row>
    <row r="816">
      <c r="A816" s="251"/>
    </row>
    <row r="817">
      <c r="A817" s="251"/>
    </row>
    <row r="818">
      <c r="A818" s="251"/>
    </row>
    <row r="819">
      <c r="A819" s="251"/>
    </row>
    <row r="820">
      <c r="A820" s="251"/>
    </row>
    <row r="821">
      <c r="A821" s="251"/>
    </row>
    <row r="822">
      <c r="A822" s="251"/>
    </row>
    <row r="823">
      <c r="A823" s="251"/>
    </row>
    <row r="824">
      <c r="A824" s="251"/>
    </row>
    <row r="825">
      <c r="A825" s="251"/>
    </row>
    <row r="826">
      <c r="A826" s="251"/>
    </row>
    <row r="827">
      <c r="A827" s="251"/>
    </row>
    <row r="828">
      <c r="A828" s="251"/>
    </row>
    <row r="829">
      <c r="A829" s="251"/>
    </row>
    <row r="830">
      <c r="A830" s="251"/>
    </row>
    <row r="831">
      <c r="A831" s="251"/>
    </row>
    <row r="832">
      <c r="A832" s="251"/>
    </row>
    <row r="833">
      <c r="A833" s="251"/>
    </row>
    <row r="834">
      <c r="A834" s="251"/>
    </row>
    <row r="835">
      <c r="A835" s="251"/>
    </row>
    <row r="836">
      <c r="A836" s="251"/>
    </row>
    <row r="837">
      <c r="A837" s="251"/>
    </row>
    <row r="838">
      <c r="A838" s="251"/>
    </row>
    <row r="839">
      <c r="A839" s="251"/>
    </row>
    <row r="840">
      <c r="A840" s="251"/>
    </row>
    <row r="841">
      <c r="A841" s="251"/>
    </row>
    <row r="842">
      <c r="A842" s="251"/>
    </row>
    <row r="843">
      <c r="A843" s="251"/>
    </row>
    <row r="844">
      <c r="A844" s="251"/>
    </row>
    <row r="845">
      <c r="A845" s="251"/>
    </row>
    <row r="846">
      <c r="A846" s="251"/>
    </row>
    <row r="847">
      <c r="A847" s="251"/>
    </row>
    <row r="848">
      <c r="A848" s="251"/>
    </row>
    <row r="849">
      <c r="A849" s="251"/>
    </row>
    <row r="850">
      <c r="A850" s="251"/>
    </row>
    <row r="851">
      <c r="A851" s="251"/>
    </row>
    <row r="852">
      <c r="A852" s="251"/>
    </row>
    <row r="853">
      <c r="A853" s="251"/>
    </row>
    <row r="854">
      <c r="A854" s="251"/>
    </row>
    <row r="855">
      <c r="A855" s="251"/>
    </row>
    <row r="856">
      <c r="A856" s="251"/>
    </row>
    <row r="857">
      <c r="A857" s="251"/>
    </row>
    <row r="858">
      <c r="A858" s="251"/>
    </row>
    <row r="859">
      <c r="A859" s="251"/>
    </row>
    <row r="860">
      <c r="A860" s="251"/>
    </row>
    <row r="861">
      <c r="A861" s="251"/>
    </row>
    <row r="862">
      <c r="A862" s="251"/>
    </row>
    <row r="863">
      <c r="A863" s="251"/>
    </row>
    <row r="864">
      <c r="A864" s="251"/>
    </row>
    <row r="865">
      <c r="A865" s="251"/>
    </row>
    <row r="866">
      <c r="A866" s="251"/>
    </row>
    <row r="867">
      <c r="A867" s="251"/>
    </row>
    <row r="868">
      <c r="A868" s="251"/>
    </row>
    <row r="869">
      <c r="A869" s="251"/>
    </row>
    <row r="870">
      <c r="A870" s="251"/>
    </row>
    <row r="871">
      <c r="A871" s="251"/>
    </row>
    <row r="872">
      <c r="A872" s="251"/>
    </row>
    <row r="873">
      <c r="A873" s="251"/>
    </row>
    <row r="874">
      <c r="A874" s="251"/>
    </row>
    <row r="875">
      <c r="A875" s="251"/>
    </row>
    <row r="876">
      <c r="A876" s="251"/>
    </row>
    <row r="877">
      <c r="A877" s="251"/>
    </row>
    <row r="878">
      <c r="A878" s="251"/>
    </row>
    <row r="879">
      <c r="A879" s="251"/>
    </row>
    <row r="880">
      <c r="A880" s="251"/>
    </row>
    <row r="881">
      <c r="A881" s="251"/>
    </row>
    <row r="882">
      <c r="A882" s="251"/>
    </row>
    <row r="883">
      <c r="A883" s="251"/>
    </row>
    <row r="884">
      <c r="A884" s="251"/>
    </row>
    <row r="885">
      <c r="A885" s="251"/>
    </row>
    <row r="886">
      <c r="A886" s="251"/>
    </row>
    <row r="887">
      <c r="A887" s="251"/>
    </row>
    <row r="888">
      <c r="A888" s="251"/>
    </row>
    <row r="889">
      <c r="A889" s="251"/>
    </row>
    <row r="890">
      <c r="A890" s="251"/>
    </row>
    <row r="891">
      <c r="A891" s="251"/>
    </row>
    <row r="892">
      <c r="A892" s="251"/>
    </row>
    <row r="893">
      <c r="A893" s="251"/>
    </row>
    <row r="894">
      <c r="A894" s="251"/>
    </row>
    <row r="895">
      <c r="A895" s="251"/>
    </row>
    <row r="896">
      <c r="A896" s="251"/>
    </row>
    <row r="897">
      <c r="A897" s="251"/>
    </row>
    <row r="898">
      <c r="A898" s="251"/>
    </row>
    <row r="899">
      <c r="A899" s="251"/>
    </row>
    <row r="900">
      <c r="A900" s="251"/>
    </row>
    <row r="901">
      <c r="A901" s="251"/>
    </row>
    <row r="902">
      <c r="A902" s="251"/>
    </row>
    <row r="903">
      <c r="A903" s="251"/>
    </row>
    <row r="904">
      <c r="A904" s="251"/>
    </row>
    <row r="905">
      <c r="A905" s="251"/>
    </row>
    <row r="906">
      <c r="A906" s="251"/>
    </row>
    <row r="907">
      <c r="A907" s="251"/>
    </row>
    <row r="908">
      <c r="A908" s="251"/>
    </row>
    <row r="909">
      <c r="A909" s="251"/>
    </row>
    <row r="910">
      <c r="A910" s="251"/>
    </row>
    <row r="911">
      <c r="A911" s="251"/>
    </row>
    <row r="912">
      <c r="A912" s="251"/>
    </row>
    <row r="913">
      <c r="A913" s="251"/>
    </row>
    <row r="914">
      <c r="A914" s="251"/>
    </row>
    <row r="915">
      <c r="A915" s="251"/>
    </row>
    <row r="916">
      <c r="A916" s="251"/>
    </row>
    <row r="917">
      <c r="A917" s="251"/>
    </row>
    <row r="918">
      <c r="A918" s="251"/>
    </row>
    <row r="919">
      <c r="A919" s="251"/>
    </row>
    <row r="920">
      <c r="A920" s="251"/>
    </row>
    <row r="921">
      <c r="A921" s="251"/>
    </row>
    <row r="922">
      <c r="A922" s="251"/>
    </row>
    <row r="923">
      <c r="A923" s="251"/>
    </row>
    <row r="924">
      <c r="A924" s="251"/>
    </row>
    <row r="925">
      <c r="A925" s="251"/>
    </row>
    <row r="926">
      <c r="A926" s="251"/>
    </row>
    <row r="927">
      <c r="A927" s="251"/>
    </row>
    <row r="928">
      <c r="A928" s="251"/>
    </row>
    <row r="929">
      <c r="A929" s="251"/>
    </row>
    <row r="930">
      <c r="A930" s="251"/>
    </row>
    <row r="931">
      <c r="A931" s="251"/>
    </row>
    <row r="932">
      <c r="A932" s="251"/>
    </row>
    <row r="933">
      <c r="A933" s="251"/>
    </row>
    <row r="934">
      <c r="A934" s="251"/>
    </row>
    <row r="935">
      <c r="A935" s="251"/>
    </row>
    <row r="936">
      <c r="A936" s="251"/>
    </row>
    <row r="937">
      <c r="A937" s="251"/>
    </row>
    <row r="938">
      <c r="A938" s="251"/>
    </row>
    <row r="939">
      <c r="A939" s="251"/>
    </row>
    <row r="940">
      <c r="A940" s="251"/>
    </row>
    <row r="941">
      <c r="A941" s="251"/>
    </row>
    <row r="942">
      <c r="A942" s="251"/>
    </row>
    <row r="943">
      <c r="A943" s="251"/>
    </row>
    <row r="944">
      <c r="A944" s="251"/>
    </row>
    <row r="945">
      <c r="A945" s="251"/>
    </row>
    <row r="946">
      <c r="A946" s="251"/>
    </row>
    <row r="947">
      <c r="A947" s="251"/>
    </row>
    <row r="948">
      <c r="A948" s="251"/>
    </row>
    <row r="949">
      <c r="A949" s="251"/>
    </row>
    <row r="950">
      <c r="A950" s="251"/>
    </row>
    <row r="951">
      <c r="A951" s="251"/>
    </row>
    <row r="952">
      <c r="A952" s="251"/>
    </row>
    <row r="953">
      <c r="A953" s="251"/>
    </row>
    <row r="954">
      <c r="A954" s="251"/>
    </row>
    <row r="955">
      <c r="A955" s="251"/>
    </row>
    <row r="956">
      <c r="A956" s="251"/>
    </row>
    <row r="957">
      <c r="A957" s="251"/>
    </row>
    <row r="958">
      <c r="A958" s="251"/>
    </row>
    <row r="959">
      <c r="A959" s="251"/>
    </row>
    <row r="960">
      <c r="A960" s="251"/>
    </row>
    <row r="961">
      <c r="A961" s="251"/>
    </row>
    <row r="962">
      <c r="A962" s="251"/>
    </row>
    <row r="963">
      <c r="A963" s="251"/>
    </row>
    <row r="964">
      <c r="A964" s="251"/>
    </row>
    <row r="965">
      <c r="A965" s="251"/>
    </row>
    <row r="966">
      <c r="A966" s="251"/>
    </row>
    <row r="967">
      <c r="A967" s="251"/>
    </row>
    <row r="968">
      <c r="A968" s="251"/>
    </row>
    <row r="969">
      <c r="A969" s="251"/>
    </row>
    <row r="970">
      <c r="A970" s="251"/>
    </row>
    <row r="971">
      <c r="A971" s="251"/>
    </row>
    <row r="972">
      <c r="A972" s="251"/>
    </row>
    <row r="973">
      <c r="A973" s="251"/>
    </row>
    <row r="974">
      <c r="A974" s="251"/>
    </row>
    <row r="975">
      <c r="A975" s="251"/>
    </row>
    <row r="976">
      <c r="A976" s="251"/>
    </row>
    <row r="977">
      <c r="A977" s="251"/>
    </row>
    <row r="978">
      <c r="A978" s="251"/>
    </row>
    <row r="979">
      <c r="A979" s="251"/>
    </row>
    <row r="980">
      <c r="A980" s="251"/>
    </row>
    <row r="981">
      <c r="A981" s="251"/>
    </row>
    <row r="982">
      <c r="A982" s="251"/>
    </row>
    <row r="983">
      <c r="A983" s="251"/>
    </row>
    <row r="984">
      <c r="A984" s="251"/>
    </row>
    <row r="985">
      <c r="A985" s="251"/>
    </row>
    <row r="986">
      <c r="A986" s="251"/>
    </row>
    <row r="987">
      <c r="A987" s="251"/>
    </row>
    <row r="988">
      <c r="A988" s="251"/>
    </row>
    <row r="989">
      <c r="A989" s="251"/>
    </row>
    <row r="990">
      <c r="A990" s="251"/>
    </row>
    <row r="991">
      <c r="A991" s="251"/>
    </row>
  </sheetData>
  <mergeCells count="1">
    <mergeCell ref="A22:D22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13"/>
    <col customWidth="1" min="2" max="2" width="12.13"/>
    <col customWidth="1" min="3" max="3" width="10.63"/>
    <col customWidth="1" min="4" max="4" width="14.38"/>
    <col customWidth="1" min="6" max="6" width="9.63"/>
    <col customWidth="1" min="7" max="7" width="14.88"/>
    <col customWidth="1" min="8" max="8" width="8.88"/>
    <col customWidth="1" min="9" max="9" width="16.38"/>
  </cols>
  <sheetData>
    <row r="1">
      <c r="A1" s="251"/>
      <c r="B1" s="74"/>
      <c r="C1" s="74"/>
      <c r="D1" s="74"/>
      <c r="E1" s="178"/>
      <c r="F1" s="235"/>
      <c r="G1" s="179"/>
      <c r="H1" s="179"/>
      <c r="I1" s="297"/>
    </row>
    <row r="2">
      <c r="A2" s="252" t="s">
        <v>41</v>
      </c>
      <c r="B2" s="253" t="s">
        <v>195</v>
      </c>
      <c r="C2" s="253" t="s">
        <v>196</v>
      </c>
      <c r="D2" s="253" t="s">
        <v>197</v>
      </c>
      <c r="E2" s="253" t="s">
        <v>4</v>
      </c>
      <c r="F2" s="249" t="s">
        <v>5</v>
      </c>
      <c r="G2" s="249" t="s">
        <v>6</v>
      </c>
      <c r="H2" s="253" t="s">
        <v>9</v>
      </c>
      <c r="I2" s="254" t="s">
        <v>198</v>
      </c>
    </row>
    <row r="3">
      <c r="A3" s="87" t="s">
        <v>252</v>
      </c>
      <c r="B3" s="98">
        <f>'Исходные данные'!D11</f>
        <v>214</v>
      </c>
      <c r="C3" s="98">
        <f>'Исходные данные'!F30</f>
        <v>1</v>
      </c>
      <c r="D3" s="134"/>
      <c r="E3" s="134">
        <v>480420.0</v>
      </c>
      <c r="F3" s="256">
        <v>12.0</v>
      </c>
      <c r="G3" s="163">
        <f t="shared" ref="G3:G10" si="1">E3/F3</f>
        <v>40035</v>
      </c>
      <c r="H3" s="72"/>
      <c r="I3" s="282">
        <f t="shared" ref="I3:I4" si="2">G3/B3*C3</f>
        <v>187.0794393</v>
      </c>
    </row>
    <row r="4">
      <c r="A4" s="87" t="s">
        <v>248</v>
      </c>
      <c r="B4" s="134">
        <f>'Исходные данные'!E13</f>
        <v>30</v>
      </c>
      <c r="C4" s="134">
        <f>'Исходные данные'!H30</f>
        <v>1</v>
      </c>
      <c r="D4" s="134"/>
      <c r="E4" s="177">
        <v>305868.0</v>
      </c>
      <c r="F4" s="256">
        <v>12.0</v>
      </c>
      <c r="G4" s="163">
        <f t="shared" si="1"/>
        <v>25489</v>
      </c>
      <c r="H4" s="72"/>
      <c r="I4" s="282">
        <f t="shared" si="2"/>
        <v>849.6333333</v>
      </c>
    </row>
    <row r="5">
      <c r="A5" s="87" t="s">
        <v>245</v>
      </c>
      <c r="B5" s="134"/>
      <c r="C5" s="134"/>
      <c r="D5" s="134"/>
      <c r="E5" s="255"/>
      <c r="F5" s="256">
        <v>12.0</v>
      </c>
      <c r="G5" s="163">
        <f t="shared" si="1"/>
        <v>0</v>
      </c>
      <c r="H5" s="72"/>
      <c r="I5" s="282">
        <f t="shared" ref="I5:I10" si="3">G5</f>
        <v>0</v>
      </c>
    </row>
    <row r="6">
      <c r="A6" s="87" t="s">
        <v>253</v>
      </c>
      <c r="B6" s="134"/>
      <c r="C6" s="134"/>
      <c r="D6" s="134"/>
      <c r="E6" s="255">
        <v>7511.62</v>
      </c>
      <c r="F6" s="256">
        <v>12.0</v>
      </c>
      <c r="G6" s="163">
        <f t="shared" si="1"/>
        <v>625.9683333</v>
      </c>
      <c r="H6" s="72"/>
      <c r="I6" s="282">
        <f t="shared" si="3"/>
        <v>625.9683333</v>
      </c>
    </row>
    <row r="7">
      <c r="A7" s="87" t="s">
        <v>148</v>
      </c>
      <c r="B7" s="134"/>
      <c r="C7" s="134"/>
      <c r="D7" s="134"/>
      <c r="E7" s="177">
        <v>535.0</v>
      </c>
      <c r="F7" s="256">
        <v>12.0</v>
      </c>
      <c r="G7" s="163">
        <f t="shared" si="1"/>
        <v>44.58333333</v>
      </c>
      <c r="H7" s="72"/>
      <c r="I7" s="282">
        <f t="shared" si="3"/>
        <v>44.58333333</v>
      </c>
    </row>
    <row r="8">
      <c r="A8" s="87" t="s">
        <v>150</v>
      </c>
      <c r="B8" s="134"/>
      <c r="C8" s="134"/>
      <c r="D8" s="134"/>
      <c r="E8" s="177">
        <v>0.0</v>
      </c>
      <c r="F8" s="256">
        <v>12.0</v>
      </c>
      <c r="G8" s="163">
        <f t="shared" si="1"/>
        <v>0</v>
      </c>
      <c r="H8" s="72"/>
      <c r="I8" s="282">
        <f t="shared" si="3"/>
        <v>0</v>
      </c>
    </row>
    <row r="9">
      <c r="A9" s="87" t="s">
        <v>149</v>
      </c>
      <c r="B9" s="134"/>
      <c r="C9" s="134"/>
      <c r="D9" s="134"/>
      <c r="E9" s="177">
        <v>0.0</v>
      </c>
      <c r="F9" s="256">
        <v>12.0</v>
      </c>
      <c r="G9" s="163">
        <f t="shared" si="1"/>
        <v>0</v>
      </c>
      <c r="H9" s="72"/>
      <c r="I9" s="282">
        <f t="shared" si="3"/>
        <v>0</v>
      </c>
    </row>
    <row r="10">
      <c r="A10" s="293" t="s">
        <v>203</v>
      </c>
      <c r="B10" s="134"/>
      <c r="C10" s="134"/>
      <c r="D10" s="134"/>
      <c r="E10" s="177"/>
      <c r="F10" s="256">
        <v>12.0</v>
      </c>
      <c r="G10" s="163">
        <f t="shared" si="1"/>
        <v>0</v>
      </c>
      <c r="H10" s="72"/>
      <c r="I10" s="282">
        <f t="shared" si="3"/>
        <v>0</v>
      </c>
    </row>
    <row r="11">
      <c r="A11" s="293" t="s">
        <v>246</v>
      </c>
      <c r="B11" s="134"/>
      <c r="C11" s="134"/>
      <c r="D11" s="134"/>
      <c r="E11" s="177"/>
      <c r="F11" s="256"/>
      <c r="G11" s="163"/>
      <c r="H11" s="72"/>
      <c r="I11" s="282">
        <f>D24</f>
        <v>0</v>
      </c>
    </row>
    <row r="12">
      <c r="A12" s="293" t="s">
        <v>204</v>
      </c>
      <c r="B12" s="134"/>
      <c r="C12" s="134"/>
      <c r="D12" s="134"/>
      <c r="E12" s="177"/>
      <c r="F12" s="256">
        <v>12.0</v>
      </c>
      <c r="G12" s="163">
        <f>E12/F12</f>
        <v>0</v>
      </c>
      <c r="H12" s="72"/>
      <c r="I12" s="282">
        <f>G12</f>
        <v>0</v>
      </c>
    </row>
    <row r="13">
      <c r="A13" s="68" t="s">
        <v>152</v>
      </c>
      <c r="B13" s="72"/>
      <c r="C13" s="71"/>
      <c r="D13" s="265">
        <f>B18+B19</f>
        <v>180</v>
      </c>
      <c r="E13" s="72"/>
      <c r="F13" s="249"/>
      <c r="G13" s="72"/>
      <c r="H13" s="259">
        <f>'Общие расходы ГЭ'!G16</f>
        <v>9.195626292</v>
      </c>
      <c r="I13" s="282">
        <f t="shared" ref="I13:I15" si="4">D13*H13</f>
        <v>1655.212733</v>
      </c>
    </row>
    <row r="14">
      <c r="A14" s="68" t="s">
        <v>235</v>
      </c>
      <c r="B14" s="72"/>
      <c r="C14" s="71"/>
      <c r="D14" s="265">
        <f>B18+B19</f>
        <v>180</v>
      </c>
      <c r="E14" s="72"/>
      <c r="F14" s="249"/>
      <c r="G14" s="72"/>
      <c r="H14" s="259">
        <f>'Общие расходы г. Тюмень'!F4</f>
        <v>0.2743933235</v>
      </c>
      <c r="I14" s="282">
        <f t="shared" si="4"/>
        <v>49.39079823</v>
      </c>
    </row>
    <row r="15">
      <c r="A15" s="68" t="s">
        <v>156</v>
      </c>
      <c r="B15" s="72"/>
      <c r="C15" s="71"/>
      <c r="D15" s="265">
        <f>B18+B19</f>
        <v>180</v>
      </c>
      <c r="E15" s="72"/>
      <c r="F15" s="249"/>
      <c r="G15" s="72"/>
      <c r="H15" s="250">
        <f>'Общие расходы г. Тюмень'!F30</f>
        <v>0.7480139342</v>
      </c>
      <c r="I15" s="282">
        <f t="shared" si="4"/>
        <v>134.6425082</v>
      </c>
    </row>
    <row r="16">
      <c r="A16" s="311"/>
      <c r="B16" s="291"/>
      <c r="C16" s="289"/>
      <c r="D16" s="289"/>
      <c r="E16" s="291"/>
      <c r="F16" s="290"/>
      <c r="G16" s="291"/>
      <c r="H16" s="290"/>
      <c r="I16" s="282">
        <f>SUM(I3:I15)</f>
        <v>3546.510478</v>
      </c>
    </row>
    <row r="17">
      <c r="A17" s="251"/>
      <c r="B17" s="179"/>
      <c r="C17" s="179"/>
      <c r="D17" s="179"/>
      <c r="E17" s="179"/>
      <c r="F17" s="235"/>
      <c r="G17" s="179"/>
      <c r="H17" s="179"/>
      <c r="I17" s="297"/>
    </row>
    <row r="18">
      <c r="A18" s="68" t="s">
        <v>205</v>
      </c>
      <c r="B18" s="260">
        <f>'Исходные данные'!B30</f>
        <v>90</v>
      </c>
      <c r="C18" s="179"/>
      <c r="D18" s="179"/>
      <c r="E18" s="179"/>
      <c r="F18" s="235"/>
      <c r="G18" s="179"/>
      <c r="H18" s="179"/>
      <c r="I18" s="297"/>
    </row>
    <row r="19">
      <c r="A19" s="68" t="s">
        <v>206</v>
      </c>
      <c r="B19" s="260">
        <f>'Исходные данные'!C30</f>
        <v>90</v>
      </c>
      <c r="C19" s="179"/>
      <c r="D19" s="179"/>
      <c r="E19" s="179"/>
      <c r="F19" s="235"/>
      <c r="G19" s="179"/>
      <c r="H19" s="179"/>
      <c r="I19" s="297"/>
    </row>
    <row r="20">
      <c r="A20" s="68" t="s">
        <v>207</v>
      </c>
      <c r="B20" s="260" t="str">
        <f>'Исходные данные'!D30</f>
        <v/>
      </c>
      <c r="C20" s="179"/>
      <c r="D20" s="179"/>
      <c r="E20" s="179"/>
      <c r="F20" s="235"/>
      <c r="G20" s="179"/>
      <c r="H20" s="179"/>
      <c r="I20" s="297"/>
    </row>
    <row r="21">
      <c r="A21" s="292"/>
      <c r="B21" s="248"/>
      <c r="C21" s="248"/>
      <c r="D21" s="248"/>
      <c r="E21" s="248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</row>
    <row r="22">
      <c r="A22" s="266" t="s">
        <v>208</v>
      </c>
      <c r="B22" s="263"/>
      <c r="C22" s="263"/>
      <c r="D22" s="185"/>
    </row>
    <row r="23">
      <c r="A23" s="268" t="s">
        <v>209</v>
      </c>
      <c r="B23" s="269" t="s">
        <v>210</v>
      </c>
      <c r="C23" s="93" t="s">
        <v>5</v>
      </c>
      <c r="D23" s="269" t="s">
        <v>211</v>
      </c>
    </row>
    <row r="24">
      <c r="A24" s="300" t="s">
        <v>254</v>
      </c>
      <c r="B24" s="301"/>
      <c r="C24" s="301">
        <v>12.0</v>
      </c>
      <c r="D24" s="301">
        <f>B24/C24</f>
        <v>0</v>
      </c>
    </row>
    <row r="25">
      <c r="A25" s="68"/>
      <c r="B25" s="303"/>
      <c r="C25" s="303"/>
      <c r="D25" s="301"/>
    </row>
    <row r="26">
      <c r="A26" s="305"/>
      <c r="B26" s="303"/>
      <c r="C26" s="303"/>
      <c r="D26" s="301"/>
    </row>
    <row r="27">
      <c r="A27" s="68"/>
      <c r="B27" s="303"/>
      <c r="C27" s="303"/>
      <c r="D27" s="177"/>
    </row>
    <row r="28">
      <c r="A28" s="304"/>
      <c r="B28" s="303"/>
      <c r="C28" s="303"/>
      <c r="D28" s="303"/>
    </row>
    <row r="29">
      <c r="A29" s="251"/>
    </row>
    <row r="30">
      <c r="A30" s="251"/>
    </row>
    <row r="31">
      <c r="A31" s="251"/>
    </row>
    <row r="32">
      <c r="A32" s="251"/>
    </row>
    <row r="33">
      <c r="A33" s="251"/>
    </row>
    <row r="34">
      <c r="A34" s="251"/>
    </row>
    <row r="35">
      <c r="A35" s="251"/>
    </row>
    <row r="36">
      <c r="A36" s="251"/>
    </row>
    <row r="37">
      <c r="A37" s="251"/>
    </row>
    <row r="38">
      <c r="A38" s="251"/>
    </row>
    <row r="39">
      <c r="A39" s="251"/>
    </row>
    <row r="40">
      <c r="A40" s="251"/>
    </row>
    <row r="41">
      <c r="A41" s="251"/>
    </row>
    <row r="42">
      <c r="A42" s="251"/>
    </row>
    <row r="43">
      <c r="A43" s="251"/>
    </row>
    <row r="44">
      <c r="A44" s="251"/>
    </row>
    <row r="45">
      <c r="A45" s="251"/>
    </row>
    <row r="46">
      <c r="A46" s="251"/>
    </row>
    <row r="47">
      <c r="A47" s="251"/>
    </row>
    <row r="48">
      <c r="A48" s="251"/>
    </row>
    <row r="49">
      <c r="A49" s="251"/>
    </row>
    <row r="50">
      <c r="A50" s="251"/>
    </row>
    <row r="51">
      <c r="A51" s="251"/>
    </row>
    <row r="52">
      <c r="A52" s="251"/>
    </row>
    <row r="53">
      <c r="A53" s="251"/>
    </row>
    <row r="54">
      <c r="A54" s="251"/>
    </row>
    <row r="55">
      <c r="A55" s="251"/>
    </row>
    <row r="56">
      <c r="A56" s="251"/>
    </row>
    <row r="57">
      <c r="A57" s="251"/>
    </row>
    <row r="58">
      <c r="A58" s="251"/>
    </row>
    <row r="59">
      <c r="A59" s="251"/>
    </row>
    <row r="60">
      <c r="A60" s="251"/>
    </row>
    <row r="61">
      <c r="A61" s="251"/>
    </row>
    <row r="62">
      <c r="A62" s="251"/>
    </row>
    <row r="63">
      <c r="A63" s="251"/>
    </row>
    <row r="64">
      <c r="A64" s="251"/>
    </row>
    <row r="65">
      <c r="A65" s="251"/>
    </row>
    <row r="66">
      <c r="A66" s="251"/>
    </row>
    <row r="67">
      <c r="A67" s="251"/>
    </row>
    <row r="68">
      <c r="A68" s="251"/>
    </row>
    <row r="69">
      <c r="A69" s="251"/>
    </row>
    <row r="70">
      <c r="A70" s="251"/>
    </row>
    <row r="71">
      <c r="A71" s="251"/>
    </row>
    <row r="72">
      <c r="A72" s="251"/>
    </row>
    <row r="73">
      <c r="A73" s="251"/>
    </row>
    <row r="74">
      <c r="A74" s="251"/>
    </row>
    <row r="75">
      <c r="A75" s="251"/>
    </row>
    <row r="76">
      <c r="A76" s="251"/>
    </row>
    <row r="77">
      <c r="A77" s="251"/>
    </row>
    <row r="78">
      <c r="A78" s="251"/>
    </row>
    <row r="79">
      <c r="A79" s="251"/>
    </row>
    <row r="80">
      <c r="A80" s="251"/>
    </row>
    <row r="81">
      <c r="A81" s="251"/>
    </row>
    <row r="82">
      <c r="A82" s="251"/>
    </row>
    <row r="83">
      <c r="A83" s="251"/>
    </row>
    <row r="84">
      <c r="A84" s="251"/>
    </row>
    <row r="85">
      <c r="A85" s="251"/>
    </row>
    <row r="86">
      <c r="A86" s="251"/>
    </row>
    <row r="87">
      <c r="A87" s="251"/>
    </row>
    <row r="88">
      <c r="A88" s="251"/>
    </row>
    <row r="89">
      <c r="A89" s="251"/>
    </row>
    <row r="90">
      <c r="A90" s="251"/>
    </row>
    <row r="91">
      <c r="A91" s="251"/>
    </row>
    <row r="92">
      <c r="A92" s="251"/>
    </row>
    <row r="93">
      <c r="A93" s="251"/>
    </row>
    <row r="94">
      <c r="A94" s="251"/>
    </row>
    <row r="95">
      <c r="A95" s="251"/>
    </row>
    <row r="96">
      <c r="A96" s="251"/>
    </row>
    <row r="97">
      <c r="A97" s="251"/>
    </row>
    <row r="98">
      <c r="A98" s="251"/>
    </row>
    <row r="99">
      <c r="A99" s="251"/>
    </row>
    <row r="100">
      <c r="A100" s="251"/>
    </row>
    <row r="101">
      <c r="A101" s="251"/>
    </row>
    <row r="102">
      <c r="A102" s="251"/>
    </row>
    <row r="103">
      <c r="A103" s="251"/>
    </row>
    <row r="104">
      <c r="A104" s="251"/>
    </row>
    <row r="105">
      <c r="A105" s="251"/>
    </row>
    <row r="106">
      <c r="A106" s="251"/>
    </row>
    <row r="107">
      <c r="A107" s="251"/>
    </row>
    <row r="108">
      <c r="A108" s="251"/>
    </row>
    <row r="109">
      <c r="A109" s="251"/>
    </row>
    <row r="110">
      <c r="A110" s="251"/>
    </row>
    <row r="111">
      <c r="A111" s="251"/>
    </row>
    <row r="112">
      <c r="A112" s="251"/>
    </row>
    <row r="113">
      <c r="A113" s="251"/>
    </row>
    <row r="114">
      <c r="A114" s="251"/>
    </row>
    <row r="115">
      <c r="A115" s="251"/>
    </row>
    <row r="116">
      <c r="A116" s="251"/>
    </row>
    <row r="117">
      <c r="A117" s="251"/>
    </row>
    <row r="118">
      <c r="A118" s="251"/>
    </row>
    <row r="119">
      <c r="A119" s="251"/>
    </row>
    <row r="120">
      <c r="A120" s="251"/>
    </row>
    <row r="121">
      <c r="A121" s="251"/>
    </row>
    <row r="122">
      <c r="A122" s="251"/>
    </row>
    <row r="123">
      <c r="A123" s="251"/>
    </row>
    <row r="124">
      <c r="A124" s="251"/>
    </row>
    <row r="125">
      <c r="A125" s="251"/>
    </row>
    <row r="126">
      <c r="A126" s="251"/>
    </row>
    <row r="127">
      <c r="A127" s="251"/>
    </row>
    <row r="128">
      <c r="A128" s="251"/>
    </row>
    <row r="129">
      <c r="A129" s="251"/>
    </row>
    <row r="130">
      <c r="A130" s="251"/>
    </row>
    <row r="131">
      <c r="A131" s="251"/>
    </row>
    <row r="132">
      <c r="A132" s="251"/>
    </row>
    <row r="133">
      <c r="A133" s="251"/>
    </row>
    <row r="134">
      <c r="A134" s="251"/>
    </row>
    <row r="135">
      <c r="A135" s="251"/>
    </row>
    <row r="136">
      <c r="A136" s="251"/>
    </row>
    <row r="137">
      <c r="A137" s="251"/>
    </row>
    <row r="138">
      <c r="A138" s="251"/>
    </row>
    <row r="139">
      <c r="A139" s="251"/>
    </row>
    <row r="140">
      <c r="A140" s="251"/>
    </row>
    <row r="141">
      <c r="A141" s="251"/>
    </row>
    <row r="142">
      <c r="A142" s="251"/>
    </row>
    <row r="143">
      <c r="A143" s="251"/>
    </row>
    <row r="144">
      <c r="A144" s="251"/>
    </row>
    <row r="145">
      <c r="A145" s="251"/>
    </row>
    <row r="146">
      <c r="A146" s="251"/>
    </row>
    <row r="147">
      <c r="A147" s="251"/>
    </row>
    <row r="148">
      <c r="A148" s="251"/>
    </row>
    <row r="149">
      <c r="A149" s="251"/>
    </row>
    <row r="150">
      <c r="A150" s="251"/>
    </row>
    <row r="151">
      <c r="A151" s="251"/>
    </row>
    <row r="152">
      <c r="A152" s="251"/>
    </row>
    <row r="153">
      <c r="A153" s="251"/>
    </row>
    <row r="154">
      <c r="A154" s="251"/>
    </row>
    <row r="155">
      <c r="A155" s="251"/>
    </row>
    <row r="156">
      <c r="A156" s="251"/>
    </row>
    <row r="157">
      <c r="A157" s="251"/>
    </row>
    <row r="158">
      <c r="A158" s="251"/>
    </row>
    <row r="159">
      <c r="A159" s="251"/>
    </row>
    <row r="160">
      <c r="A160" s="251"/>
    </row>
    <row r="161">
      <c r="A161" s="251"/>
    </row>
    <row r="162">
      <c r="A162" s="251"/>
    </row>
    <row r="163">
      <c r="A163" s="251"/>
    </row>
    <row r="164">
      <c r="A164" s="251"/>
    </row>
    <row r="165">
      <c r="A165" s="251"/>
    </row>
    <row r="166">
      <c r="A166" s="251"/>
    </row>
    <row r="167">
      <c r="A167" s="251"/>
    </row>
    <row r="168">
      <c r="A168" s="251"/>
    </row>
    <row r="169">
      <c r="A169" s="251"/>
    </row>
    <row r="170">
      <c r="A170" s="251"/>
    </row>
    <row r="171">
      <c r="A171" s="251"/>
    </row>
    <row r="172">
      <c r="A172" s="251"/>
    </row>
    <row r="173">
      <c r="A173" s="251"/>
    </row>
    <row r="174">
      <c r="A174" s="251"/>
    </row>
    <row r="175">
      <c r="A175" s="251"/>
    </row>
    <row r="176">
      <c r="A176" s="251"/>
    </row>
    <row r="177">
      <c r="A177" s="251"/>
    </row>
    <row r="178">
      <c r="A178" s="251"/>
    </row>
    <row r="179">
      <c r="A179" s="251"/>
    </row>
    <row r="180">
      <c r="A180" s="251"/>
    </row>
    <row r="181">
      <c r="A181" s="251"/>
    </row>
    <row r="182">
      <c r="A182" s="251"/>
    </row>
    <row r="183">
      <c r="A183" s="251"/>
    </row>
    <row r="184">
      <c r="A184" s="251"/>
    </row>
    <row r="185">
      <c r="A185" s="251"/>
    </row>
    <row r="186">
      <c r="A186" s="251"/>
    </row>
    <row r="187">
      <c r="A187" s="251"/>
    </row>
    <row r="188">
      <c r="A188" s="251"/>
    </row>
    <row r="189">
      <c r="A189" s="251"/>
    </row>
    <row r="190">
      <c r="A190" s="251"/>
    </row>
    <row r="191">
      <c r="A191" s="251"/>
    </row>
    <row r="192">
      <c r="A192" s="251"/>
    </row>
    <row r="193">
      <c r="A193" s="251"/>
    </row>
    <row r="194">
      <c r="A194" s="251"/>
    </row>
    <row r="195">
      <c r="A195" s="251"/>
    </row>
    <row r="196">
      <c r="A196" s="251"/>
    </row>
    <row r="197">
      <c r="A197" s="251"/>
    </row>
    <row r="198">
      <c r="A198" s="251"/>
    </row>
    <row r="199">
      <c r="A199" s="251"/>
    </row>
    <row r="200">
      <c r="A200" s="251"/>
    </row>
    <row r="201">
      <c r="A201" s="251"/>
    </row>
    <row r="202">
      <c r="A202" s="251"/>
    </row>
    <row r="203">
      <c r="A203" s="251"/>
    </row>
    <row r="204">
      <c r="A204" s="251"/>
    </row>
    <row r="205">
      <c r="A205" s="251"/>
    </row>
    <row r="206">
      <c r="A206" s="251"/>
    </row>
    <row r="207">
      <c r="A207" s="251"/>
    </row>
    <row r="208">
      <c r="A208" s="251"/>
    </row>
    <row r="209">
      <c r="A209" s="251"/>
    </row>
    <row r="210">
      <c r="A210" s="251"/>
    </row>
    <row r="211">
      <c r="A211" s="251"/>
    </row>
    <row r="212">
      <c r="A212" s="251"/>
    </row>
    <row r="213">
      <c r="A213" s="251"/>
    </row>
    <row r="214">
      <c r="A214" s="251"/>
    </row>
    <row r="215">
      <c r="A215" s="251"/>
    </row>
    <row r="216">
      <c r="A216" s="251"/>
    </row>
    <row r="217">
      <c r="A217" s="251"/>
    </row>
    <row r="218">
      <c r="A218" s="251"/>
    </row>
    <row r="219">
      <c r="A219" s="251"/>
    </row>
    <row r="220">
      <c r="A220" s="251"/>
    </row>
    <row r="221">
      <c r="A221" s="251"/>
    </row>
    <row r="222">
      <c r="A222" s="251"/>
    </row>
    <row r="223">
      <c r="A223" s="251"/>
    </row>
    <row r="224">
      <c r="A224" s="251"/>
    </row>
    <row r="225">
      <c r="A225" s="251"/>
    </row>
    <row r="226">
      <c r="A226" s="251"/>
    </row>
    <row r="227">
      <c r="A227" s="251"/>
    </row>
    <row r="228">
      <c r="A228" s="251"/>
    </row>
    <row r="229">
      <c r="A229" s="251"/>
    </row>
    <row r="230">
      <c r="A230" s="251"/>
    </row>
    <row r="231">
      <c r="A231" s="251"/>
    </row>
    <row r="232">
      <c r="A232" s="251"/>
    </row>
    <row r="233">
      <c r="A233" s="251"/>
    </row>
    <row r="234">
      <c r="A234" s="251"/>
    </row>
    <row r="235">
      <c r="A235" s="251"/>
    </row>
    <row r="236">
      <c r="A236" s="251"/>
    </row>
    <row r="237">
      <c r="A237" s="251"/>
    </row>
    <row r="238">
      <c r="A238" s="251"/>
    </row>
    <row r="239">
      <c r="A239" s="251"/>
    </row>
    <row r="240">
      <c r="A240" s="251"/>
    </row>
    <row r="241">
      <c r="A241" s="251"/>
    </row>
    <row r="242">
      <c r="A242" s="251"/>
    </row>
    <row r="243">
      <c r="A243" s="251"/>
    </row>
    <row r="244">
      <c r="A244" s="251"/>
    </row>
    <row r="245">
      <c r="A245" s="251"/>
    </row>
    <row r="246">
      <c r="A246" s="251"/>
    </row>
    <row r="247">
      <c r="A247" s="251"/>
    </row>
    <row r="248">
      <c r="A248" s="251"/>
    </row>
    <row r="249">
      <c r="A249" s="251"/>
    </row>
    <row r="250">
      <c r="A250" s="251"/>
    </row>
    <row r="251">
      <c r="A251" s="251"/>
    </row>
    <row r="252">
      <c r="A252" s="251"/>
    </row>
    <row r="253">
      <c r="A253" s="251"/>
    </row>
    <row r="254">
      <c r="A254" s="251"/>
    </row>
    <row r="255">
      <c r="A255" s="251"/>
    </row>
    <row r="256">
      <c r="A256" s="251"/>
    </row>
    <row r="257">
      <c r="A257" s="251"/>
    </row>
    <row r="258">
      <c r="A258" s="251"/>
    </row>
    <row r="259">
      <c r="A259" s="251"/>
    </row>
    <row r="260">
      <c r="A260" s="251"/>
    </row>
    <row r="261">
      <c r="A261" s="251"/>
    </row>
    <row r="262">
      <c r="A262" s="251"/>
    </row>
    <row r="263">
      <c r="A263" s="251"/>
    </row>
    <row r="264">
      <c r="A264" s="251"/>
    </row>
    <row r="265">
      <c r="A265" s="251"/>
    </row>
    <row r="266">
      <c r="A266" s="251"/>
    </row>
    <row r="267">
      <c r="A267" s="251"/>
    </row>
    <row r="268">
      <c r="A268" s="251"/>
    </row>
    <row r="269">
      <c r="A269" s="251"/>
    </row>
    <row r="270">
      <c r="A270" s="251"/>
    </row>
    <row r="271">
      <c r="A271" s="251"/>
    </row>
    <row r="272">
      <c r="A272" s="251"/>
    </row>
    <row r="273">
      <c r="A273" s="251"/>
    </row>
    <row r="274">
      <c r="A274" s="251"/>
    </row>
    <row r="275">
      <c r="A275" s="251"/>
    </row>
    <row r="276">
      <c r="A276" s="251"/>
    </row>
    <row r="277">
      <c r="A277" s="251"/>
    </row>
    <row r="278">
      <c r="A278" s="251"/>
    </row>
    <row r="279">
      <c r="A279" s="251"/>
    </row>
    <row r="280">
      <c r="A280" s="251"/>
    </row>
    <row r="281">
      <c r="A281" s="251"/>
    </row>
    <row r="282">
      <c r="A282" s="251"/>
    </row>
    <row r="283">
      <c r="A283" s="251"/>
    </row>
    <row r="284">
      <c r="A284" s="251"/>
    </row>
    <row r="285">
      <c r="A285" s="251"/>
    </row>
    <row r="286">
      <c r="A286" s="251"/>
    </row>
    <row r="287">
      <c r="A287" s="251"/>
    </row>
    <row r="288">
      <c r="A288" s="251"/>
    </row>
    <row r="289">
      <c r="A289" s="251"/>
    </row>
    <row r="290">
      <c r="A290" s="251"/>
    </row>
    <row r="291">
      <c r="A291" s="251"/>
    </row>
    <row r="292">
      <c r="A292" s="251"/>
    </row>
    <row r="293">
      <c r="A293" s="251"/>
    </row>
    <row r="294">
      <c r="A294" s="251"/>
    </row>
    <row r="295">
      <c r="A295" s="251"/>
    </row>
    <row r="296">
      <c r="A296" s="251"/>
    </row>
    <row r="297">
      <c r="A297" s="251"/>
    </row>
    <row r="298">
      <c r="A298" s="251"/>
    </row>
    <row r="299">
      <c r="A299" s="251"/>
    </row>
    <row r="300">
      <c r="A300" s="251"/>
    </row>
    <row r="301">
      <c r="A301" s="251"/>
    </row>
    <row r="302">
      <c r="A302" s="251"/>
    </row>
    <row r="303">
      <c r="A303" s="251"/>
    </row>
    <row r="304">
      <c r="A304" s="251"/>
    </row>
    <row r="305">
      <c r="A305" s="251"/>
    </row>
    <row r="306">
      <c r="A306" s="251"/>
    </row>
    <row r="307">
      <c r="A307" s="251"/>
    </row>
    <row r="308">
      <c r="A308" s="251"/>
    </row>
    <row r="309">
      <c r="A309" s="251"/>
    </row>
    <row r="310">
      <c r="A310" s="251"/>
    </row>
    <row r="311">
      <c r="A311" s="251"/>
    </row>
    <row r="312">
      <c r="A312" s="251"/>
    </row>
    <row r="313">
      <c r="A313" s="251"/>
    </row>
    <row r="314">
      <c r="A314" s="251"/>
    </row>
    <row r="315">
      <c r="A315" s="251"/>
    </row>
    <row r="316">
      <c r="A316" s="251"/>
    </row>
    <row r="317">
      <c r="A317" s="251"/>
    </row>
    <row r="318">
      <c r="A318" s="251"/>
    </row>
    <row r="319">
      <c r="A319" s="251"/>
    </row>
    <row r="320">
      <c r="A320" s="251"/>
    </row>
    <row r="321">
      <c r="A321" s="251"/>
    </row>
    <row r="322">
      <c r="A322" s="251"/>
    </row>
    <row r="323">
      <c r="A323" s="251"/>
    </row>
    <row r="324">
      <c r="A324" s="251"/>
    </row>
    <row r="325">
      <c r="A325" s="251"/>
    </row>
    <row r="326">
      <c r="A326" s="251"/>
    </row>
    <row r="327">
      <c r="A327" s="251"/>
    </row>
    <row r="328">
      <c r="A328" s="251"/>
    </row>
    <row r="329">
      <c r="A329" s="251"/>
    </row>
    <row r="330">
      <c r="A330" s="251"/>
    </row>
    <row r="331">
      <c r="A331" s="251"/>
    </row>
    <row r="332">
      <c r="A332" s="251"/>
    </row>
    <row r="333">
      <c r="A333" s="251"/>
    </row>
    <row r="334">
      <c r="A334" s="251"/>
    </row>
    <row r="335">
      <c r="A335" s="251"/>
    </row>
    <row r="336">
      <c r="A336" s="251"/>
    </row>
    <row r="337">
      <c r="A337" s="251"/>
    </row>
    <row r="338">
      <c r="A338" s="251"/>
    </row>
    <row r="339">
      <c r="A339" s="251"/>
    </row>
    <row r="340">
      <c r="A340" s="251"/>
    </row>
    <row r="341">
      <c r="A341" s="251"/>
    </row>
    <row r="342">
      <c r="A342" s="251"/>
    </row>
    <row r="343">
      <c r="A343" s="251"/>
    </row>
    <row r="344">
      <c r="A344" s="251"/>
    </row>
    <row r="345">
      <c r="A345" s="251"/>
    </row>
    <row r="346">
      <c r="A346" s="251"/>
    </row>
    <row r="347">
      <c r="A347" s="251"/>
    </row>
    <row r="348">
      <c r="A348" s="251"/>
    </row>
    <row r="349">
      <c r="A349" s="251"/>
    </row>
    <row r="350">
      <c r="A350" s="251"/>
    </row>
    <row r="351">
      <c r="A351" s="251"/>
    </row>
    <row r="352">
      <c r="A352" s="251"/>
    </row>
    <row r="353">
      <c r="A353" s="251"/>
    </row>
    <row r="354">
      <c r="A354" s="251"/>
    </row>
    <row r="355">
      <c r="A355" s="251"/>
    </row>
    <row r="356">
      <c r="A356" s="251"/>
    </row>
    <row r="357">
      <c r="A357" s="251"/>
    </row>
    <row r="358">
      <c r="A358" s="251"/>
    </row>
    <row r="359">
      <c r="A359" s="251"/>
    </row>
    <row r="360">
      <c r="A360" s="251"/>
    </row>
    <row r="361">
      <c r="A361" s="251"/>
    </row>
    <row r="362">
      <c r="A362" s="251"/>
    </row>
    <row r="363">
      <c r="A363" s="251"/>
    </row>
    <row r="364">
      <c r="A364" s="251"/>
    </row>
    <row r="365">
      <c r="A365" s="251"/>
    </row>
    <row r="366">
      <c r="A366" s="251"/>
    </row>
    <row r="367">
      <c r="A367" s="251"/>
    </row>
    <row r="368">
      <c r="A368" s="251"/>
    </row>
    <row r="369">
      <c r="A369" s="251"/>
    </row>
    <row r="370">
      <c r="A370" s="251"/>
    </row>
    <row r="371">
      <c r="A371" s="251"/>
    </row>
    <row r="372">
      <c r="A372" s="251"/>
    </row>
    <row r="373">
      <c r="A373" s="251"/>
    </row>
    <row r="374">
      <c r="A374" s="251"/>
    </row>
    <row r="375">
      <c r="A375" s="251"/>
    </row>
    <row r="376">
      <c r="A376" s="251"/>
    </row>
    <row r="377">
      <c r="A377" s="251"/>
    </row>
    <row r="378">
      <c r="A378" s="251"/>
    </row>
    <row r="379">
      <c r="A379" s="251"/>
    </row>
    <row r="380">
      <c r="A380" s="251"/>
    </row>
    <row r="381">
      <c r="A381" s="251"/>
    </row>
    <row r="382">
      <c r="A382" s="251"/>
    </row>
    <row r="383">
      <c r="A383" s="251"/>
    </row>
    <row r="384">
      <c r="A384" s="251"/>
    </row>
    <row r="385">
      <c r="A385" s="251"/>
    </row>
    <row r="386">
      <c r="A386" s="251"/>
    </row>
    <row r="387">
      <c r="A387" s="251"/>
    </row>
    <row r="388">
      <c r="A388" s="251"/>
    </row>
    <row r="389">
      <c r="A389" s="251"/>
    </row>
    <row r="390">
      <c r="A390" s="251"/>
    </row>
    <row r="391">
      <c r="A391" s="251"/>
    </row>
    <row r="392">
      <c r="A392" s="251"/>
    </row>
    <row r="393">
      <c r="A393" s="251"/>
    </row>
    <row r="394">
      <c r="A394" s="251"/>
    </row>
    <row r="395">
      <c r="A395" s="251"/>
    </row>
    <row r="396">
      <c r="A396" s="251"/>
    </row>
    <row r="397">
      <c r="A397" s="251"/>
    </row>
    <row r="398">
      <c r="A398" s="251"/>
    </row>
    <row r="399">
      <c r="A399" s="251"/>
    </row>
    <row r="400">
      <c r="A400" s="251"/>
    </row>
    <row r="401">
      <c r="A401" s="251"/>
    </row>
    <row r="402">
      <c r="A402" s="251"/>
    </row>
    <row r="403">
      <c r="A403" s="251"/>
    </row>
    <row r="404">
      <c r="A404" s="251"/>
    </row>
    <row r="405">
      <c r="A405" s="251"/>
    </row>
    <row r="406">
      <c r="A406" s="251"/>
    </row>
    <row r="407">
      <c r="A407" s="251"/>
    </row>
    <row r="408">
      <c r="A408" s="251"/>
    </row>
    <row r="409">
      <c r="A409" s="251"/>
    </row>
    <row r="410">
      <c r="A410" s="251"/>
    </row>
    <row r="411">
      <c r="A411" s="251"/>
    </row>
    <row r="412">
      <c r="A412" s="251"/>
    </row>
    <row r="413">
      <c r="A413" s="251"/>
    </row>
    <row r="414">
      <c r="A414" s="251"/>
    </row>
    <row r="415">
      <c r="A415" s="251"/>
    </row>
    <row r="416">
      <c r="A416" s="251"/>
    </row>
    <row r="417">
      <c r="A417" s="251"/>
    </row>
    <row r="418">
      <c r="A418" s="251"/>
    </row>
    <row r="419">
      <c r="A419" s="251"/>
    </row>
    <row r="420">
      <c r="A420" s="251"/>
    </row>
    <row r="421">
      <c r="A421" s="251"/>
    </row>
    <row r="422">
      <c r="A422" s="251"/>
    </row>
    <row r="423">
      <c r="A423" s="251"/>
    </row>
    <row r="424">
      <c r="A424" s="251"/>
    </row>
    <row r="425">
      <c r="A425" s="251"/>
    </row>
    <row r="426">
      <c r="A426" s="251"/>
    </row>
    <row r="427">
      <c r="A427" s="251"/>
    </row>
    <row r="428">
      <c r="A428" s="251"/>
    </row>
    <row r="429">
      <c r="A429" s="251"/>
    </row>
    <row r="430">
      <c r="A430" s="251"/>
    </row>
    <row r="431">
      <c r="A431" s="251"/>
    </row>
    <row r="432">
      <c r="A432" s="251"/>
    </row>
    <row r="433">
      <c r="A433" s="251"/>
    </row>
    <row r="434">
      <c r="A434" s="251"/>
    </row>
    <row r="435">
      <c r="A435" s="251"/>
    </row>
    <row r="436">
      <c r="A436" s="251"/>
    </row>
    <row r="437">
      <c r="A437" s="251"/>
    </row>
    <row r="438">
      <c r="A438" s="251"/>
    </row>
    <row r="439">
      <c r="A439" s="251"/>
    </row>
    <row r="440">
      <c r="A440" s="251"/>
    </row>
    <row r="441">
      <c r="A441" s="251"/>
    </row>
    <row r="442">
      <c r="A442" s="251"/>
    </row>
    <row r="443">
      <c r="A443" s="251"/>
    </row>
    <row r="444">
      <c r="A444" s="251"/>
    </row>
    <row r="445">
      <c r="A445" s="251"/>
    </row>
    <row r="446">
      <c r="A446" s="251"/>
    </row>
    <row r="447">
      <c r="A447" s="251"/>
    </row>
    <row r="448">
      <c r="A448" s="251"/>
    </row>
    <row r="449">
      <c r="A449" s="251"/>
    </row>
    <row r="450">
      <c r="A450" s="251"/>
    </row>
    <row r="451">
      <c r="A451" s="251"/>
    </row>
    <row r="452">
      <c r="A452" s="251"/>
    </row>
    <row r="453">
      <c r="A453" s="251"/>
    </row>
    <row r="454">
      <c r="A454" s="251"/>
    </row>
    <row r="455">
      <c r="A455" s="251"/>
    </row>
    <row r="456">
      <c r="A456" s="251"/>
    </row>
    <row r="457">
      <c r="A457" s="251"/>
    </row>
    <row r="458">
      <c r="A458" s="251"/>
    </row>
    <row r="459">
      <c r="A459" s="251"/>
    </row>
    <row r="460">
      <c r="A460" s="251"/>
    </row>
    <row r="461">
      <c r="A461" s="251"/>
    </row>
    <row r="462">
      <c r="A462" s="251"/>
    </row>
    <row r="463">
      <c r="A463" s="251"/>
    </row>
    <row r="464">
      <c r="A464" s="251"/>
    </row>
    <row r="465">
      <c r="A465" s="251"/>
    </row>
    <row r="466">
      <c r="A466" s="251"/>
    </row>
    <row r="467">
      <c r="A467" s="251"/>
    </row>
    <row r="468">
      <c r="A468" s="251"/>
    </row>
    <row r="469">
      <c r="A469" s="251"/>
    </row>
    <row r="470">
      <c r="A470" s="251"/>
    </row>
    <row r="471">
      <c r="A471" s="251"/>
    </row>
    <row r="472">
      <c r="A472" s="251"/>
    </row>
    <row r="473">
      <c r="A473" s="251"/>
    </row>
    <row r="474">
      <c r="A474" s="251"/>
    </row>
    <row r="475">
      <c r="A475" s="251"/>
    </row>
    <row r="476">
      <c r="A476" s="251"/>
    </row>
    <row r="477">
      <c r="A477" s="251"/>
    </row>
    <row r="478">
      <c r="A478" s="251"/>
    </row>
    <row r="479">
      <c r="A479" s="251"/>
    </row>
    <row r="480">
      <c r="A480" s="251"/>
    </row>
    <row r="481">
      <c r="A481" s="251"/>
    </row>
    <row r="482">
      <c r="A482" s="251"/>
    </row>
    <row r="483">
      <c r="A483" s="251"/>
    </row>
    <row r="484">
      <c r="A484" s="251"/>
    </row>
    <row r="485">
      <c r="A485" s="251"/>
    </row>
    <row r="486">
      <c r="A486" s="251"/>
    </row>
    <row r="487">
      <c r="A487" s="251"/>
    </row>
    <row r="488">
      <c r="A488" s="251"/>
    </row>
    <row r="489">
      <c r="A489" s="251"/>
    </row>
    <row r="490">
      <c r="A490" s="251"/>
    </row>
    <row r="491">
      <c r="A491" s="251"/>
    </row>
    <row r="492">
      <c r="A492" s="251"/>
    </row>
    <row r="493">
      <c r="A493" s="251"/>
    </row>
    <row r="494">
      <c r="A494" s="251"/>
    </row>
    <row r="495">
      <c r="A495" s="251"/>
    </row>
    <row r="496">
      <c r="A496" s="251"/>
    </row>
    <row r="497">
      <c r="A497" s="251"/>
    </row>
    <row r="498">
      <c r="A498" s="251"/>
    </row>
    <row r="499">
      <c r="A499" s="251"/>
    </row>
    <row r="500">
      <c r="A500" s="251"/>
    </row>
    <row r="501">
      <c r="A501" s="251"/>
    </row>
    <row r="502">
      <c r="A502" s="251"/>
    </row>
    <row r="503">
      <c r="A503" s="251"/>
    </row>
    <row r="504">
      <c r="A504" s="251"/>
    </row>
    <row r="505">
      <c r="A505" s="251"/>
    </row>
    <row r="506">
      <c r="A506" s="251"/>
    </row>
    <row r="507">
      <c r="A507" s="251"/>
    </row>
    <row r="508">
      <c r="A508" s="251"/>
    </row>
    <row r="509">
      <c r="A509" s="251"/>
    </row>
    <row r="510">
      <c r="A510" s="251"/>
    </row>
    <row r="511">
      <c r="A511" s="251"/>
    </row>
    <row r="512">
      <c r="A512" s="251"/>
    </row>
    <row r="513">
      <c r="A513" s="251"/>
    </row>
    <row r="514">
      <c r="A514" s="251"/>
    </row>
    <row r="515">
      <c r="A515" s="251"/>
    </row>
    <row r="516">
      <c r="A516" s="251"/>
    </row>
    <row r="517">
      <c r="A517" s="251"/>
    </row>
    <row r="518">
      <c r="A518" s="251"/>
    </row>
    <row r="519">
      <c r="A519" s="251"/>
    </row>
    <row r="520">
      <c r="A520" s="251"/>
    </row>
    <row r="521">
      <c r="A521" s="251"/>
    </row>
    <row r="522">
      <c r="A522" s="251"/>
    </row>
    <row r="523">
      <c r="A523" s="251"/>
    </row>
    <row r="524">
      <c r="A524" s="251"/>
    </row>
    <row r="525">
      <c r="A525" s="251"/>
    </row>
    <row r="526">
      <c r="A526" s="251"/>
    </row>
    <row r="527">
      <c r="A527" s="251"/>
    </row>
    <row r="528">
      <c r="A528" s="251"/>
    </row>
    <row r="529">
      <c r="A529" s="251"/>
    </row>
    <row r="530">
      <c r="A530" s="251"/>
    </row>
    <row r="531">
      <c r="A531" s="251"/>
    </row>
    <row r="532">
      <c r="A532" s="251"/>
    </row>
    <row r="533">
      <c r="A533" s="251"/>
    </row>
    <row r="534">
      <c r="A534" s="251"/>
    </row>
    <row r="535">
      <c r="A535" s="251"/>
    </row>
    <row r="536">
      <c r="A536" s="251"/>
    </row>
    <row r="537">
      <c r="A537" s="251"/>
    </row>
    <row r="538">
      <c r="A538" s="251"/>
    </row>
    <row r="539">
      <c r="A539" s="251"/>
    </row>
    <row r="540">
      <c r="A540" s="251"/>
    </row>
    <row r="541">
      <c r="A541" s="251"/>
    </row>
    <row r="542">
      <c r="A542" s="251"/>
    </row>
    <row r="543">
      <c r="A543" s="251"/>
    </row>
    <row r="544">
      <c r="A544" s="251"/>
    </row>
    <row r="545">
      <c r="A545" s="251"/>
    </row>
    <row r="546">
      <c r="A546" s="251"/>
    </row>
    <row r="547">
      <c r="A547" s="251"/>
    </row>
    <row r="548">
      <c r="A548" s="251"/>
    </row>
    <row r="549">
      <c r="A549" s="251"/>
    </row>
    <row r="550">
      <c r="A550" s="251"/>
    </row>
    <row r="551">
      <c r="A551" s="251"/>
    </row>
    <row r="552">
      <c r="A552" s="251"/>
    </row>
    <row r="553">
      <c r="A553" s="251"/>
    </row>
    <row r="554">
      <c r="A554" s="251"/>
    </row>
    <row r="555">
      <c r="A555" s="251"/>
    </row>
    <row r="556">
      <c r="A556" s="251"/>
    </row>
    <row r="557">
      <c r="A557" s="251"/>
    </row>
    <row r="558">
      <c r="A558" s="251"/>
    </row>
    <row r="559">
      <c r="A559" s="251"/>
    </row>
    <row r="560">
      <c r="A560" s="251"/>
    </row>
    <row r="561">
      <c r="A561" s="251"/>
    </row>
    <row r="562">
      <c r="A562" s="251"/>
    </row>
    <row r="563">
      <c r="A563" s="251"/>
    </row>
    <row r="564">
      <c r="A564" s="251"/>
    </row>
    <row r="565">
      <c r="A565" s="251"/>
    </row>
    <row r="566">
      <c r="A566" s="251"/>
    </row>
    <row r="567">
      <c r="A567" s="251"/>
    </row>
    <row r="568">
      <c r="A568" s="251"/>
    </row>
    <row r="569">
      <c r="A569" s="251"/>
    </row>
    <row r="570">
      <c r="A570" s="251"/>
    </row>
    <row r="571">
      <c r="A571" s="251"/>
    </row>
    <row r="572">
      <c r="A572" s="251"/>
    </row>
    <row r="573">
      <c r="A573" s="251"/>
    </row>
    <row r="574">
      <c r="A574" s="251"/>
    </row>
    <row r="575">
      <c r="A575" s="251"/>
    </row>
    <row r="576">
      <c r="A576" s="251"/>
    </row>
    <row r="577">
      <c r="A577" s="251"/>
    </row>
    <row r="578">
      <c r="A578" s="251"/>
    </row>
    <row r="579">
      <c r="A579" s="251"/>
    </row>
    <row r="580">
      <c r="A580" s="251"/>
    </row>
    <row r="581">
      <c r="A581" s="251"/>
    </row>
    <row r="582">
      <c r="A582" s="251"/>
    </row>
    <row r="583">
      <c r="A583" s="251"/>
    </row>
    <row r="584">
      <c r="A584" s="251"/>
    </row>
    <row r="585">
      <c r="A585" s="251"/>
    </row>
    <row r="586">
      <c r="A586" s="251"/>
    </row>
    <row r="587">
      <c r="A587" s="251"/>
    </row>
    <row r="588">
      <c r="A588" s="251"/>
    </row>
    <row r="589">
      <c r="A589" s="251"/>
    </row>
    <row r="590">
      <c r="A590" s="251"/>
    </row>
    <row r="591">
      <c r="A591" s="251"/>
    </row>
    <row r="592">
      <c r="A592" s="251"/>
    </row>
    <row r="593">
      <c r="A593" s="251"/>
    </row>
    <row r="594">
      <c r="A594" s="251"/>
    </row>
    <row r="595">
      <c r="A595" s="251"/>
    </row>
    <row r="596">
      <c r="A596" s="251"/>
    </row>
    <row r="597">
      <c r="A597" s="251"/>
    </row>
    <row r="598">
      <c r="A598" s="251"/>
    </row>
    <row r="599">
      <c r="A599" s="251"/>
    </row>
    <row r="600">
      <c r="A600" s="251"/>
    </row>
    <row r="601">
      <c r="A601" s="251"/>
    </row>
    <row r="602">
      <c r="A602" s="251"/>
    </row>
    <row r="603">
      <c r="A603" s="251"/>
    </row>
    <row r="604">
      <c r="A604" s="251"/>
    </row>
    <row r="605">
      <c r="A605" s="251"/>
    </row>
    <row r="606">
      <c r="A606" s="251"/>
    </row>
    <row r="607">
      <c r="A607" s="251"/>
    </row>
    <row r="608">
      <c r="A608" s="251"/>
    </row>
    <row r="609">
      <c r="A609" s="251"/>
    </row>
    <row r="610">
      <c r="A610" s="251"/>
    </row>
    <row r="611">
      <c r="A611" s="251"/>
    </row>
    <row r="612">
      <c r="A612" s="251"/>
    </row>
    <row r="613">
      <c r="A613" s="251"/>
    </row>
    <row r="614">
      <c r="A614" s="251"/>
    </row>
    <row r="615">
      <c r="A615" s="251"/>
    </row>
    <row r="616">
      <c r="A616" s="251"/>
    </row>
    <row r="617">
      <c r="A617" s="251"/>
    </row>
    <row r="618">
      <c r="A618" s="251"/>
    </row>
    <row r="619">
      <c r="A619" s="251"/>
    </row>
    <row r="620">
      <c r="A620" s="251"/>
    </row>
    <row r="621">
      <c r="A621" s="251"/>
    </row>
    <row r="622">
      <c r="A622" s="251"/>
    </row>
    <row r="623">
      <c r="A623" s="251"/>
    </row>
    <row r="624">
      <c r="A624" s="251"/>
    </row>
    <row r="625">
      <c r="A625" s="251"/>
    </row>
    <row r="626">
      <c r="A626" s="251"/>
    </row>
    <row r="627">
      <c r="A627" s="251"/>
    </row>
    <row r="628">
      <c r="A628" s="251"/>
    </row>
    <row r="629">
      <c r="A629" s="251"/>
    </row>
    <row r="630">
      <c r="A630" s="251"/>
    </row>
    <row r="631">
      <c r="A631" s="251"/>
    </row>
    <row r="632">
      <c r="A632" s="251"/>
    </row>
    <row r="633">
      <c r="A633" s="251"/>
    </row>
    <row r="634">
      <c r="A634" s="251"/>
    </row>
    <row r="635">
      <c r="A635" s="251"/>
    </row>
    <row r="636">
      <c r="A636" s="251"/>
    </row>
    <row r="637">
      <c r="A637" s="251"/>
    </row>
    <row r="638">
      <c r="A638" s="251"/>
    </row>
    <row r="639">
      <c r="A639" s="251"/>
    </row>
    <row r="640">
      <c r="A640" s="251"/>
    </row>
    <row r="641">
      <c r="A641" s="251"/>
    </row>
    <row r="642">
      <c r="A642" s="251"/>
    </row>
    <row r="643">
      <c r="A643" s="251"/>
    </row>
    <row r="644">
      <c r="A644" s="251"/>
    </row>
    <row r="645">
      <c r="A645" s="251"/>
    </row>
    <row r="646">
      <c r="A646" s="251"/>
    </row>
    <row r="647">
      <c r="A647" s="251"/>
    </row>
    <row r="648">
      <c r="A648" s="251"/>
    </row>
    <row r="649">
      <c r="A649" s="251"/>
    </row>
    <row r="650">
      <c r="A650" s="251"/>
    </row>
    <row r="651">
      <c r="A651" s="251"/>
    </row>
    <row r="652">
      <c r="A652" s="251"/>
    </row>
    <row r="653">
      <c r="A653" s="251"/>
    </row>
    <row r="654">
      <c r="A654" s="251"/>
    </row>
    <row r="655">
      <c r="A655" s="251"/>
    </row>
    <row r="656">
      <c r="A656" s="251"/>
    </row>
    <row r="657">
      <c r="A657" s="251"/>
    </row>
    <row r="658">
      <c r="A658" s="251"/>
    </row>
    <row r="659">
      <c r="A659" s="251"/>
    </row>
    <row r="660">
      <c r="A660" s="251"/>
    </row>
    <row r="661">
      <c r="A661" s="251"/>
    </row>
    <row r="662">
      <c r="A662" s="251"/>
    </row>
    <row r="663">
      <c r="A663" s="251"/>
    </row>
    <row r="664">
      <c r="A664" s="251"/>
    </row>
    <row r="665">
      <c r="A665" s="251"/>
    </row>
    <row r="666">
      <c r="A666" s="251"/>
    </row>
    <row r="667">
      <c r="A667" s="251"/>
    </row>
    <row r="668">
      <c r="A668" s="251"/>
    </row>
    <row r="669">
      <c r="A669" s="251"/>
    </row>
    <row r="670">
      <c r="A670" s="251"/>
    </row>
    <row r="671">
      <c r="A671" s="251"/>
    </row>
    <row r="672">
      <c r="A672" s="251"/>
    </row>
    <row r="673">
      <c r="A673" s="251"/>
    </row>
    <row r="674">
      <c r="A674" s="251"/>
    </row>
    <row r="675">
      <c r="A675" s="251"/>
    </row>
    <row r="676">
      <c r="A676" s="251"/>
    </row>
    <row r="677">
      <c r="A677" s="251"/>
    </row>
    <row r="678">
      <c r="A678" s="251"/>
    </row>
    <row r="679">
      <c r="A679" s="251"/>
    </row>
    <row r="680">
      <c r="A680" s="251"/>
    </row>
    <row r="681">
      <c r="A681" s="251"/>
    </row>
    <row r="682">
      <c r="A682" s="251"/>
    </row>
    <row r="683">
      <c r="A683" s="251"/>
    </row>
    <row r="684">
      <c r="A684" s="251"/>
    </row>
    <row r="685">
      <c r="A685" s="251"/>
    </row>
    <row r="686">
      <c r="A686" s="251"/>
    </row>
    <row r="687">
      <c r="A687" s="251"/>
    </row>
    <row r="688">
      <c r="A688" s="251"/>
    </row>
    <row r="689">
      <c r="A689" s="251"/>
    </row>
    <row r="690">
      <c r="A690" s="251"/>
    </row>
    <row r="691">
      <c r="A691" s="251"/>
    </row>
    <row r="692">
      <c r="A692" s="251"/>
    </row>
    <row r="693">
      <c r="A693" s="251"/>
    </row>
    <row r="694">
      <c r="A694" s="251"/>
    </row>
    <row r="695">
      <c r="A695" s="251"/>
    </row>
    <row r="696">
      <c r="A696" s="251"/>
    </row>
    <row r="697">
      <c r="A697" s="251"/>
    </row>
    <row r="698">
      <c r="A698" s="251"/>
    </row>
    <row r="699">
      <c r="A699" s="251"/>
    </row>
    <row r="700">
      <c r="A700" s="251"/>
    </row>
    <row r="701">
      <c r="A701" s="251"/>
    </row>
    <row r="702">
      <c r="A702" s="251"/>
    </row>
    <row r="703">
      <c r="A703" s="251"/>
    </row>
    <row r="704">
      <c r="A704" s="251"/>
    </row>
    <row r="705">
      <c r="A705" s="251"/>
    </row>
    <row r="706">
      <c r="A706" s="251"/>
    </row>
    <row r="707">
      <c r="A707" s="251"/>
    </row>
    <row r="708">
      <c r="A708" s="251"/>
    </row>
    <row r="709">
      <c r="A709" s="251"/>
    </row>
    <row r="710">
      <c r="A710" s="251"/>
    </row>
    <row r="711">
      <c r="A711" s="251"/>
    </row>
    <row r="712">
      <c r="A712" s="251"/>
    </row>
    <row r="713">
      <c r="A713" s="251"/>
    </row>
    <row r="714">
      <c r="A714" s="251"/>
    </row>
    <row r="715">
      <c r="A715" s="251"/>
    </row>
    <row r="716">
      <c r="A716" s="251"/>
    </row>
    <row r="717">
      <c r="A717" s="251"/>
    </row>
    <row r="718">
      <c r="A718" s="251"/>
    </row>
    <row r="719">
      <c r="A719" s="251"/>
    </row>
    <row r="720">
      <c r="A720" s="251"/>
    </row>
    <row r="721">
      <c r="A721" s="251"/>
    </row>
    <row r="722">
      <c r="A722" s="251"/>
    </row>
    <row r="723">
      <c r="A723" s="251"/>
    </row>
    <row r="724">
      <c r="A724" s="251"/>
    </row>
    <row r="725">
      <c r="A725" s="251"/>
    </row>
    <row r="726">
      <c r="A726" s="251"/>
    </row>
    <row r="727">
      <c r="A727" s="251"/>
    </row>
    <row r="728">
      <c r="A728" s="251"/>
    </row>
    <row r="729">
      <c r="A729" s="251"/>
    </row>
    <row r="730">
      <c r="A730" s="251"/>
    </row>
    <row r="731">
      <c r="A731" s="251"/>
    </row>
    <row r="732">
      <c r="A732" s="251"/>
    </row>
    <row r="733">
      <c r="A733" s="251"/>
    </row>
    <row r="734">
      <c r="A734" s="251"/>
    </row>
    <row r="735">
      <c r="A735" s="251"/>
    </row>
    <row r="736">
      <c r="A736" s="251"/>
    </row>
    <row r="737">
      <c r="A737" s="251"/>
    </row>
    <row r="738">
      <c r="A738" s="251"/>
    </row>
    <row r="739">
      <c r="A739" s="251"/>
    </row>
    <row r="740">
      <c r="A740" s="251"/>
    </row>
    <row r="741">
      <c r="A741" s="251"/>
    </row>
    <row r="742">
      <c r="A742" s="251"/>
    </row>
    <row r="743">
      <c r="A743" s="251"/>
    </row>
    <row r="744">
      <c r="A744" s="251"/>
    </row>
    <row r="745">
      <c r="A745" s="251"/>
    </row>
    <row r="746">
      <c r="A746" s="251"/>
    </row>
    <row r="747">
      <c r="A747" s="251"/>
    </row>
    <row r="748">
      <c r="A748" s="251"/>
    </row>
    <row r="749">
      <c r="A749" s="251"/>
    </row>
    <row r="750">
      <c r="A750" s="251"/>
    </row>
    <row r="751">
      <c r="A751" s="251"/>
    </row>
    <row r="752">
      <c r="A752" s="251"/>
    </row>
    <row r="753">
      <c r="A753" s="251"/>
    </row>
    <row r="754">
      <c r="A754" s="251"/>
    </row>
    <row r="755">
      <c r="A755" s="251"/>
    </row>
    <row r="756">
      <c r="A756" s="251"/>
    </row>
    <row r="757">
      <c r="A757" s="251"/>
    </row>
    <row r="758">
      <c r="A758" s="251"/>
    </row>
    <row r="759">
      <c r="A759" s="251"/>
    </row>
    <row r="760">
      <c r="A760" s="251"/>
    </row>
    <row r="761">
      <c r="A761" s="251"/>
    </row>
    <row r="762">
      <c r="A762" s="251"/>
    </row>
    <row r="763">
      <c r="A763" s="251"/>
    </row>
    <row r="764">
      <c r="A764" s="251"/>
    </row>
    <row r="765">
      <c r="A765" s="251"/>
    </row>
    <row r="766">
      <c r="A766" s="251"/>
    </row>
    <row r="767">
      <c r="A767" s="251"/>
    </row>
    <row r="768">
      <c r="A768" s="251"/>
    </row>
    <row r="769">
      <c r="A769" s="251"/>
    </row>
    <row r="770">
      <c r="A770" s="251"/>
    </row>
    <row r="771">
      <c r="A771" s="251"/>
    </row>
    <row r="772">
      <c r="A772" s="251"/>
    </row>
    <row r="773">
      <c r="A773" s="251"/>
    </row>
    <row r="774">
      <c r="A774" s="251"/>
    </row>
    <row r="775">
      <c r="A775" s="251"/>
    </row>
    <row r="776">
      <c r="A776" s="251"/>
    </row>
    <row r="777">
      <c r="A777" s="251"/>
    </row>
    <row r="778">
      <c r="A778" s="251"/>
    </row>
    <row r="779">
      <c r="A779" s="251"/>
    </row>
    <row r="780">
      <c r="A780" s="251"/>
    </row>
    <row r="781">
      <c r="A781" s="251"/>
    </row>
    <row r="782">
      <c r="A782" s="251"/>
    </row>
    <row r="783">
      <c r="A783" s="251"/>
    </row>
    <row r="784">
      <c r="A784" s="251"/>
    </row>
    <row r="785">
      <c r="A785" s="251"/>
    </row>
    <row r="786">
      <c r="A786" s="251"/>
    </row>
    <row r="787">
      <c r="A787" s="251"/>
    </row>
    <row r="788">
      <c r="A788" s="251"/>
    </row>
    <row r="789">
      <c r="A789" s="251"/>
    </row>
    <row r="790">
      <c r="A790" s="251"/>
    </row>
    <row r="791">
      <c r="A791" s="251"/>
    </row>
    <row r="792">
      <c r="A792" s="251"/>
    </row>
    <row r="793">
      <c r="A793" s="251"/>
    </row>
    <row r="794">
      <c r="A794" s="251"/>
    </row>
    <row r="795">
      <c r="A795" s="251"/>
    </row>
    <row r="796">
      <c r="A796" s="251"/>
    </row>
    <row r="797">
      <c r="A797" s="251"/>
    </row>
    <row r="798">
      <c r="A798" s="251"/>
    </row>
    <row r="799">
      <c r="A799" s="251"/>
    </row>
    <row r="800">
      <c r="A800" s="251"/>
    </row>
    <row r="801">
      <c r="A801" s="251"/>
    </row>
    <row r="802">
      <c r="A802" s="251"/>
    </row>
    <row r="803">
      <c r="A803" s="251"/>
    </row>
    <row r="804">
      <c r="A804" s="251"/>
    </row>
    <row r="805">
      <c r="A805" s="251"/>
    </row>
    <row r="806">
      <c r="A806" s="251"/>
    </row>
    <row r="807">
      <c r="A807" s="251"/>
    </row>
    <row r="808">
      <c r="A808" s="251"/>
    </row>
    <row r="809">
      <c r="A809" s="251"/>
    </row>
    <row r="810">
      <c r="A810" s="251"/>
    </row>
    <row r="811">
      <c r="A811" s="251"/>
    </row>
    <row r="812">
      <c r="A812" s="251"/>
    </row>
    <row r="813">
      <c r="A813" s="251"/>
    </row>
    <row r="814">
      <c r="A814" s="251"/>
    </row>
    <row r="815">
      <c r="A815" s="251"/>
    </row>
    <row r="816">
      <c r="A816" s="251"/>
    </row>
    <row r="817">
      <c r="A817" s="251"/>
    </row>
    <row r="818">
      <c r="A818" s="251"/>
    </row>
    <row r="819">
      <c r="A819" s="251"/>
    </row>
    <row r="820">
      <c r="A820" s="251"/>
    </row>
    <row r="821">
      <c r="A821" s="251"/>
    </row>
    <row r="822">
      <c r="A822" s="251"/>
    </row>
    <row r="823">
      <c r="A823" s="251"/>
    </row>
    <row r="824">
      <c r="A824" s="251"/>
    </row>
    <row r="825">
      <c r="A825" s="251"/>
    </row>
    <row r="826">
      <c r="A826" s="251"/>
    </row>
    <row r="827">
      <c r="A827" s="251"/>
    </row>
    <row r="828">
      <c r="A828" s="251"/>
    </row>
    <row r="829">
      <c r="A829" s="251"/>
    </row>
    <row r="830">
      <c r="A830" s="251"/>
    </row>
    <row r="831">
      <c r="A831" s="251"/>
    </row>
    <row r="832">
      <c r="A832" s="251"/>
    </row>
    <row r="833">
      <c r="A833" s="251"/>
    </row>
    <row r="834">
      <c r="A834" s="251"/>
    </row>
    <row r="835">
      <c r="A835" s="251"/>
    </row>
    <row r="836">
      <c r="A836" s="251"/>
    </row>
    <row r="837">
      <c r="A837" s="251"/>
    </row>
    <row r="838">
      <c r="A838" s="251"/>
    </row>
    <row r="839">
      <c r="A839" s="251"/>
    </row>
    <row r="840">
      <c r="A840" s="251"/>
    </row>
    <row r="841">
      <c r="A841" s="251"/>
    </row>
    <row r="842">
      <c r="A842" s="251"/>
    </row>
    <row r="843">
      <c r="A843" s="251"/>
    </row>
    <row r="844">
      <c r="A844" s="251"/>
    </row>
    <row r="845">
      <c r="A845" s="251"/>
    </row>
    <row r="846">
      <c r="A846" s="251"/>
    </row>
    <row r="847">
      <c r="A847" s="251"/>
    </row>
    <row r="848">
      <c r="A848" s="251"/>
    </row>
    <row r="849">
      <c r="A849" s="251"/>
    </row>
    <row r="850">
      <c r="A850" s="251"/>
    </row>
    <row r="851">
      <c r="A851" s="251"/>
    </row>
    <row r="852">
      <c r="A852" s="251"/>
    </row>
    <row r="853">
      <c r="A853" s="251"/>
    </row>
    <row r="854">
      <c r="A854" s="251"/>
    </row>
    <row r="855">
      <c r="A855" s="251"/>
    </row>
    <row r="856">
      <c r="A856" s="251"/>
    </row>
    <row r="857">
      <c r="A857" s="251"/>
    </row>
    <row r="858">
      <c r="A858" s="251"/>
    </row>
    <row r="859">
      <c r="A859" s="251"/>
    </row>
    <row r="860">
      <c r="A860" s="251"/>
    </row>
    <row r="861">
      <c r="A861" s="251"/>
    </row>
    <row r="862">
      <c r="A862" s="251"/>
    </row>
    <row r="863">
      <c r="A863" s="251"/>
    </row>
    <row r="864">
      <c r="A864" s="251"/>
    </row>
    <row r="865">
      <c r="A865" s="251"/>
    </row>
    <row r="866">
      <c r="A866" s="251"/>
    </row>
    <row r="867">
      <c r="A867" s="251"/>
    </row>
    <row r="868">
      <c r="A868" s="251"/>
    </row>
    <row r="869">
      <c r="A869" s="251"/>
    </row>
    <row r="870">
      <c r="A870" s="251"/>
    </row>
    <row r="871">
      <c r="A871" s="251"/>
    </row>
    <row r="872">
      <c r="A872" s="251"/>
    </row>
    <row r="873">
      <c r="A873" s="251"/>
    </row>
    <row r="874">
      <c r="A874" s="251"/>
    </row>
    <row r="875">
      <c r="A875" s="251"/>
    </row>
    <row r="876">
      <c r="A876" s="251"/>
    </row>
    <row r="877">
      <c r="A877" s="251"/>
    </row>
    <row r="878">
      <c r="A878" s="251"/>
    </row>
    <row r="879">
      <c r="A879" s="251"/>
    </row>
    <row r="880">
      <c r="A880" s="251"/>
    </row>
    <row r="881">
      <c r="A881" s="251"/>
    </row>
    <row r="882">
      <c r="A882" s="251"/>
    </row>
    <row r="883">
      <c r="A883" s="251"/>
    </row>
    <row r="884">
      <c r="A884" s="251"/>
    </row>
    <row r="885">
      <c r="A885" s="251"/>
    </row>
    <row r="886">
      <c r="A886" s="251"/>
    </row>
    <row r="887">
      <c r="A887" s="251"/>
    </row>
    <row r="888">
      <c r="A888" s="251"/>
    </row>
    <row r="889">
      <c r="A889" s="251"/>
    </row>
    <row r="890">
      <c r="A890" s="251"/>
    </row>
    <row r="891">
      <c r="A891" s="251"/>
    </row>
    <row r="892">
      <c r="A892" s="251"/>
    </row>
    <row r="893">
      <c r="A893" s="251"/>
    </row>
    <row r="894">
      <c r="A894" s="251"/>
    </row>
    <row r="895">
      <c r="A895" s="251"/>
    </row>
    <row r="896">
      <c r="A896" s="251"/>
    </row>
    <row r="897">
      <c r="A897" s="251"/>
    </row>
    <row r="898">
      <c r="A898" s="251"/>
    </row>
    <row r="899">
      <c r="A899" s="251"/>
    </row>
    <row r="900">
      <c r="A900" s="251"/>
    </row>
    <row r="901">
      <c r="A901" s="251"/>
    </row>
    <row r="902">
      <c r="A902" s="251"/>
    </row>
    <row r="903">
      <c r="A903" s="251"/>
    </row>
    <row r="904">
      <c r="A904" s="251"/>
    </row>
    <row r="905">
      <c r="A905" s="251"/>
    </row>
    <row r="906">
      <c r="A906" s="251"/>
    </row>
    <row r="907">
      <c r="A907" s="251"/>
    </row>
    <row r="908">
      <c r="A908" s="251"/>
    </row>
    <row r="909">
      <c r="A909" s="251"/>
    </row>
    <row r="910">
      <c r="A910" s="251"/>
    </row>
    <row r="911">
      <c r="A911" s="251"/>
    </row>
    <row r="912">
      <c r="A912" s="251"/>
    </row>
    <row r="913">
      <c r="A913" s="251"/>
    </row>
    <row r="914">
      <c r="A914" s="251"/>
    </row>
    <row r="915">
      <c r="A915" s="251"/>
    </row>
    <row r="916">
      <c r="A916" s="251"/>
    </row>
    <row r="917">
      <c r="A917" s="251"/>
    </row>
    <row r="918">
      <c r="A918" s="251"/>
    </row>
    <row r="919">
      <c r="A919" s="251"/>
    </row>
    <row r="920">
      <c r="A920" s="251"/>
    </row>
    <row r="921">
      <c r="A921" s="251"/>
    </row>
    <row r="922">
      <c r="A922" s="251"/>
    </row>
    <row r="923">
      <c r="A923" s="251"/>
    </row>
    <row r="924">
      <c r="A924" s="251"/>
    </row>
    <row r="925">
      <c r="A925" s="251"/>
    </row>
    <row r="926">
      <c r="A926" s="251"/>
    </row>
    <row r="927">
      <c r="A927" s="251"/>
    </row>
    <row r="928">
      <c r="A928" s="251"/>
    </row>
    <row r="929">
      <c r="A929" s="251"/>
    </row>
    <row r="930">
      <c r="A930" s="251"/>
    </row>
    <row r="931">
      <c r="A931" s="251"/>
    </row>
    <row r="932">
      <c r="A932" s="251"/>
    </row>
    <row r="933">
      <c r="A933" s="251"/>
    </row>
    <row r="934">
      <c r="A934" s="251"/>
    </row>
    <row r="935">
      <c r="A935" s="251"/>
    </row>
    <row r="936">
      <c r="A936" s="251"/>
    </row>
    <row r="937">
      <c r="A937" s="251"/>
    </row>
    <row r="938">
      <c r="A938" s="251"/>
    </row>
    <row r="939">
      <c r="A939" s="251"/>
    </row>
    <row r="940">
      <c r="A940" s="251"/>
    </row>
    <row r="941">
      <c r="A941" s="251"/>
    </row>
    <row r="942">
      <c r="A942" s="251"/>
    </row>
    <row r="943">
      <c r="A943" s="251"/>
    </row>
    <row r="944">
      <c r="A944" s="251"/>
    </row>
    <row r="945">
      <c r="A945" s="251"/>
    </row>
    <row r="946">
      <c r="A946" s="251"/>
    </row>
    <row r="947">
      <c r="A947" s="251"/>
    </row>
    <row r="948">
      <c r="A948" s="251"/>
    </row>
    <row r="949">
      <c r="A949" s="251"/>
    </row>
    <row r="950">
      <c r="A950" s="251"/>
    </row>
    <row r="951">
      <c r="A951" s="251"/>
    </row>
    <row r="952">
      <c r="A952" s="251"/>
    </row>
    <row r="953">
      <c r="A953" s="251"/>
    </row>
    <row r="954">
      <c r="A954" s="251"/>
    </row>
    <row r="955">
      <c r="A955" s="251"/>
    </row>
    <row r="956">
      <c r="A956" s="251"/>
    </row>
    <row r="957">
      <c r="A957" s="251"/>
    </row>
    <row r="958">
      <c r="A958" s="251"/>
    </row>
    <row r="959">
      <c r="A959" s="251"/>
    </row>
    <row r="960">
      <c r="A960" s="251"/>
    </row>
    <row r="961">
      <c r="A961" s="251"/>
    </row>
    <row r="962">
      <c r="A962" s="251"/>
    </row>
    <row r="963">
      <c r="A963" s="251"/>
    </row>
    <row r="964">
      <c r="A964" s="251"/>
    </row>
    <row r="965">
      <c r="A965" s="251"/>
    </row>
    <row r="966">
      <c r="A966" s="251"/>
    </row>
    <row r="967">
      <c r="A967" s="251"/>
    </row>
    <row r="968">
      <c r="A968" s="251"/>
    </row>
    <row r="969">
      <c r="A969" s="251"/>
    </row>
    <row r="970">
      <c r="A970" s="251"/>
    </row>
    <row r="971">
      <c r="A971" s="251"/>
    </row>
    <row r="972">
      <c r="A972" s="251"/>
    </row>
    <row r="973">
      <c r="A973" s="251"/>
    </row>
    <row r="974">
      <c r="A974" s="251"/>
    </row>
    <row r="975">
      <c r="A975" s="251"/>
    </row>
    <row r="976">
      <c r="A976" s="251"/>
    </row>
    <row r="977">
      <c r="A977" s="251"/>
    </row>
    <row r="978">
      <c r="A978" s="251"/>
    </row>
    <row r="979">
      <c r="A979" s="251"/>
    </row>
    <row r="980">
      <c r="A980" s="251"/>
    </row>
    <row r="981">
      <c r="A981" s="251"/>
    </row>
    <row r="982">
      <c r="A982" s="251"/>
    </row>
    <row r="983">
      <c r="A983" s="251"/>
    </row>
    <row r="984">
      <c r="A984" s="251"/>
    </row>
    <row r="985">
      <c r="A985" s="251"/>
    </row>
    <row r="986">
      <c r="A986" s="251"/>
    </row>
    <row r="987">
      <c r="A987" s="251"/>
    </row>
    <row r="988">
      <c r="A988" s="251"/>
    </row>
    <row r="989">
      <c r="A989" s="251"/>
    </row>
    <row r="990">
      <c r="A990" s="251"/>
    </row>
    <row r="991">
      <c r="A991" s="251"/>
    </row>
  </sheetData>
  <mergeCells count="1">
    <mergeCell ref="A22:D2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13"/>
    <col customWidth="1" min="4" max="4" width="11.63"/>
    <col customWidth="1" min="6" max="6" width="9.63"/>
    <col customWidth="1" min="7" max="7" width="7.38"/>
    <col customWidth="1" min="8" max="8" width="12.25"/>
    <col customWidth="1" min="9" max="9" width="15.5"/>
  </cols>
  <sheetData>
    <row r="1">
      <c r="A1" s="251"/>
      <c r="B1" s="179"/>
      <c r="C1" s="179"/>
      <c r="D1" s="179"/>
      <c r="E1" s="179"/>
      <c r="F1" s="235"/>
      <c r="G1" s="235"/>
      <c r="H1" s="235"/>
      <c r="I1" s="179"/>
    </row>
    <row r="2">
      <c r="A2" s="252"/>
      <c r="B2" s="253" t="s">
        <v>195</v>
      </c>
      <c r="C2" s="253" t="s">
        <v>196</v>
      </c>
      <c r="D2" s="253" t="s">
        <v>197</v>
      </c>
      <c r="E2" s="253" t="s">
        <v>4</v>
      </c>
      <c r="F2" s="249" t="s">
        <v>5</v>
      </c>
      <c r="G2" s="249" t="s">
        <v>9</v>
      </c>
      <c r="H2" s="253" t="s">
        <v>6</v>
      </c>
      <c r="I2" s="254" t="s">
        <v>198</v>
      </c>
    </row>
    <row r="3">
      <c r="A3" s="87" t="s">
        <v>232</v>
      </c>
      <c r="B3" s="98">
        <f>'Исходные данные'!D10</f>
        <v>276</v>
      </c>
      <c r="C3" s="134">
        <f>'Исходные данные'!E28</f>
        <v>36</v>
      </c>
      <c r="D3" s="134"/>
      <c r="E3" s="70">
        <v>402810.0</v>
      </c>
      <c r="F3" s="256">
        <v>12.0</v>
      </c>
      <c r="G3" s="249"/>
      <c r="H3" s="250">
        <f t="shared" ref="H3:H11" si="1">E3/F3</f>
        <v>33567.5</v>
      </c>
      <c r="I3" s="257">
        <f t="shared" ref="I3:I4" si="2">H3/B3*C3</f>
        <v>4378.369565</v>
      </c>
    </row>
    <row r="4">
      <c r="A4" s="87" t="s">
        <v>233</v>
      </c>
      <c r="B4" s="98">
        <f>'Исходные данные'!E13</f>
        <v>30</v>
      </c>
      <c r="C4" s="134">
        <f>'Исходные данные'!H28</f>
        <v>3</v>
      </c>
      <c r="D4" s="134"/>
      <c r="E4" s="177">
        <v>305868.0</v>
      </c>
      <c r="F4" s="256">
        <v>12.0</v>
      </c>
      <c r="G4" s="249"/>
      <c r="H4" s="250">
        <f t="shared" si="1"/>
        <v>25489</v>
      </c>
      <c r="I4" s="257">
        <f t="shared" si="2"/>
        <v>2548.9</v>
      </c>
    </row>
    <row r="5">
      <c r="A5" s="87" t="s">
        <v>147</v>
      </c>
      <c r="B5" s="98"/>
      <c r="C5" s="134"/>
      <c r="D5" s="134"/>
      <c r="E5" s="255"/>
      <c r="F5" s="256">
        <v>12.0</v>
      </c>
      <c r="G5" s="249"/>
      <c r="H5" s="250">
        <f t="shared" si="1"/>
        <v>0</v>
      </c>
      <c r="I5" s="257">
        <f t="shared" ref="I5:I12" si="3">H5</f>
        <v>0</v>
      </c>
    </row>
    <row r="6">
      <c r="A6" s="87" t="s">
        <v>148</v>
      </c>
      <c r="B6" s="258"/>
      <c r="C6" s="258"/>
      <c r="D6" s="258"/>
      <c r="E6" s="177">
        <f>15256+16850</f>
        <v>32106</v>
      </c>
      <c r="F6" s="256">
        <v>12.0</v>
      </c>
      <c r="G6" s="249"/>
      <c r="H6" s="250">
        <f t="shared" si="1"/>
        <v>2675.5</v>
      </c>
      <c r="I6" s="257">
        <f t="shared" si="3"/>
        <v>2675.5</v>
      </c>
    </row>
    <row r="7">
      <c r="A7" s="87" t="s">
        <v>150</v>
      </c>
      <c r="B7" s="258"/>
      <c r="C7" s="258"/>
      <c r="D7" s="258"/>
      <c r="E7" s="177">
        <v>0.0</v>
      </c>
      <c r="F7" s="256">
        <v>12.0</v>
      </c>
      <c r="G7" s="249"/>
      <c r="H7" s="250">
        <f t="shared" si="1"/>
        <v>0</v>
      </c>
      <c r="I7" s="257">
        <f t="shared" si="3"/>
        <v>0</v>
      </c>
    </row>
    <row r="8">
      <c r="A8" s="87" t="s">
        <v>149</v>
      </c>
      <c r="B8" s="258"/>
      <c r="C8" s="258"/>
      <c r="D8" s="258"/>
      <c r="E8" s="177">
        <v>0.0</v>
      </c>
      <c r="F8" s="256">
        <v>12.0</v>
      </c>
      <c r="G8" s="249"/>
      <c r="H8" s="250">
        <f t="shared" si="1"/>
        <v>0</v>
      </c>
      <c r="I8" s="257">
        <f t="shared" si="3"/>
        <v>0</v>
      </c>
    </row>
    <row r="9">
      <c r="A9" s="87" t="s">
        <v>255</v>
      </c>
      <c r="B9" s="258"/>
      <c r="C9" s="258"/>
      <c r="D9" s="258"/>
      <c r="E9" s="177">
        <v>2000.0</v>
      </c>
      <c r="F9" s="256">
        <v>12.0</v>
      </c>
      <c r="G9" s="249"/>
      <c r="H9" s="250">
        <f t="shared" si="1"/>
        <v>166.6666667</v>
      </c>
      <c r="I9" s="257">
        <f t="shared" si="3"/>
        <v>166.6666667</v>
      </c>
    </row>
    <row r="10">
      <c r="A10" s="87" t="s">
        <v>204</v>
      </c>
      <c r="B10" s="258"/>
      <c r="C10" s="258"/>
      <c r="D10" s="258"/>
      <c r="E10" s="177">
        <v>844.0</v>
      </c>
      <c r="F10" s="256">
        <v>12.0</v>
      </c>
      <c r="G10" s="249"/>
      <c r="H10" s="250">
        <f t="shared" si="1"/>
        <v>70.33333333</v>
      </c>
      <c r="I10" s="257">
        <f t="shared" si="3"/>
        <v>70.33333333</v>
      </c>
    </row>
    <row r="11">
      <c r="A11" s="87" t="s">
        <v>151</v>
      </c>
      <c r="B11" s="258"/>
      <c r="C11" s="258"/>
      <c r="D11" s="258"/>
      <c r="E11" s="177">
        <v>27365.0</v>
      </c>
      <c r="F11" s="256">
        <v>12.0</v>
      </c>
      <c r="G11" s="249"/>
      <c r="H11" s="250">
        <f t="shared" si="1"/>
        <v>2280.416667</v>
      </c>
      <c r="I11" s="257">
        <f t="shared" si="3"/>
        <v>2280.416667</v>
      </c>
    </row>
    <row r="12">
      <c r="A12" s="68" t="s">
        <v>155</v>
      </c>
      <c r="B12" s="72"/>
      <c r="C12" s="71"/>
      <c r="D12" s="71"/>
      <c r="E12" s="72"/>
      <c r="F12" s="249"/>
      <c r="G12" s="259"/>
      <c r="H12" s="250">
        <f>D28</f>
        <v>0</v>
      </c>
      <c r="I12" s="257">
        <f t="shared" si="3"/>
        <v>0</v>
      </c>
    </row>
    <row r="13">
      <c r="A13" s="68" t="s">
        <v>152</v>
      </c>
      <c r="B13" s="72"/>
      <c r="C13" s="71"/>
      <c r="D13" s="260">
        <f>B18+B19</f>
        <v>1476</v>
      </c>
      <c r="E13" s="72"/>
      <c r="F13" s="249"/>
      <c r="G13" s="259">
        <f>'Общие расходы ГЭ'!G16</f>
        <v>9.195626292</v>
      </c>
      <c r="H13" s="249"/>
      <c r="I13" s="257">
        <f t="shared" ref="I13:I15" si="4">D13*G13</f>
        <v>13572.74441</v>
      </c>
    </row>
    <row r="14">
      <c r="A14" s="68" t="s">
        <v>153</v>
      </c>
      <c r="B14" s="72"/>
      <c r="C14" s="71"/>
      <c r="D14" s="260">
        <f>B18+B19</f>
        <v>1476</v>
      </c>
      <c r="E14" s="72"/>
      <c r="F14" s="249"/>
      <c r="G14" s="259">
        <f>'Общие расходы г. Тюмень'!F4</f>
        <v>0.2743933235</v>
      </c>
      <c r="H14" s="249"/>
      <c r="I14" s="257">
        <f t="shared" si="4"/>
        <v>405.0045455</v>
      </c>
    </row>
    <row r="15">
      <c r="A15" s="68" t="s">
        <v>156</v>
      </c>
      <c r="B15" s="72"/>
      <c r="C15" s="71"/>
      <c r="D15" s="260">
        <f>B18+B19</f>
        <v>1476</v>
      </c>
      <c r="E15" s="72"/>
      <c r="F15" s="249"/>
      <c r="G15" s="250">
        <f>'Общие расходы г. Тюмень'!F30</f>
        <v>0.7480139342</v>
      </c>
      <c r="H15" s="249"/>
      <c r="I15" s="257">
        <f t="shared" si="4"/>
        <v>1104.068567</v>
      </c>
    </row>
    <row r="16">
      <c r="A16" s="262" t="s">
        <v>62</v>
      </c>
      <c r="B16" s="263"/>
      <c r="C16" s="263"/>
      <c r="D16" s="263"/>
      <c r="E16" s="263"/>
      <c r="F16" s="263"/>
      <c r="G16" s="185"/>
      <c r="H16" s="264"/>
      <c r="I16" s="261">
        <f>SUM(I3:I15)</f>
        <v>27202.00375</v>
      </c>
    </row>
    <row r="17">
      <c r="A17" s="251"/>
      <c r="B17" s="179"/>
      <c r="C17" s="179"/>
      <c r="D17" s="179"/>
      <c r="E17" s="179"/>
      <c r="F17" s="235"/>
      <c r="G17" s="235"/>
      <c r="H17" s="235"/>
      <c r="I17" s="179"/>
    </row>
    <row r="18">
      <c r="A18" s="68" t="s">
        <v>205</v>
      </c>
      <c r="B18" s="260">
        <f>'Исходные данные'!B28</f>
        <v>997</v>
      </c>
      <c r="C18" s="179"/>
      <c r="D18" s="179"/>
      <c r="E18" s="179"/>
      <c r="F18" s="235"/>
      <c r="G18" s="235"/>
      <c r="H18" s="235"/>
      <c r="I18" s="179"/>
    </row>
    <row r="19">
      <c r="A19" s="68" t="s">
        <v>206</v>
      </c>
      <c r="B19" s="260">
        <f>'Исходные данные'!C28</f>
        <v>479</v>
      </c>
      <c r="C19" s="179"/>
      <c r="D19" s="179"/>
      <c r="E19" s="179"/>
      <c r="F19" s="235"/>
      <c r="G19" s="235"/>
      <c r="H19" s="235"/>
      <c r="I19" s="179"/>
    </row>
    <row r="20">
      <c r="A20" s="68" t="s">
        <v>207</v>
      </c>
      <c r="B20" s="260" t="str">
        <f>'Исходные данные'!D28</f>
        <v/>
      </c>
      <c r="C20" s="179"/>
      <c r="D20" s="179"/>
      <c r="E20" s="179"/>
      <c r="F20" s="235"/>
      <c r="G20" s="235"/>
      <c r="H20" s="235"/>
      <c r="I20" s="179"/>
    </row>
    <row r="21">
      <c r="A21" s="251"/>
      <c r="B21" s="179"/>
      <c r="C21" s="179"/>
      <c r="D21" s="179"/>
      <c r="E21" s="179"/>
      <c r="F21" s="235"/>
      <c r="G21" s="235"/>
      <c r="H21" s="235"/>
      <c r="I21" s="74"/>
    </row>
    <row r="22">
      <c r="A22" s="266" t="s">
        <v>208</v>
      </c>
      <c r="B22" s="263"/>
      <c r="C22" s="263"/>
      <c r="D22" s="185"/>
      <c r="E22" s="267"/>
      <c r="F22" s="69"/>
      <c r="G22" s="69"/>
      <c r="H22" s="69"/>
      <c r="I22" s="69"/>
    </row>
    <row r="23">
      <c r="A23" s="268" t="s">
        <v>209</v>
      </c>
      <c r="B23" s="269" t="s">
        <v>210</v>
      </c>
      <c r="C23" s="93" t="s">
        <v>5</v>
      </c>
      <c r="D23" s="269" t="s">
        <v>211</v>
      </c>
      <c r="E23" s="270"/>
    </row>
    <row r="24">
      <c r="A24" s="272" t="s">
        <v>212</v>
      </c>
      <c r="B24" s="271"/>
      <c r="C24" s="134">
        <v>12.0</v>
      </c>
      <c r="D24" s="271">
        <f t="shared" ref="D24:D25" si="5">B24/C24</f>
        <v>0</v>
      </c>
      <c r="E24" s="74"/>
    </row>
    <row r="25">
      <c r="A25" s="272" t="s">
        <v>222</v>
      </c>
      <c r="B25" s="271"/>
      <c r="C25" s="134">
        <v>12.0</v>
      </c>
      <c r="D25" s="271">
        <f t="shared" si="5"/>
        <v>0</v>
      </c>
      <c r="E25" s="74"/>
    </row>
    <row r="26">
      <c r="A26" s="272"/>
      <c r="B26" s="271"/>
      <c r="C26" s="134"/>
      <c r="D26" s="271"/>
      <c r="E26" s="74"/>
    </row>
    <row r="27">
      <c r="A27" s="272"/>
      <c r="B27" s="271"/>
      <c r="C27" s="134"/>
      <c r="D27" s="271"/>
      <c r="E27" s="74"/>
    </row>
    <row r="28">
      <c r="A28" s="273"/>
      <c r="B28" s="274">
        <f>SUM(B24:B27)</f>
        <v>0</v>
      </c>
      <c r="C28" s="275">
        <v>12.0</v>
      </c>
      <c r="D28" s="274">
        <f>SUM(D24:D27)</f>
        <v>0</v>
      </c>
      <c r="E28" s="276"/>
      <c r="F28" s="169"/>
      <c r="G28" s="168"/>
    </row>
    <row r="29">
      <c r="A29" s="251"/>
    </row>
    <row r="30">
      <c r="A30" s="251"/>
    </row>
    <row r="31">
      <c r="A31" s="251"/>
    </row>
    <row r="32">
      <c r="A32" s="251"/>
    </row>
    <row r="33">
      <c r="A33" s="251"/>
    </row>
    <row r="34">
      <c r="A34" s="251"/>
    </row>
    <row r="35">
      <c r="A35" s="251"/>
    </row>
    <row r="36">
      <c r="A36" s="251"/>
    </row>
    <row r="37">
      <c r="A37" s="251"/>
    </row>
    <row r="38">
      <c r="A38" s="251"/>
    </row>
    <row r="39">
      <c r="A39" s="251"/>
    </row>
    <row r="40">
      <c r="A40" s="251"/>
    </row>
    <row r="41">
      <c r="A41" s="251"/>
    </row>
    <row r="42">
      <c r="A42" s="251"/>
    </row>
    <row r="43">
      <c r="A43" s="251"/>
    </row>
    <row r="44">
      <c r="A44" s="251"/>
    </row>
    <row r="45">
      <c r="A45" s="251"/>
    </row>
    <row r="46">
      <c r="A46" s="251"/>
    </row>
    <row r="47">
      <c r="A47" s="251"/>
    </row>
    <row r="48">
      <c r="A48" s="251"/>
    </row>
    <row r="49">
      <c r="A49" s="251"/>
    </row>
    <row r="50">
      <c r="A50" s="251"/>
    </row>
    <row r="51">
      <c r="A51" s="251"/>
    </row>
    <row r="52">
      <c r="A52" s="251"/>
    </row>
    <row r="53">
      <c r="A53" s="251"/>
    </row>
    <row r="54">
      <c r="A54" s="251"/>
    </row>
    <row r="55">
      <c r="A55" s="251"/>
    </row>
    <row r="56">
      <c r="A56" s="251"/>
    </row>
    <row r="57">
      <c r="A57" s="251"/>
    </row>
    <row r="58">
      <c r="A58" s="251"/>
    </row>
    <row r="59">
      <c r="A59" s="251"/>
    </row>
    <row r="60">
      <c r="A60" s="251"/>
    </row>
    <row r="61">
      <c r="A61" s="251"/>
    </row>
    <row r="62">
      <c r="A62" s="251"/>
    </row>
    <row r="63">
      <c r="A63" s="251"/>
    </row>
    <row r="64">
      <c r="A64" s="251"/>
    </row>
    <row r="65">
      <c r="A65" s="251"/>
    </row>
    <row r="66">
      <c r="A66" s="251"/>
    </row>
    <row r="67">
      <c r="A67" s="251"/>
    </row>
    <row r="68">
      <c r="A68" s="251"/>
    </row>
    <row r="69">
      <c r="A69" s="251"/>
    </row>
    <row r="70">
      <c r="A70" s="251"/>
    </row>
    <row r="71">
      <c r="A71" s="251"/>
    </row>
    <row r="72">
      <c r="A72" s="251"/>
    </row>
    <row r="73">
      <c r="A73" s="251"/>
    </row>
    <row r="74">
      <c r="A74" s="251"/>
    </row>
    <row r="75">
      <c r="A75" s="251"/>
    </row>
    <row r="76">
      <c r="A76" s="251"/>
    </row>
    <row r="77">
      <c r="A77" s="251"/>
    </row>
    <row r="78">
      <c r="A78" s="251"/>
    </row>
    <row r="79">
      <c r="A79" s="251"/>
    </row>
    <row r="80">
      <c r="A80" s="251"/>
    </row>
    <row r="81">
      <c r="A81" s="251"/>
    </row>
    <row r="82">
      <c r="A82" s="251"/>
    </row>
    <row r="83">
      <c r="A83" s="251"/>
    </row>
    <row r="84">
      <c r="A84" s="251"/>
    </row>
    <row r="85">
      <c r="A85" s="251"/>
    </row>
    <row r="86">
      <c r="A86" s="251"/>
    </row>
    <row r="87">
      <c r="A87" s="251"/>
    </row>
    <row r="88">
      <c r="A88" s="251"/>
    </row>
    <row r="89">
      <c r="A89" s="251"/>
    </row>
    <row r="90">
      <c r="A90" s="251"/>
    </row>
    <row r="91">
      <c r="A91" s="251"/>
    </row>
    <row r="92">
      <c r="A92" s="251"/>
    </row>
    <row r="93">
      <c r="A93" s="251"/>
    </row>
    <row r="94">
      <c r="A94" s="251"/>
    </row>
    <row r="95">
      <c r="A95" s="251"/>
    </row>
    <row r="96">
      <c r="A96" s="251"/>
    </row>
    <row r="97">
      <c r="A97" s="251"/>
    </row>
    <row r="98">
      <c r="A98" s="251"/>
    </row>
    <row r="99">
      <c r="A99" s="251"/>
    </row>
    <row r="100">
      <c r="A100" s="251"/>
    </row>
    <row r="101">
      <c r="A101" s="251"/>
    </row>
    <row r="102">
      <c r="A102" s="251"/>
    </row>
    <row r="103">
      <c r="A103" s="251"/>
    </row>
    <row r="104">
      <c r="A104" s="251"/>
    </row>
    <row r="105">
      <c r="A105" s="251"/>
    </row>
    <row r="106">
      <c r="A106" s="251"/>
    </row>
    <row r="107">
      <c r="A107" s="251"/>
    </row>
    <row r="108">
      <c r="A108" s="251"/>
    </row>
    <row r="109">
      <c r="A109" s="251"/>
    </row>
    <row r="110">
      <c r="A110" s="251"/>
    </row>
    <row r="111">
      <c r="A111" s="251"/>
    </row>
    <row r="112">
      <c r="A112" s="251"/>
    </row>
    <row r="113">
      <c r="A113" s="251"/>
    </row>
    <row r="114">
      <c r="A114" s="251"/>
    </row>
    <row r="115">
      <c r="A115" s="251"/>
    </row>
    <row r="116">
      <c r="A116" s="251"/>
    </row>
    <row r="117">
      <c r="A117" s="251"/>
    </row>
    <row r="118">
      <c r="A118" s="251"/>
    </row>
    <row r="119">
      <c r="A119" s="251"/>
    </row>
    <row r="120">
      <c r="A120" s="251"/>
    </row>
    <row r="121">
      <c r="A121" s="251"/>
    </row>
    <row r="122">
      <c r="A122" s="251"/>
    </row>
    <row r="123">
      <c r="A123" s="251"/>
    </row>
    <row r="124">
      <c r="A124" s="251"/>
    </row>
    <row r="125">
      <c r="A125" s="251"/>
    </row>
    <row r="126">
      <c r="A126" s="251"/>
    </row>
    <row r="127">
      <c r="A127" s="251"/>
    </row>
    <row r="128">
      <c r="A128" s="251"/>
    </row>
    <row r="129">
      <c r="A129" s="251"/>
    </row>
    <row r="130">
      <c r="A130" s="251"/>
    </row>
    <row r="131">
      <c r="A131" s="251"/>
    </row>
    <row r="132">
      <c r="A132" s="251"/>
    </row>
    <row r="133">
      <c r="A133" s="251"/>
    </row>
    <row r="134">
      <c r="A134" s="251"/>
    </row>
    <row r="135">
      <c r="A135" s="251"/>
    </row>
    <row r="136">
      <c r="A136" s="251"/>
    </row>
    <row r="137">
      <c r="A137" s="251"/>
    </row>
    <row r="138">
      <c r="A138" s="251"/>
    </row>
    <row r="139">
      <c r="A139" s="251"/>
    </row>
    <row r="140">
      <c r="A140" s="251"/>
    </row>
    <row r="141">
      <c r="A141" s="251"/>
    </row>
    <row r="142">
      <c r="A142" s="251"/>
    </row>
    <row r="143">
      <c r="A143" s="251"/>
    </row>
    <row r="144">
      <c r="A144" s="251"/>
    </row>
    <row r="145">
      <c r="A145" s="251"/>
    </row>
    <row r="146">
      <c r="A146" s="251"/>
    </row>
    <row r="147">
      <c r="A147" s="251"/>
    </row>
    <row r="148">
      <c r="A148" s="251"/>
    </row>
    <row r="149">
      <c r="A149" s="251"/>
    </row>
    <row r="150">
      <c r="A150" s="251"/>
    </row>
    <row r="151">
      <c r="A151" s="251"/>
    </row>
    <row r="152">
      <c r="A152" s="251"/>
    </row>
    <row r="153">
      <c r="A153" s="251"/>
    </row>
    <row r="154">
      <c r="A154" s="251"/>
    </row>
    <row r="155">
      <c r="A155" s="251"/>
    </row>
    <row r="156">
      <c r="A156" s="251"/>
    </row>
    <row r="157">
      <c r="A157" s="251"/>
    </row>
    <row r="158">
      <c r="A158" s="251"/>
    </row>
    <row r="159">
      <c r="A159" s="251"/>
    </row>
    <row r="160">
      <c r="A160" s="251"/>
    </row>
    <row r="161">
      <c r="A161" s="251"/>
    </row>
    <row r="162">
      <c r="A162" s="251"/>
    </row>
    <row r="163">
      <c r="A163" s="251"/>
    </row>
    <row r="164">
      <c r="A164" s="251"/>
    </row>
    <row r="165">
      <c r="A165" s="251"/>
    </row>
    <row r="166">
      <c r="A166" s="251"/>
    </row>
    <row r="167">
      <c r="A167" s="251"/>
    </row>
    <row r="168">
      <c r="A168" s="251"/>
    </row>
    <row r="169">
      <c r="A169" s="251"/>
    </row>
    <row r="170">
      <c r="A170" s="251"/>
    </row>
    <row r="171">
      <c r="A171" s="251"/>
    </row>
    <row r="172">
      <c r="A172" s="251"/>
    </row>
    <row r="173">
      <c r="A173" s="251"/>
    </row>
    <row r="174">
      <c r="A174" s="251"/>
    </row>
    <row r="175">
      <c r="A175" s="251"/>
    </row>
    <row r="176">
      <c r="A176" s="251"/>
    </row>
    <row r="177">
      <c r="A177" s="251"/>
    </row>
    <row r="178">
      <c r="A178" s="251"/>
    </row>
    <row r="179">
      <c r="A179" s="251"/>
    </row>
    <row r="180">
      <c r="A180" s="251"/>
    </row>
    <row r="181">
      <c r="A181" s="251"/>
    </row>
    <row r="182">
      <c r="A182" s="251"/>
    </row>
    <row r="183">
      <c r="A183" s="251"/>
    </row>
    <row r="184">
      <c r="A184" s="251"/>
    </row>
    <row r="185">
      <c r="A185" s="251"/>
    </row>
    <row r="186">
      <c r="A186" s="251"/>
    </row>
    <row r="187">
      <c r="A187" s="251"/>
    </row>
    <row r="188">
      <c r="A188" s="251"/>
    </row>
    <row r="189">
      <c r="A189" s="251"/>
    </row>
    <row r="190">
      <c r="A190" s="251"/>
    </row>
    <row r="191">
      <c r="A191" s="251"/>
    </row>
    <row r="192">
      <c r="A192" s="251"/>
    </row>
    <row r="193">
      <c r="A193" s="251"/>
    </row>
    <row r="194">
      <c r="A194" s="251"/>
    </row>
    <row r="195">
      <c r="A195" s="251"/>
    </row>
    <row r="196">
      <c r="A196" s="251"/>
    </row>
    <row r="197">
      <c r="A197" s="251"/>
    </row>
    <row r="198">
      <c r="A198" s="251"/>
    </row>
    <row r="199">
      <c r="A199" s="251"/>
    </row>
    <row r="200">
      <c r="A200" s="251"/>
    </row>
    <row r="201">
      <c r="A201" s="251"/>
    </row>
    <row r="202">
      <c r="A202" s="251"/>
    </row>
    <row r="203">
      <c r="A203" s="251"/>
    </row>
    <row r="204">
      <c r="A204" s="251"/>
    </row>
    <row r="205">
      <c r="A205" s="251"/>
    </row>
    <row r="206">
      <c r="A206" s="251"/>
    </row>
    <row r="207">
      <c r="A207" s="251"/>
    </row>
    <row r="208">
      <c r="A208" s="251"/>
    </row>
    <row r="209">
      <c r="A209" s="251"/>
    </row>
    <row r="210">
      <c r="A210" s="251"/>
    </row>
    <row r="211">
      <c r="A211" s="251"/>
    </row>
    <row r="212">
      <c r="A212" s="251"/>
    </row>
    <row r="213">
      <c r="A213" s="251"/>
    </row>
    <row r="214">
      <c r="A214" s="251"/>
    </row>
    <row r="215">
      <c r="A215" s="251"/>
    </row>
    <row r="216">
      <c r="A216" s="251"/>
    </row>
    <row r="217">
      <c r="A217" s="251"/>
    </row>
    <row r="218">
      <c r="A218" s="251"/>
    </row>
    <row r="219">
      <c r="A219" s="251"/>
    </row>
    <row r="220">
      <c r="A220" s="251"/>
    </row>
    <row r="221">
      <c r="A221" s="251"/>
    </row>
    <row r="222">
      <c r="A222" s="251"/>
    </row>
    <row r="223">
      <c r="A223" s="251"/>
    </row>
    <row r="224">
      <c r="A224" s="251"/>
    </row>
    <row r="225">
      <c r="A225" s="251"/>
    </row>
    <row r="226">
      <c r="A226" s="251"/>
    </row>
    <row r="227">
      <c r="A227" s="251"/>
    </row>
    <row r="228">
      <c r="A228" s="251"/>
    </row>
    <row r="229">
      <c r="A229" s="251"/>
    </row>
    <row r="230">
      <c r="A230" s="251"/>
    </row>
    <row r="231">
      <c r="A231" s="251"/>
    </row>
    <row r="232">
      <c r="A232" s="251"/>
    </row>
    <row r="233">
      <c r="A233" s="251"/>
    </row>
    <row r="234">
      <c r="A234" s="251"/>
    </row>
    <row r="235">
      <c r="A235" s="251"/>
    </row>
    <row r="236">
      <c r="A236" s="251"/>
    </row>
    <row r="237">
      <c r="A237" s="251"/>
    </row>
    <row r="238">
      <c r="A238" s="251"/>
    </row>
    <row r="239">
      <c r="A239" s="251"/>
    </row>
    <row r="240">
      <c r="A240" s="251"/>
    </row>
    <row r="241">
      <c r="A241" s="251"/>
    </row>
    <row r="242">
      <c r="A242" s="251"/>
    </row>
    <row r="243">
      <c r="A243" s="251"/>
    </row>
    <row r="244">
      <c r="A244" s="251"/>
    </row>
    <row r="245">
      <c r="A245" s="251"/>
    </row>
    <row r="246">
      <c r="A246" s="251"/>
    </row>
    <row r="247">
      <c r="A247" s="251"/>
    </row>
    <row r="248">
      <c r="A248" s="251"/>
    </row>
    <row r="249">
      <c r="A249" s="251"/>
    </row>
    <row r="250">
      <c r="A250" s="251"/>
    </row>
    <row r="251">
      <c r="A251" s="251"/>
    </row>
    <row r="252">
      <c r="A252" s="251"/>
    </row>
    <row r="253">
      <c r="A253" s="251"/>
    </row>
    <row r="254">
      <c r="A254" s="251"/>
    </row>
    <row r="255">
      <c r="A255" s="251"/>
    </row>
    <row r="256">
      <c r="A256" s="251"/>
    </row>
    <row r="257">
      <c r="A257" s="251"/>
    </row>
    <row r="258">
      <c r="A258" s="251"/>
    </row>
    <row r="259">
      <c r="A259" s="251"/>
    </row>
    <row r="260">
      <c r="A260" s="251"/>
    </row>
    <row r="261">
      <c r="A261" s="251"/>
    </row>
    <row r="262">
      <c r="A262" s="251"/>
    </row>
    <row r="263">
      <c r="A263" s="251"/>
    </row>
    <row r="264">
      <c r="A264" s="251"/>
    </row>
    <row r="265">
      <c r="A265" s="251"/>
    </row>
    <row r="266">
      <c r="A266" s="251"/>
    </row>
    <row r="267">
      <c r="A267" s="251"/>
    </row>
    <row r="268">
      <c r="A268" s="251"/>
    </row>
    <row r="269">
      <c r="A269" s="251"/>
    </row>
    <row r="270">
      <c r="A270" s="251"/>
    </row>
    <row r="271">
      <c r="A271" s="251"/>
    </row>
    <row r="272">
      <c r="A272" s="251"/>
    </row>
    <row r="273">
      <c r="A273" s="251"/>
    </row>
    <row r="274">
      <c r="A274" s="251"/>
    </row>
    <row r="275">
      <c r="A275" s="251"/>
    </row>
    <row r="276">
      <c r="A276" s="251"/>
    </row>
    <row r="277">
      <c r="A277" s="251"/>
    </row>
    <row r="278">
      <c r="A278" s="251"/>
    </row>
    <row r="279">
      <c r="A279" s="251"/>
    </row>
    <row r="280">
      <c r="A280" s="251"/>
    </row>
    <row r="281">
      <c r="A281" s="251"/>
    </row>
    <row r="282">
      <c r="A282" s="251"/>
    </row>
    <row r="283">
      <c r="A283" s="251"/>
    </row>
    <row r="284">
      <c r="A284" s="251"/>
    </row>
    <row r="285">
      <c r="A285" s="251"/>
    </row>
    <row r="286">
      <c r="A286" s="251"/>
    </row>
    <row r="287">
      <c r="A287" s="251"/>
    </row>
    <row r="288">
      <c r="A288" s="251"/>
    </row>
    <row r="289">
      <c r="A289" s="251"/>
    </row>
    <row r="290">
      <c r="A290" s="251"/>
    </row>
    <row r="291">
      <c r="A291" s="251"/>
    </row>
    <row r="292">
      <c r="A292" s="251"/>
    </row>
    <row r="293">
      <c r="A293" s="251"/>
    </row>
    <row r="294">
      <c r="A294" s="251"/>
    </row>
    <row r="295">
      <c r="A295" s="251"/>
    </row>
    <row r="296">
      <c r="A296" s="251"/>
    </row>
    <row r="297">
      <c r="A297" s="251"/>
    </row>
    <row r="298">
      <c r="A298" s="251"/>
    </row>
    <row r="299">
      <c r="A299" s="251"/>
    </row>
    <row r="300">
      <c r="A300" s="251"/>
    </row>
    <row r="301">
      <c r="A301" s="251"/>
    </row>
    <row r="302">
      <c r="A302" s="251"/>
    </row>
    <row r="303">
      <c r="A303" s="251"/>
    </row>
    <row r="304">
      <c r="A304" s="251"/>
    </row>
    <row r="305">
      <c r="A305" s="251"/>
    </row>
    <row r="306">
      <c r="A306" s="251"/>
    </row>
    <row r="307">
      <c r="A307" s="251"/>
    </row>
    <row r="308">
      <c r="A308" s="251"/>
    </row>
    <row r="309">
      <c r="A309" s="251"/>
    </row>
    <row r="310">
      <c r="A310" s="251"/>
    </row>
    <row r="311">
      <c r="A311" s="251"/>
    </row>
    <row r="312">
      <c r="A312" s="251"/>
    </row>
    <row r="313">
      <c r="A313" s="251"/>
    </row>
    <row r="314">
      <c r="A314" s="251"/>
    </row>
    <row r="315">
      <c r="A315" s="251"/>
    </row>
    <row r="316">
      <c r="A316" s="251"/>
    </row>
    <row r="317">
      <c r="A317" s="251"/>
    </row>
    <row r="318">
      <c r="A318" s="251"/>
    </row>
    <row r="319">
      <c r="A319" s="251"/>
    </row>
    <row r="320">
      <c r="A320" s="251"/>
    </row>
    <row r="321">
      <c r="A321" s="251"/>
    </row>
    <row r="322">
      <c r="A322" s="251"/>
    </row>
    <row r="323">
      <c r="A323" s="251"/>
    </row>
    <row r="324">
      <c r="A324" s="251"/>
    </row>
    <row r="325">
      <c r="A325" s="251"/>
    </row>
    <row r="326">
      <c r="A326" s="251"/>
    </row>
    <row r="327">
      <c r="A327" s="251"/>
    </row>
    <row r="328">
      <c r="A328" s="251"/>
    </row>
    <row r="329">
      <c r="A329" s="251"/>
    </row>
    <row r="330">
      <c r="A330" s="251"/>
    </row>
    <row r="331">
      <c r="A331" s="251"/>
    </row>
    <row r="332">
      <c r="A332" s="251"/>
    </row>
    <row r="333">
      <c r="A333" s="251"/>
    </row>
    <row r="334">
      <c r="A334" s="251"/>
    </row>
    <row r="335">
      <c r="A335" s="251"/>
    </row>
    <row r="336">
      <c r="A336" s="251"/>
    </row>
    <row r="337">
      <c r="A337" s="251"/>
    </row>
    <row r="338">
      <c r="A338" s="251"/>
    </row>
    <row r="339">
      <c r="A339" s="251"/>
    </row>
    <row r="340">
      <c r="A340" s="251"/>
    </row>
    <row r="341">
      <c r="A341" s="251"/>
    </row>
    <row r="342">
      <c r="A342" s="251"/>
    </row>
    <row r="343">
      <c r="A343" s="251"/>
    </row>
    <row r="344">
      <c r="A344" s="251"/>
    </row>
    <row r="345">
      <c r="A345" s="251"/>
    </row>
    <row r="346">
      <c r="A346" s="251"/>
    </row>
    <row r="347">
      <c r="A347" s="251"/>
    </row>
    <row r="348">
      <c r="A348" s="251"/>
    </row>
    <row r="349">
      <c r="A349" s="251"/>
    </row>
    <row r="350">
      <c r="A350" s="251"/>
    </row>
    <row r="351">
      <c r="A351" s="251"/>
    </row>
    <row r="352">
      <c r="A352" s="251"/>
    </row>
    <row r="353">
      <c r="A353" s="251"/>
    </row>
    <row r="354">
      <c r="A354" s="251"/>
    </row>
    <row r="355">
      <c r="A355" s="251"/>
    </row>
    <row r="356">
      <c r="A356" s="251"/>
    </row>
    <row r="357">
      <c r="A357" s="251"/>
    </row>
    <row r="358">
      <c r="A358" s="251"/>
    </row>
    <row r="359">
      <c r="A359" s="251"/>
    </row>
    <row r="360">
      <c r="A360" s="251"/>
    </row>
    <row r="361">
      <c r="A361" s="251"/>
    </row>
    <row r="362">
      <c r="A362" s="251"/>
    </row>
    <row r="363">
      <c r="A363" s="251"/>
    </row>
    <row r="364">
      <c r="A364" s="251"/>
    </row>
    <row r="365">
      <c r="A365" s="251"/>
    </row>
    <row r="366">
      <c r="A366" s="251"/>
    </row>
    <row r="367">
      <c r="A367" s="251"/>
    </row>
    <row r="368">
      <c r="A368" s="251"/>
    </row>
    <row r="369">
      <c r="A369" s="251"/>
    </row>
    <row r="370">
      <c r="A370" s="251"/>
    </row>
    <row r="371">
      <c r="A371" s="251"/>
    </row>
    <row r="372">
      <c r="A372" s="251"/>
    </row>
    <row r="373">
      <c r="A373" s="251"/>
    </row>
    <row r="374">
      <c r="A374" s="251"/>
    </row>
    <row r="375">
      <c r="A375" s="251"/>
    </row>
    <row r="376">
      <c r="A376" s="251"/>
    </row>
    <row r="377">
      <c r="A377" s="251"/>
    </row>
    <row r="378">
      <c r="A378" s="251"/>
    </row>
    <row r="379">
      <c r="A379" s="251"/>
    </row>
    <row r="380">
      <c r="A380" s="251"/>
    </row>
    <row r="381">
      <c r="A381" s="251"/>
    </row>
    <row r="382">
      <c r="A382" s="251"/>
    </row>
    <row r="383">
      <c r="A383" s="251"/>
    </row>
    <row r="384">
      <c r="A384" s="251"/>
    </row>
    <row r="385">
      <c r="A385" s="251"/>
    </row>
    <row r="386">
      <c r="A386" s="251"/>
    </row>
    <row r="387">
      <c r="A387" s="251"/>
    </row>
    <row r="388">
      <c r="A388" s="251"/>
    </row>
    <row r="389">
      <c r="A389" s="251"/>
    </row>
    <row r="390">
      <c r="A390" s="251"/>
    </row>
    <row r="391">
      <c r="A391" s="251"/>
    </row>
    <row r="392">
      <c r="A392" s="251"/>
    </row>
    <row r="393">
      <c r="A393" s="251"/>
    </row>
    <row r="394">
      <c r="A394" s="251"/>
    </row>
    <row r="395">
      <c r="A395" s="251"/>
    </row>
    <row r="396">
      <c r="A396" s="251"/>
    </row>
    <row r="397">
      <c r="A397" s="251"/>
    </row>
    <row r="398">
      <c r="A398" s="251"/>
    </row>
    <row r="399">
      <c r="A399" s="251"/>
    </row>
    <row r="400">
      <c r="A400" s="251"/>
    </row>
    <row r="401">
      <c r="A401" s="251"/>
    </row>
    <row r="402">
      <c r="A402" s="251"/>
    </row>
    <row r="403">
      <c r="A403" s="251"/>
    </row>
    <row r="404">
      <c r="A404" s="251"/>
    </row>
    <row r="405">
      <c r="A405" s="251"/>
    </row>
    <row r="406">
      <c r="A406" s="251"/>
    </row>
    <row r="407">
      <c r="A407" s="251"/>
    </row>
    <row r="408">
      <c r="A408" s="251"/>
    </row>
    <row r="409">
      <c r="A409" s="251"/>
    </row>
    <row r="410">
      <c r="A410" s="251"/>
    </row>
    <row r="411">
      <c r="A411" s="251"/>
    </row>
    <row r="412">
      <c r="A412" s="251"/>
    </row>
    <row r="413">
      <c r="A413" s="251"/>
    </row>
    <row r="414">
      <c r="A414" s="251"/>
    </row>
    <row r="415">
      <c r="A415" s="251"/>
    </row>
    <row r="416">
      <c r="A416" s="251"/>
    </row>
    <row r="417">
      <c r="A417" s="251"/>
    </row>
    <row r="418">
      <c r="A418" s="251"/>
    </row>
    <row r="419">
      <c r="A419" s="251"/>
    </row>
    <row r="420">
      <c r="A420" s="251"/>
    </row>
    <row r="421">
      <c r="A421" s="251"/>
    </row>
    <row r="422">
      <c r="A422" s="251"/>
    </row>
    <row r="423">
      <c r="A423" s="251"/>
    </row>
    <row r="424">
      <c r="A424" s="251"/>
    </row>
    <row r="425">
      <c r="A425" s="251"/>
    </row>
    <row r="426">
      <c r="A426" s="251"/>
    </row>
    <row r="427">
      <c r="A427" s="251"/>
    </row>
    <row r="428">
      <c r="A428" s="251"/>
    </row>
    <row r="429">
      <c r="A429" s="251"/>
    </row>
    <row r="430">
      <c r="A430" s="251"/>
    </row>
    <row r="431">
      <c r="A431" s="251"/>
    </row>
    <row r="432">
      <c r="A432" s="251"/>
    </row>
    <row r="433">
      <c r="A433" s="251"/>
    </row>
    <row r="434">
      <c r="A434" s="251"/>
    </row>
    <row r="435">
      <c r="A435" s="251"/>
    </row>
    <row r="436">
      <c r="A436" s="251"/>
    </row>
    <row r="437">
      <c r="A437" s="251"/>
    </row>
    <row r="438">
      <c r="A438" s="251"/>
    </row>
    <row r="439">
      <c r="A439" s="251"/>
    </row>
    <row r="440">
      <c r="A440" s="251"/>
    </row>
    <row r="441">
      <c r="A441" s="251"/>
    </row>
    <row r="442">
      <c r="A442" s="251"/>
    </row>
    <row r="443">
      <c r="A443" s="251"/>
    </row>
    <row r="444">
      <c r="A444" s="251"/>
    </row>
    <row r="445">
      <c r="A445" s="251"/>
    </row>
    <row r="446">
      <c r="A446" s="251"/>
    </row>
    <row r="447">
      <c r="A447" s="251"/>
    </row>
    <row r="448">
      <c r="A448" s="251"/>
    </row>
    <row r="449">
      <c r="A449" s="251"/>
    </row>
    <row r="450">
      <c r="A450" s="251"/>
    </row>
    <row r="451">
      <c r="A451" s="251"/>
    </row>
    <row r="452">
      <c r="A452" s="251"/>
    </row>
    <row r="453">
      <c r="A453" s="251"/>
    </row>
    <row r="454">
      <c r="A454" s="251"/>
    </row>
    <row r="455">
      <c r="A455" s="251"/>
    </row>
    <row r="456">
      <c r="A456" s="251"/>
    </row>
    <row r="457">
      <c r="A457" s="251"/>
    </row>
    <row r="458">
      <c r="A458" s="251"/>
    </row>
    <row r="459">
      <c r="A459" s="251"/>
    </row>
    <row r="460">
      <c r="A460" s="251"/>
    </row>
    <row r="461">
      <c r="A461" s="251"/>
    </row>
    <row r="462">
      <c r="A462" s="251"/>
    </row>
    <row r="463">
      <c r="A463" s="251"/>
    </row>
    <row r="464">
      <c r="A464" s="251"/>
    </row>
    <row r="465">
      <c r="A465" s="251"/>
    </row>
    <row r="466">
      <c r="A466" s="251"/>
    </row>
    <row r="467">
      <c r="A467" s="251"/>
    </row>
    <row r="468">
      <c r="A468" s="251"/>
    </row>
    <row r="469">
      <c r="A469" s="251"/>
    </row>
    <row r="470">
      <c r="A470" s="251"/>
    </row>
    <row r="471">
      <c r="A471" s="251"/>
    </row>
    <row r="472">
      <c r="A472" s="251"/>
    </row>
    <row r="473">
      <c r="A473" s="251"/>
    </row>
    <row r="474">
      <c r="A474" s="251"/>
    </row>
    <row r="475">
      <c r="A475" s="251"/>
    </row>
    <row r="476">
      <c r="A476" s="251"/>
    </row>
    <row r="477">
      <c r="A477" s="251"/>
    </row>
    <row r="478">
      <c r="A478" s="251"/>
    </row>
    <row r="479">
      <c r="A479" s="251"/>
    </row>
    <row r="480">
      <c r="A480" s="251"/>
    </row>
    <row r="481">
      <c r="A481" s="251"/>
    </row>
    <row r="482">
      <c r="A482" s="251"/>
    </row>
    <row r="483">
      <c r="A483" s="251"/>
    </row>
    <row r="484">
      <c r="A484" s="251"/>
    </row>
    <row r="485">
      <c r="A485" s="251"/>
    </row>
    <row r="486">
      <c r="A486" s="251"/>
    </row>
    <row r="487">
      <c r="A487" s="251"/>
    </row>
    <row r="488">
      <c r="A488" s="251"/>
    </row>
    <row r="489">
      <c r="A489" s="251"/>
    </row>
    <row r="490">
      <c r="A490" s="251"/>
    </row>
    <row r="491">
      <c r="A491" s="251"/>
    </row>
    <row r="492">
      <c r="A492" s="251"/>
    </row>
    <row r="493">
      <c r="A493" s="251"/>
    </row>
    <row r="494">
      <c r="A494" s="251"/>
    </row>
    <row r="495">
      <c r="A495" s="251"/>
    </row>
    <row r="496">
      <c r="A496" s="251"/>
    </row>
    <row r="497">
      <c r="A497" s="251"/>
    </row>
    <row r="498">
      <c r="A498" s="251"/>
    </row>
    <row r="499">
      <c r="A499" s="251"/>
    </row>
    <row r="500">
      <c r="A500" s="251"/>
    </row>
    <row r="501">
      <c r="A501" s="251"/>
    </row>
    <row r="502">
      <c r="A502" s="251"/>
    </row>
    <row r="503">
      <c r="A503" s="251"/>
    </row>
    <row r="504">
      <c r="A504" s="251"/>
    </row>
    <row r="505">
      <c r="A505" s="251"/>
    </row>
    <row r="506">
      <c r="A506" s="251"/>
    </row>
    <row r="507">
      <c r="A507" s="251"/>
    </row>
    <row r="508">
      <c r="A508" s="251"/>
    </row>
    <row r="509">
      <c r="A509" s="251"/>
    </row>
    <row r="510">
      <c r="A510" s="251"/>
    </row>
    <row r="511">
      <c r="A511" s="251"/>
    </row>
    <row r="512">
      <c r="A512" s="251"/>
    </row>
    <row r="513">
      <c r="A513" s="251"/>
    </row>
    <row r="514">
      <c r="A514" s="251"/>
    </row>
    <row r="515">
      <c r="A515" s="251"/>
    </row>
    <row r="516">
      <c r="A516" s="251"/>
    </row>
    <row r="517">
      <c r="A517" s="251"/>
    </row>
    <row r="518">
      <c r="A518" s="251"/>
    </row>
    <row r="519">
      <c r="A519" s="251"/>
    </row>
    <row r="520">
      <c r="A520" s="251"/>
    </row>
    <row r="521">
      <c r="A521" s="251"/>
    </row>
    <row r="522">
      <c r="A522" s="251"/>
    </row>
    <row r="523">
      <c r="A523" s="251"/>
    </row>
    <row r="524">
      <c r="A524" s="251"/>
    </row>
    <row r="525">
      <c r="A525" s="251"/>
    </row>
    <row r="526">
      <c r="A526" s="251"/>
    </row>
    <row r="527">
      <c r="A527" s="251"/>
    </row>
    <row r="528">
      <c r="A528" s="251"/>
    </row>
    <row r="529">
      <c r="A529" s="251"/>
    </row>
    <row r="530">
      <c r="A530" s="251"/>
    </row>
    <row r="531">
      <c r="A531" s="251"/>
    </row>
    <row r="532">
      <c r="A532" s="251"/>
    </row>
    <row r="533">
      <c r="A533" s="251"/>
    </row>
    <row r="534">
      <c r="A534" s="251"/>
    </row>
    <row r="535">
      <c r="A535" s="251"/>
    </row>
    <row r="536">
      <c r="A536" s="251"/>
    </row>
    <row r="537">
      <c r="A537" s="251"/>
    </row>
    <row r="538">
      <c r="A538" s="251"/>
    </row>
    <row r="539">
      <c r="A539" s="251"/>
    </row>
    <row r="540">
      <c r="A540" s="251"/>
    </row>
    <row r="541">
      <c r="A541" s="251"/>
    </row>
    <row r="542">
      <c r="A542" s="251"/>
    </row>
    <row r="543">
      <c r="A543" s="251"/>
    </row>
    <row r="544">
      <c r="A544" s="251"/>
    </row>
    <row r="545">
      <c r="A545" s="251"/>
    </row>
    <row r="546">
      <c r="A546" s="251"/>
    </row>
    <row r="547">
      <c r="A547" s="251"/>
    </row>
    <row r="548">
      <c r="A548" s="251"/>
    </row>
    <row r="549">
      <c r="A549" s="251"/>
    </row>
    <row r="550">
      <c r="A550" s="251"/>
    </row>
    <row r="551">
      <c r="A551" s="251"/>
    </row>
    <row r="552">
      <c r="A552" s="251"/>
    </row>
    <row r="553">
      <c r="A553" s="251"/>
    </row>
    <row r="554">
      <c r="A554" s="251"/>
    </row>
    <row r="555">
      <c r="A555" s="251"/>
    </row>
    <row r="556">
      <c r="A556" s="251"/>
    </row>
    <row r="557">
      <c r="A557" s="251"/>
    </row>
    <row r="558">
      <c r="A558" s="251"/>
    </row>
    <row r="559">
      <c r="A559" s="251"/>
    </row>
    <row r="560">
      <c r="A560" s="251"/>
    </row>
    <row r="561">
      <c r="A561" s="251"/>
    </row>
    <row r="562">
      <c r="A562" s="251"/>
    </row>
    <row r="563">
      <c r="A563" s="251"/>
    </row>
    <row r="564">
      <c r="A564" s="251"/>
    </row>
    <row r="565">
      <c r="A565" s="251"/>
    </row>
    <row r="566">
      <c r="A566" s="251"/>
    </row>
    <row r="567">
      <c r="A567" s="251"/>
    </row>
    <row r="568">
      <c r="A568" s="251"/>
    </row>
    <row r="569">
      <c r="A569" s="251"/>
    </row>
    <row r="570">
      <c r="A570" s="251"/>
    </row>
    <row r="571">
      <c r="A571" s="251"/>
    </row>
    <row r="572">
      <c r="A572" s="251"/>
    </row>
    <row r="573">
      <c r="A573" s="251"/>
    </row>
    <row r="574">
      <c r="A574" s="251"/>
    </row>
    <row r="575">
      <c r="A575" s="251"/>
    </row>
    <row r="576">
      <c r="A576" s="251"/>
    </row>
    <row r="577">
      <c r="A577" s="251"/>
    </row>
    <row r="578">
      <c r="A578" s="251"/>
    </row>
    <row r="579">
      <c r="A579" s="251"/>
    </row>
    <row r="580">
      <c r="A580" s="251"/>
    </row>
    <row r="581">
      <c r="A581" s="251"/>
    </row>
    <row r="582">
      <c r="A582" s="251"/>
    </row>
    <row r="583">
      <c r="A583" s="251"/>
    </row>
    <row r="584">
      <c r="A584" s="251"/>
    </row>
    <row r="585">
      <c r="A585" s="251"/>
    </row>
    <row r="586">
      <c r="A586" s="251"/>
    </row>
    <row r="587">
      <c r="A587" s="251"/>
    </row>
    <row r="588">
      <c r="A588" s="251"/>
    </row>
    <row r="589">
      <c r="A589" s="251"/>
    </row>
    <row r="590">
      <c r="A590" s="251"/>
    </row>
    <row r="591">
      <c r="A591" s="251"/>
    </row>
    <row r="592">
      <c r="A592" s="251"/>
    </row>
    <row r="593">
      <c r="A593" s="251"/>
    </row>
    <row r="594">
      <c r="A594" s="251"/>
    </row>
    <row r="595">
      <c r="A595" s="251"/>
    </row>
    <row r="596">
      <c r="A596" s="251"/>
    </row>
    <row r="597">
      <c r="A597" s="251"/>
    </row>
    <row r="598">
      <c r="A598" s="251"/>
    </row>
    <row r="599">
      <c r="A599" s="251"/>
    </row>
    <row r="600">
      <c r="A600" s="251"/>
    </row>
    <row r="601">
      <c r="A601" s="251"/>
    </row>
    <row r="602">
      <c r="A602" s="251"/>
    </row>
    <row r="603">
      <c r="A603" s="251"/>
    </row>
    <row r="604">
      <c r="A604" s="251"/>
    </row>
    <row r="605">
      <c r="A605" s="251"/>
    </row>
    <row r="606">
      <c r="A606" s="251"/>
    </row>
    <row r="607">
      <c r="A607" s="251"/>
    </row>
    <row r="608">
      <c r="A608" s="251"/>
    </row>
    <row r="609">
      <c r="A609" s="251"/>
    </row>
    <row r="610">
      <c r="A610" s="251"/>
    </row>
    <row r="611">
      <c r="A611" s="251"/>
    </row>
    <row r="612">
      <c r="A612" s="251"/>
    </row>
    <row r="613">
      <c r="A613" s="251"/>
    </row>
    <row r="614">
      <c r="A614" s="251"/>
    </row>
    <row r="615">
      <c r="A615" s="251"/>
    </row>
    <row r="616">
      <c r="A616" s="251"/>
    </row>
    <row r="617">
      <c r="A617" s="251"/>
    </row>
    <row r="618">
      <c r="A618" s="251"/>
    </row>
    <row r="619">
      <c r="A619" s="251"/>
    </row>
    <row r="620">
      <c r="A620" s="251"/>
    </row>
    <row r="621">
      <c r="A621" s="251"/>
    </row>
    <row r="622">
      <c r="A622" s="251"/>
    </row>
    <row r="623">
      <c r="A623" s="251"/>
    </row>
    <row r="624">
      <c r="A624" s="251"/>
    </row>
    <row r="625">
      <c r="A625" s="251"/>
    </row>
    <row r="626">
      <c r="A626" s="251"/>
    </row>
    <row r="627">
      <c r="A627" s="251"/>
    </row>
    <row r="628">
      <c r="A628" s="251"/>
    </row>
    <row r="629">
      <c r="A629" s="251"/>
    </row>
    <row r="630">
      <c r="A630" s="251"/>
    </row>
    <row r="631">
      <c r="A631" s="251"/>
    </row>
    <row r="632">
      <c r="A632" s="251"/>
    </row>
    <row r="633">
      <c r="A633" s="251"/>
    </row>
    <row r="634">
      <c r="A634" s="251"/>
    </row>
    <row r="635">
      <c r="A635" s="251"/>
    </row>
    <row r="636">
      <c r="A636" s="251"/>
    </row>
    <row r="637">
      <c r="A637" s="251"/>
    </row>
    <row r="638">
      <c r="A638" s="251"/>
    </row>
    <row r="639">
      <c r="A639" s="251"/>
    </row>
    <row r="640">
      <c r="A640" s="251"/>
    </row>
    <row r="641">
      <c r="A641" s="251"/>
    </row>
    <row r="642">
      <c r="A642" s="251"/>
    </row>
    <row r="643">
      <c r="A643" s="251"/>
    </row>
    <row r="644">
      <c r="A644" s="251"/>
    </row>
    <row r="645">
      <c r="A645" s="251"/>
    </row>
    <row r="646">
      <c r="A646" s="251"/>
    </row>
    <row r="647">
      <c r="A647" s="251"/>
    </row>
    <row r="648">
      <c r="A648" s="251"/>
    </row>
    <row r="649">
      <c r="A649" s="251"/>
    </row>
    <row r="650">
      <c r="A650" s="251"/>
    </row>
    <row r="651">
      <c r="A651" s="251"/>
    </row>
    <row r="652">
      <c r="A652" s="251"/>
    </row>
    <row r="653">
      <c r="A653" s="251"/>
    </row>
    <row r="654">
      <c r="A654" s="251"/>
    </row>
    <row r="655">
      <c r="A655" s="251"/>
    </row>
    <row r="656">
      <c r="A656" s="251"/>
    </row>
    <row r="657">
      <c r="A657" s="251"/>
    </row>
    <row r="658">
      <c r="A658" s="251"/>
    </row>
    <row r="659">
      <c r="A659" s="251"/>
    </row>
    <row r="660">
      <c r="A660" s="251"/>
    </row>
    <row r="661">
      <c r="A661" s="251"/>
    </row>
    <row r="662">
      <c r="A662" s="251"/>
    </row>
    <row r="663">
      <c r="A663" s="251"/>
    </row>
    <row r="664">
      <c r="A664" s="251"/>
    </row>
    <row r="665">
      <c r="A665" s="251"/>
    </row>
    <row r="666">
      <c r="A666" s="251"/>
    </row>
    <row r="667">
      <c r="A667" s="251"/>
    </row>
    <row r="668">
      <c r="A668" s="251"/>
    </row>
    <row r="669">
      <c r="A669" s="251"/>
    </row>
    <row r="670">
      <c r="A670" s="251"/>
    </row>
    <row r="671">
      <c r="A671" s="251"/>
    </row>
    <row r="672">
      <c r="A672" s="251"/>
    </row>
    <row r="673">
      <c r="A673" s="251"/>
    </row>
    <row r="674">
      <c r="A674" s="251"/>
    </row>
    <row r="675">
      <c r="A675" s="251"/>
    </row>
    <row r="676">
      <c r="A676" s="251"/>
    </row>
    <row r="677">
      <c r="A677" s="251"/>
    </row>
    <row r="678">
      <c r="A678" s="251"/>
    </row>
    <row r="679">
      <c r="A679" s="251"/>
    </row>
    <row r="680">
      <c r="A680" s="251"/>
    </row>
    <row r="681">
      <c r="A681" s="251"/>
    </row>
    <row r="682">
      <c r="A682" s="251"/>
    </row>
    <row r="683">
      <c r="A683" s="251"/>
    </row>
    <row r="684">
      <c r="A684" s="251"/>
    </row>
    <row r="685">
      <c r="A685" s="251"/>
    </row>
    <row r="686">
      <c r="A686" s="251"/>
    </row>
    <row r="687">
      <c r="A687" s="251"/>
    </row>
    <row r="688">
      <c r="A688" s="251"/>
    </row>
    <row r="689">
      <c r="A689" s="251"/>
    </row>
    <row r="690">
      <c r="A690" s="251"/>
    </row>
    <row r="691">
      <c r="A691" s="251"/>
    </row>
    <row r="692">
      <c r="A692" s="251"/>
    </row>
    <row r="693">
      <c r="A693" s="251"/>
    </row>
    <row r="694">
      <c r="A694" s="251"/>
    </row>
    <row r="695">
      <c r="A695" s="251"/>
    </row>
    <row r="696">
      <c r="A696" s="251"/>
    </row>
    <row r="697">
      <c r="A697" s="251"/>
    </row>
    <row r="698">
      <c r="A698" s="251"/>
    </row>
    <row r="699">
      <c r="A699" s="251"/>
    </row>
    <row r="700">
      <c r="A700" s="251"/>
    </row>
    <row r="701">
      <c r="A701" s="251"/>
    </row>
    <row r="702">
      <c r="A702" s="251"/>
    </row>
    <row r="703">
      <c r="A703" s="251"/>
    </row>
    <row r="704">
      <c r="A704" s="251"/>
    </row>
    <row r="705">
      <c r="A705" s="251"/>
    </row>
    <row r="706">
      <c r="A706" s="251"/>
    </row>
    <row r="707">
      <c r="A707" s="251"/>
    </row>
    <row r="708">
      <c r="A708" s="251"/>
    </row>
    <row r="709">
      <c r="A709" s="251"/>
    </row>
    <row r="710">
      <c r="A710" s="251"/>
    </row>
    <row r="711">
      <c r="A711" s="251"/>
    </row>
    <row r="712">
      <c r="A712" s="251"/>
    </row>
    <row r="713">
      <c r="A713" s="251"/>
    </row>
    <row r="714">
      <c r="A714" s="251"/>
    </row>
    <row r="715">
      <c r="A715" s="251"/>
    </row>
    <row r="716">
      <c r="A716" s="251"/>
    </row>
    <row r="717">
      <c r="A717" s="251"/>
    </row>
    <row r="718">
      <c r="A718" s="251"/>
    </row>
    <row r="719">
      <c r="A719" s="251"/>
    </row>
    <row r="720">
      <c r="A720" s="251"/>
    </row>
    <row r="721">
      <c r="A721" s="251"/>
    </row>
    <row r="722">
      <c r="A722" s="251"/>
    </row>
    <row r="723">
      <c r="A723" s="251"/>
    </row>
    <row r="724">
      <c r="A724" s="251"/>
    </row>
    <row r="725">
      <c r="A725" s="251"/>
    </row>
    <row r="726">
      <c r="A726" s="251"/>
    </row>
    <row r="727">
      <c r="A727" s="251"/>
    </row>
    <row r="728">
      <c r="A728" s="251"/>
    </row>
    <row r="729">
      <c r="A729" s="251"/>
    </row>
    <row r="730">
      <c r="A730" s="251"/>
    </row>
    <row r="731">
      <c r="A731" s="251"/>
    </row>
    <row r="732">
      <c r="A732" s="251"/>
    </row>
    <row r="733">
      <c r="A733" s="251"/>
    </row>
    <row r="734">
      <c r="A734" s="251"/>
    </row>
    <row r="735">
      <c r="A735" s="251"/>
    </row>
    <row r="736">
      <c r="A736" s="251"/>
    </row>
    <row r="737">
      <c r="A737" s="251"/>
    </row>
    <row r="738">
      <c r="A738" s="251"/>
    </row>
    <row r="739">
      <c r="A739" s="251"/>
    </row>
    <row r="740">
      <c r="A740" s="251"/>
    </row>
    <row r="741">
      <c r="A741" s="251"/>
    </row>
    <row r="742">
      <c r="A742" s="251"/>
    </row>
    <row r="743">
      <c r="A743" s="251"/>
    </row>
    <row r="744">
      <c r="A744" s="251"/>
    </row>
    <row r="745">
      <c r="A745" s="251"/>
    </row>
    <row r="746">
      <c r="A746" s="251"/>
    </row>
    <row r="747">
      <c r="A747" s="251"/>
    </row>
    <row r="748">
      <c r="A748" s="251"/>
    </row>
    <row r="749">
      <c r="A749" s="251"/>
    </row>
    <row r="750">
      <c r="A750" s="251"/>
    </row>
    <row r="751">
      <c r="A751" s="251"/>
    </row>
    <row r="752">
      <c r="A752" s="251"/>
    </row>
    <row r="753">
      <c r="A753" s="251"/>
    </row>
    <row r="754">
      <c r="A754" s="251"/>
    </row>
    <row r="755">
      <c r="A755" s="251"/>
    </row>
    <row r="756">
      <c r="A756" s="251"/>
    </row>
    <row r="757">
      <c r="A757" s="251"/>
    </row>
    <row r="758">
      <c r="A758" s="251"/>
    </row>
    <row r="759">
      <c r="A759" s="251"/>
    </row>
    <row r="760">
      <c r="A760" s="251"/>
    </row>
    <row r="761">
      <c r="A761" s="251"/>
    </row>
    <row r="762">
      <c r="A762" s="251"/>
    </row>
    <row r="763">
      <c r="A763" s="251"/>
    </row>
    <row r="764">
      <c r="A764" s="251"/>
    </row>
    <row r="765">
      <c r="A765" s="251"/>
    </row>
    <row r="766">
      <c r="A766" s="251"/>
    </row>
    <row r="767">
      <c r="A767" s="251"/>
    </row>
    <row r="768">
      <c r="A768" s="251"/>
    </row>
    <row r="769">
      <c r="A769" s="251"/>
    </row>
    <row r="770">
      <c r="A770" s="251"/>
    </row>
    <row r="771">
      <c r="A771" s="251"/>
    </row>
    <row r="772">
      <c r="A772" s="251"/>
    </row>
    <row r="773">
      <c r="A773" s="251"/>
    </row>
    <row r="774">
      <c r="A774" s="251"/>
    </row>
    <row r="775">
      <c r="A775" s="251"/>
    </row>
    <row r="776">
      <c r="A776" s="251"/>
    </row>
    <row r="777">
      <c r="A777" s="251"/>
    </row>
    <row r="778">
      <c r="A778" s="251"/>
    </row>
    <row r="779">
      <c r="A779" s="251"/>
    </row>
    <row r="780">
      <c r="A780" s="251"/>
    </row>
    <row r="781">
      <c r="A781" s="251"/>
    </row>
    <row r="782">
      <c r="A782" s="251"/>
    </row>
    <row r="783">
      <c r="A783" s="251"/>
    </row>
    <row r="784">
      <c r="A784" s="251"/>
    </row>
    <row r="785">
      <c r="A785" s="251"/>
    </row>
    <row r="786">
      <c r="A786" s="251"/>
    </row>
    <row r="787">
      <c r="A787" s="251"/>
    </row>
    <row r="788">
      <c r="A788" s="251"/>
    </row>
    <row r="789">
      <c r="A789" s="251"/>
    </row>
    <row r="790">
      <c r="A790" s="251"/>
    </row>
    <row r="791">
      <c r="A791" s="251"/>
    </row>
    <row r="792">
      <c r="A792" s="251"/>
    </row>
    <row r="793">
      <c r="A793" s="251"/>
    </row>
    <row r="794">
      <c r="A794" s="251"/>
    </row>
    <row r="795">
      <c r="A795" s="251"/>
    </row>
    <row r="796">
      <c r="A796" s="251"/>
    </row>
    <row r="797">
      <c r="A797" s="251"/>
    </row>
    <row r="798">
      <c r="A798" s="251"/>
    </row>
    <row r="799">
      <c r="A799" s="251"/>
    </row>
    <row r="800">
      <c r="A800" s="251"/>
    </row>
    <row r="801">
      <c r="A801" s="251"/>
    </row>
    <row r="802">
      <c r="A802" s="251"/>
    </row>
    <row r="803">
      <c r="A803" s="251"/>
    </row>
    <row r="804">
      <c r="A804" s="251"/>
    </row>
    <row r="805">
      <c r="A805" s="251"/>
    </row>
    <row r="806">
      <c r="A806" s="251"/>
    </row>
    <row r="807">
      <c r="A807" s="251"/>
    </row>
    <row r="808">
      <c r="A808" s="251"/>
    </row>
    <row r="809">
      <c r="A809" s="251"/>
    </row>
    <row r="810">
      <c r="A810" s="251"/>
    </row>
    <row r="811">
      <c r="A811" s="251"/>
    </row>
    <row r="812">
      <c r="A812" s="251"/>
    </row>
    <row r="813">
      <c r="A813" s="251"/>
    </row>
    <row r="814">
      <c r="A814" s="251"/>
    </row>
    <row r="815">
      <c r="A815" s="251"/>
    </row>
    <row r="816">
      <c r="A816" s="251"/>
    </row>
    <row r="817">
      <c r="A817" s="251"/>
    </row>
    <row r="818">
      <c r="A818" s="251"/>
    </row>
    <row r="819">
      <c r="A819" s="251"/>
    </row>
    <row r="820">
      <c r="A820" s="251"/>
    </row>
    <row r="821">
      <c r="A821" s="251"/>
    </row>
    <row r="822">
      <c r="A822" s="251"/>
    </row>
    <row r="823">
      <c r="A823" s="251"/>
    </row>
    <row r="824">
      <c r="A824" s="251"/>
    </row>
    <row r="825">
      <c r="A825" s="251"/>
    </row>
    <row r="826">
      <c r="A826" s="251"/>
    </row>
    <row r="827">
      <c r="A827" s="251"/>
    </row>
    <row r="828">
      <c r="A828" s="251"/>
    </row>
    <row r="829">
      <c r="A829" s="251"/>
    </row>
    <row r="830">
      <c r="A830" s="251"/>
    </row>
    <row r="831">
      <c r="A831" s="251"/>
    </row>
    <row r="832">
      <c r="A832" s="251"/>
    </row>
    <row r="833">
      <c r="A833" s="251"/>
    </row>
    <row r="834">
      <c r="A834" s="251"/>
    </row>
    <row r="835">
      <c r="A835" s="251"/>
    </row>
    <row r="836">
      <c r="A836" s="251"/>
    </row>
    <row r="837">
      <c r="A837" s="251"/>
    </row>
    <row r="838">
      <c r="A838" s="251"/>
    </row>
    <row r="839">
      <c r="A839" s="251"/>
    </row>
    <row r="840">
      <c r="A840" s="251"/>
    </row>
    <row r="841">
      <c r="A841" s="251"/>
    </row>
    <row r="842">
      <c r="A842" s="251"/>
    </row>
    <row r="843">
      <c r="A843" s="251"/>
    </row>
    <row r="844">
      <c r="A844" s="251"/>
    </row>
    <row r="845">
      <c r="A845" s="251"/>
    </row>
    <row r="846">
      <c r="A846" s="251"/>
    </row>
    <row r="847">
      <c r="A847" s="251"/>
    </row>
    <row r="848">
      <c r="A848" s="251"/>
    </row>
    <row r="849">
      <c r="A849" s="251"/>
    </row>
    <row r="850">
      <c r="A850" s="251"/>
    </row>
    <row r="851">
      <c r="A851" s="251"/>
    </row>
    <row r="852">
      <c r="A852" s="251"/>
    </row>
    <row r="853">
      <c r="A853" s="251"/>
    </row>
    <row r="854">
      <c r="A854" s="251"/>
    </row>
    <row r="855">
      <c r="A855" s="251"/>
    </row>
    <row r="856">
      <c r="A856" s="251"/>
    </row>
    <row r="857">
      <c r="A857" s="251"/>
    </row>
    <row r="858">
      <c r="A858" s="251"/>
    </row>
    <row r="859">
      <c r="A859" s="251"/>
    </row>
    <row r="860">
      <c r="A860" s="251"/>
    </row>
    <row r="861">
      <c r="A861" s="251"/>
    </row>
    <row r="862">
      <c r="A862" s="251"/>
    </row>
    <row r="863">
      <c r="A863" s="251"/>
    </row>
    <row r="864">
      <c r="A864" s="251"/>
    </row>
    <row r="865">
      <c r="A865" s="251"/>
    </row>
    <row r="866">
      <c r="A866" s="251"/>
    </row>
    <row r="867">
      <c r="A867" s="251"/>
    </row>
    <row r="868">
      <c r="A868" s="251"/>
    </row>
    <row r="869">
      <c r="A869" s="251"/>
    </row>
    <row r="870">
      <c r="A870" s="251"/>
    </row>
    <row r="871">
      <c r="A871" s="251"/>
    </row>
    <row r="872">
      <c r="A872" s="251"/>
    </row>
    <row r="873">
      <c r="A873" s="251"/>
    </row>
    <row r="874">
      <c r="A874" s="251"/>
    </row>
    <row r="875">
      <c r="A875" s="251"/>
    </row>
    <row r="876">
      <c r="A876" s="251"/>
    </row>
    <row r="877">
      <c r="A877" s="251"/>
    </row>
    <row r="878">
      <c r="A878" s="251"/>
    </row>
    <row r="879">
      <c r="A879" s="251"/>
    </row>
    <row r="880">
      <c r="A880" s="251"/>
    </row>
    <row r="881">
      <c r="A881" s="251"/>
    </row>
    <row r="882">
      <c r="A882" s="251"/>
    </row>
    <row r="883">
      <c r="A883" s="251"/>
    </row>
    <row r="884">
      <c r="A884" s="251"/>
    </row>
    <row r="885">
      <c r="A885" s="251"/>
    </row>
    <row r="886">
      <c r="A886" s="251"/>
    </row>
    <row r="887">
      <c r="A887" s="251"/>
    </row>
    <row r="888">
      <c r="A888" s="251"/>
    </row>
    <row r="889">
      <c r="A889" s="251"/>
    </row>
    <row r="890">
      <c r="A890" s="251"/>
    </row>
    <row r="891">
      <c r="A891" s="251"/>
    </row>
    <row r="892">
      <c r="A892" s="251"/>
    </row>
    <row r="893">
      <c r="A893" s="251"/>
    </row>
    <row r="894">
      <c r="A894" s="251"/>
    </row>
    <row r="895">
      <c r="A895" s="251"/>
    </row>
    <row r="896">
      <c r="A896" s="251"/>
    </row>
    <row r="897">
      <c r="A897" s="251"/>
    </row>
    <row r="898">
      <c r="A898" s="251"/>
    </row>
    <row r="899">
      <c r="A899" s="251"/>
    </row>
    <row r="900">
      <c r="A900" s="251"/>
    </row>
    <row r="901">
      <c r="A901" s="251"/>
    </row>
    <row r="902">
      <c r="A902" s="251"/>
    </row>
    <row r="903">
      <c r="A903" s="251"/>
    </row>
    <row r="904">
      <c r="A904" s="251"/>
    </row>
    <row r="905">
      <c r="A905" s="251"/>
    </row>
    <row r="906">
      <c r="A906" s="251"/>
    </row>
    <row r="907">
      <c r="A907" s="251"/>
    </row>
    <row r="908">
      <c r="A908" s="251"/>
    </row>
    <row r="909">
      <c r="A909" s="251"/>
    </row>
    <row r="910">
      <c r="A910" s="251"/>
    </row>
    <row r="911">
      <c r="A911" s="251"/>
    </row>
    <row r="912">
      <c r="A912" s="251"/>
    </row>
    <row r="913">
      <c r="A913" s="251"/>
    </row>
    <row r="914">
      <c r="A914" s="251"/>
    </row>
    <row r="915">
      <c r="A915" s="251"/>
    </row>
    <row r="916">
      <c r="A916" s="251"/>
    </row>
    <row r="917">
      <c r="A917" s="251"/>
    </row>
    <row r="918">
      <c r="A918" s="251"/>
    </row>
    <row r="919">
      <c r="A919" s="251"/>
    </row>
    <row r="920">
      <c r="A920" s="251"/>
    </row>
    <row r="921">
      <c r="A921" s="251"/>
    </row>
    <row r="922">
      <c r="A922" s="251"/>
    </row>
    <row r="923">
      <c r="A923" s="251"/>
    </row>
    <row r="924">
      <c r="A924" s="251"/>
    </row>
    <row r="925">
      <c r="A925" s="251"/>
    </row>
    <row r="926">
      <c r="A926" s="251"/>
    </row>
    <row r="927">
      <c r="A927" s="251"/>
    </row>
    <row r="928">
      <c r="A928" s="251"/>
    </row>
    <row r="929">
      <c r="A929" s="251"/>
    </row>
    <row r="930">
      <c r="A930" s="251"/>
    </row>
    <row r="931">
      <c r="A931" s="251"/>
    </row>
    <row r="932">
      <c r="A932" s="251"/>
    </row>
    <row r="933">
      <c r="A933" s="251"/>
    </row>
    <row r="934">
      <c r="A934" s="251"/>
    </row>
    <row r="935">
      <c r="A935" s="251"/>
    </row>
    <row r="936">
      <c r="A936" s="251"/>
    </row>
    <row r="937">
      <c r="A937" s="251"/>
    </row>
    <row r="938">
      <c r="A938" s="251"/>
    </row>
    <row r="939">
      <c r="A939" s="251"/>
    </row>
    <row r="940">
      <c r="A940" s="251"/>
    </row>
    <row r="941">
      <c r="A941" s="251"/>
    </row>
    <row r="942">
      <c r="A942" s="251"/>
    </row>
    <row r="943">
      <c r="A943" s="251"/>
    </row>
    <row r="944">
      <c r="A944" s="251"/>
    </row>
    <row r="945">
      <c r="A945" s="251"/>
    </row>
    <row r="946">
      <c r="A946" s="251"/>
    </row>
    <row r="947">
      <c r="A947" s="251"/>
    </row>
    <row r="948">
      <c r="A948" s="251"/>
    </row>
    <row r="949">
      <c r="A949" s="251"/>
    </row>
    <row r="950">
      <c r="A950" s="251"/>
    </row>
    <row r="951">
      <c r="A951" s="251"/>
    </row>
    <row r="952">
      <c r="A952" s="251"/>
    </row>
    <row r="953">
      <c r="A953" s="251"/>
    </row>
    <row r="954">
      <c r="A954" s="251"/>
    </row>
    <row r="955">
      <c r="A955" s="251"/>
    </row>
    <row r="956">
      <c r="A956" s="251"/>
    </row>
    <row r="957">
      <c r="A957" s="251"/>
    </row>
    <row r="958">
      <c r="A958" s="251"/>
    </row>
    <row r="959">
      <c r="A959" s="251"/>
    </row>
    <row r="960">
      <c r="A960" s="251"/>
    </row>
    <row r="961">
      <c r="A961" s="251"/>
    </row>
    <row r="962">
      <c r="A962" s="251"/>
    </row>
    <row r="963">
      <c r="A963" s="251"/>
    </row>
    <row r="964">
      <c r="A964" s="251"/>
    </row>
    <row r="965">
      <c r="A965" s="251"/>
    </row>
    <row r="966">
      <c r="A966" s="251"/>
    </row>
    <row r="967">
      <c r="A967" s="251"/>
    </row>
    <row r="968">
      <c r="A968" s="251"/>
    </row>
    <row r="969">
      <c r="A969" s="251"/>
    </row>
    <row r="970">
      <c r="A970" s="251"/>
    </row>
    <row r="971">
      <c r="A971" s="251"/>
    </row>
    <row r="972">
      <c r="A972" s="251"/>
    </row>
    <row r="973">
      <c r="A973" s="251"/>
    </row>
    <row r="974">
      <c r="A974" s="251"/>
    </row>
    <row r="975">
      <c r="A975" s="251"/>
    </row>
    <row r="976">
      <c r="A976" s="251"/>
    </row>
    <row r="977">
      <c r="A977" s="251"/>
    </row>
    <row r="978">
      <c r="A978" s="251"/>
    </row>
    <row r="979">
      <c r="A979" s="251"/>
    </row>
    <row r="980">
      <c r="A980" s="251"/>
    </row>
    <row r="981">
      <c r="A981" s="251"/>
    </row>
  </sheetData>
  <mergeCells count="2">
    <mergeCell ref="A16:G16"/>
    <mergeCell ref="A22:D2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13"/>
    <col customWidth="1" min="2" max="2" width="12.63"/>
    <col customWidth="1" min="6" max="6" width="9.63"/>
    <col customWidth="1" min="7" max="7" width="13.0"/>
    <col customWidth="1" min="8" max="8" width="7.5"/>
    <col customWidth="1" min="9" max="9" width="14.63"/>
  </cols>
  <sheetData>
    <row r="1">
      <c r="A1" s="304"/>
      <c r="B1" s="72"/>
      <c r="C1" s="72"/>
      <c r="D1" s="72"/>
      <c r="E1" s="72"/>
      <c r="F1" s="249"/>
      <c r="G1" s="72"/>
      <c r="H1" s="72"/>
      <c r="I1" s="249"/>
    </row>
    <row r="2">
      <c r="A2" s="252" t="s">
        <v>48</v>
      </c>
      <c r="B2" s="253" t="s">
        <v>195</v>
      </c>
      <c r="C2" s="253" t="s">
        <v>196</v>
      </c>
      <c r="D2" s="253" t="s">
        <v>197</v>
      </c>
      <c r="E2" s="253" t="s">
        <v>4</v>
      </c>
      <c r="F2" s="249" t="s">
        <v>5</v>
      </c>
      <c r="G2" s="249" t="s">
        <v>6</v>
      </c>
      <c r="H2" s="253" t="s">
        <v>9</v>
      </c>
      <c r="I2" s="254" t="s">
        <v>198</v>
      </c>
    </row>
    <row r="3">
      <c r="A3" s="87" t="s">
        <v>232</v>
      </c>
      <c r="B3" s="134">
        <f>'Исходные данные'!D10</f>
        <v>276</v>
      </c>
      <c r="C3" s="134">
        <f>'Исходные данные'!E23</f>
        <v>2</v>
      </c>
      <c r="D3" s="134"/>
      <c r="E3" s="70">
        <v>402810.0</v>
      </c>
      <c r="F3" s="256">
        <v>12.0</v>
      </c>
      <c r="G3" s="163">
        <f t="shared" ref="G3:G9" si="1">E3/F3</f>
        <v>33567.5</v>
      </c>
      <c r="H3" s="72"/>
      <c r="I3" s="312">
        <f t="shared" ref="I3:I5" si="2">G3/B3*C3</f>
        <v>243.2427536</v>
      </c>
    </row>
    <row r="4">
      <c r="A4" s="87" t="s">
        <v>216</v>
      </c>
      <c r="B4" s="98">
        <f>'Исходные данные'!D11</f>
        <v>214</v>
      </c>
      <c r="C4" s="134">
        <f>'Исходные данные'!F23</f>
        <v>5</v>
      </c>
      <c r="D4" s="134"/>
      <c r="E4" s="134">
        <v>480420.0</v>
      </c>
      <c r="F4" s="256">
        <v>12.0</v>
      </c>
      <c r="G4" s="163">
        <f t="shared" si="1"/>
        <v>40035</v>
      </c>
      <c r="H4" s="72"/>
      <c r="I4" s="312">
        <f t="shared" si="2"/>
        <v>935.3971963</v>
      </c>
    </row>
    <row r="5">
      <c r="A5" s="87" t="s">
        <v>233</v>
      </c>
      <c r="B5" s="98">
        <f>'Исходные данные'!E13</f>
        <v>30</v>
      </c>
      <c r="C5" s="134">
        <f>'Исходные данные'!H23</f>
        <v>1</v>
      </c>
      <c r="D5" s="134"/>
      <c r="E5" s="177">
        <v>305868.0</v>
      </c>
      <c r="F5" s="256">
        <v>12.0</v>
      </c>
      <c r="G5" s="163">
        <f t="shared" si="1"/>
        <v>25489</v>
      </c>
      <c r="H5" s="72"/>
      <c r="I5" s="312">
        <f t="shared" si="2"/>
        <v>849.6333333</v>
      </c>
    </row>
    <row r="6">
      <c r="A6" s="87" t="s">
        <v>148</v>
      </c>
      <c r="B6" s="134"/>
      <c r="C6" s="134"/>
      <c r="D6" s="134"/>
      <c r="E6" s="255">
        <v>13640.0</v>
      </c>
      <c r="F6" s="256">
        <v>12.0</v>
      </c>
      <c r="G6" s="163">
        <f t="shared" si="1"/>
        <v>1136.666667</v>
      </c>
      <c r="H6" s="249"/>
      <c r="I6" s="312">
        <f t="shared" ref="I6:I9" si="3">G6</f>
        <v>1136.666667</v>
      </c>
    </row>
    <row r="7">
      <c r="A7" s="87" t="s">
        <v>150</v>
      </c>
      <c r="B7" s="134"/>
      <c r="C7" s="134"/>
      <c r="D7" s="134"/>
      <c r="E7" s="255">
        <v>45178.0</v>
      </c>
      <c r="F7" s="256">
        <v>12.0</v>
      </c>
      <c r="G7" s="163">
        <f t="shared" si="1"/>
        <v>3764.833333</v>
      </c>
      <c r="H7" s="249"/>
      <c r="I7" s="312">
        <f t="shared" si="3"/>
        <v>3764.833333</v>
      </c>
    </row>
    <row r="8">
      <c r="A8" s="87" t="s">
        <v>149</v>
      </c>
      <c r="B8" s="134"/>
      <c r="C8" s="134"/>
      <c r="D8" s="134"/>
      <c r="E8" s="255">
        <v>0.0</v>
      </c>
      <c r="F8" s="256">
        <v>12.0</v>
      </c>
      <c r="G8" s="163">
        <f t="shared" si="1"/>
        <v>0</v>
      </c>
      <c r="H8" s="249"/>
      <c r="I8" s="312">
        <f t="shared" si="3"/>
        <v>0</v>
      </c>
    </row>
    <row r="9">
      <c r="A9" s="87" t="s">
        <v>93</v>
      </c>
      <c r="B9" s="134"/>
      <c r="C9" s="134"/>
      <c r="D9" s="134"/>
      <c r="E9" s="255">
        <v>304.0</v>
      </c>
      <c r="F9" s="256">
        <v>12.0</v>
      </c>
      <c r="G9" s="163">
        <f t="shared" si="1"/>
        <v>25.33333333</v>
      </c>
      <c r="H9" s="249"/>
      <c r="I9" s="312">
        <f t="shared" si="3"/>
        <v>25.33333333</v>
      </c>
    </row>
    <row r="10">
      <c r="A10" s="87" t="s">
        <v>256</v>
      </c>
      <c r="B10" s="134"/>
      <c r="C10" s="134"/>
      <c r="D10" s="134"/>
      <c r="E10" s="255"/>
      <c r="F10" s="256"/>
      <c r="G10" s="163"/>
      <c r="H10" s="249"/>
      <c r="I10" s="312">
        <f>D27</f>
        <v>2262.416667</v>
      </c>
    </row>
    <row r="11">
      <c r="A11" s="87" t="s">
        <v>151</v>
      </c>
      <c r="B11" s="134"/>
      <c r="C11" s="134"/>
      <c r="D11" s="134"/>
      <c r="E11" s="255">
        <v>5188.93</v>
      </c>
      <c r="F11" s="256">
        <v>12.0</v>
      </c>
      <c r="G11" s="163">
        <f>E11/F11</f>
        <v>432.4108333</v>
      </c>
      <c r="H11" s="249"/>
      <c r="I11" s="312">
        <f>G11</f>
        <v>432.4108333</v>
      </c>
    </row>
    <row r="12">
      <c r="A12" s="68" t="s">
        <v>152</v>
      </c>
      <c r="B12" s="71"/>
      <c r="C12" s="71"/>
      <c r="D12" s="71">
        <f>B17</f>
        <v>436</v>
      </c>
      <c r="E12" s="313"/>
      <c r="F12" s="249"/>
      <c r="G12" s="72"/>
      <c r="H12" s="259">
        <f>'Общие расходы ГЭ'!G16</f>
        <v>9.195626292</v>
      </c>
      <c r="I12" s="312">
        <f t="shared" ref="I12:I14" si="4">D12*H12</f>
        <v>4009.293063</v>
      </c>
    </row>
    <row r="13">
      <c r="A13" s="68" t="s">
        <v>235</v>
      </c>
      <c r="B13" s="71"/>
      <c r="C13" s="71"/>
      <c r="D13" s="71">
        <f>B17</f>
        <v>436</v>
      </c>
      <c r="E13" s="71"/>
      <c r="F13" s="249"/>
      <c r="G13" s="72"/>
      <c r="H13" s="259">
        <f>'Общие расходы г. Тюмень'!F4</f>
        <v>0.2743933235</v>
      </c>
      <c r="I13" s="312">
        <f t="shared" si="4"/>
        <v>119.635489</v>
      </c>
    </row>
    <row r="14">
      <c r="A14" s="293" t="s">
        <v>156</v>
      </c>
      <c r="B14" s="71"/>
      <c r="C14" s="71"/>
      <c r="D14" s="71">
        <f>B17</f>
        <v>436</v>
      </c>
      <c r="E14" s="71"/>
      <c r="F14" s="249"/>
      <c r="G14" s="72"/>
      <c r="H14" s="250">
        <f>'Общие расходы г. Тюмень'!F30</f>
        <v>0.7480139342</v>
      </c>
      <c r="I14" s="312">
        <f t="shared" si="4"/>
        <v>326.1340753</v>
      </c>
    </row>
    <row r="15">
      <c r="A15" s="314"/>
      <c r="B15" s="88"/>
      <c r="C15" s="88"/>
      <c r="D15" s="88"/>
      <c r="E15" s="88"/>
      <c r="F15" s="315"/>
      <c r="G15" s="89"/>
      <c r="H15" s="89"/>
      <c r="I15" s="312">
        <f>SUM(I3:I14)</f>
        <v>14104.99674</v>
      </c>
    </row>
    <row r="16">
      <c r="A16" s="251"/>
      <c r="B16" s="179"/>
      <c r="C16" s="179"/>
      <c r="D16" s="179"/>
      <c r="E16" s="255">
        <v>5188.93</v>
      </c>
      <c r="F16" s="235"/>
      <c r="G16" s="179"/>
      <c r="H16" s="179"/>
      <c r="I16" s="235"/>
    </row>
    <row r="17">
      <c r="A17" s="68" t="s">
        <v>205</v>
      </c>
      <c r="B17" s="134">
        <v>436.0</v>
      </c>
      <c r="C17" s="179"/>
      <c r="D17" s="179"/>
      <c r="E17" s="179"/>
      <c r="F17" s="235"/>
      <c r="G17" s="179"/>
      <c r="H17" s="179"/>
      <c r="I17" s="235"/>
    </row>
    <row r="18">
      <c r="A18" s="68" t="s">
        <v>206</v>
      </c>
      <c r="B18" s="134">
        <v>0.0</v>
      </c>
      <c r="C18" s="179"/>
      <c r="D18" s="179"/>
      <c r="E18" s="179"/>
      <c r="F18" s="235"/>
      <c r="G18" s="179"/>
      <c r="H18" s="179"/>
      <c r="I18" s="235"/>
    </row>
    <row r="19">
      <c r="A19" s="68" t="s">
        <v>207</v>
      </c>
      <c r="B19" s="134">
        <v>5.0</v>
      </c>
      <c r="C19" s="248"/>
      <c r="D19" s="248"/>
      <c r="E19" s="248"/>
      <c r="F19" s="69"/>
      <c r="G19" s="69"/>
      <c r="H19" s="69"/>
    </row>
    <row r="20">
      <c r="A20" s="251"/>
      <c r="B20" s="179"/>
      <c r="C20" s="179"/>
      <c r="D20" s="179"/>
      <c r="E20" s="179"/>
    </row>
    <row r="21">
      <c r="A21" s="266" t="s">
        <v>208</v>
      </c>
      <c r="B21" s="263"/>
      <c r="C21" s="263"/>
      <c r="D21" s="185"/>
      <c r="E21" s="316"/>
    </row>
    <row r="22">
      <c r="A22" s="268" t="s">
        <v>209</v>
      </c>
      <c r="B22" s="269" t="s">
        <v>210</v>
      </c>
      <c r="C22" s="93" t="s">
        <v>5</v>
      </c>
      <c r="D22" s="269" t="s">
        <v>211</v>
      </c>
      <c r="E22" s="178"/>
    </row>
    <row r="23">
      <c r="A23" s="68" t="s">
        <v>147</v>
      </c>
      <c r="B23" s="301">
        <v>16000.0</v>
      </c>
      <c r="C23" s="301">
        <v>12.0</v>
      </c>
      <c r="D23" s="301">
        <f t="shared" ref="D23:D24" si="5">B23/C23</f>
        <v>1333.333333</v>
      </c>
      <c r="E23" s="179"/>
    </row>
    <row r="24">
      <c r="A24" s="68" t="s">
        <v>257</v>
      </c>
      <c r="B24" s="134">
        <f>10000+1149</f>
        <v>11149</v>
      </c>
      <c r="C24" s="301">
        <v>12.0</v>
      </c>
      <c r="D24" s="301">
        <f t="shared" si="5"/>
        <v>929.0833333</v>
      </c>
      <c r="E24" s="179"/>
    </row>
    <row r="25">
      <c r="A25" s="305"/>
      <c r="B25" s="303"/>
      <c r="C25" s="303"/>
      <c r="D25" s="301"/>
      <c r="E25" s="179"/>
    </row>
    <row r="26">
      <c r="A26" s="68"/>
      <c r="B26" s="303"/>
      <c r="C26" s="303"/>
      <c r="D26" s="301"/>
      <c r="E26" s="179"/>
    </row>
    <row r="27">
      <c r="A27" s="304"/>
      <c r="B27" s="303"/>
      <c r="C27" s="303"/>
      <c r="D27" s="303">
        <f>SUM(D23:D26)</f>
        <v>2262.416667</v>
      </c>
    </row>
    <row r="28">
      <c r="A28" s="251"/>
    </row>
    <row r="29">
      <c r="A29" s="251"/>
    </row>
    <row r="30">
      <c r="A30" s="251"/>
    </row>
    <row r="31">
      <c r="A31" s="251"/>
    </row>
    <row r="32">
      <c r="A32" s="251"/>
    </row>
    <row r="33">
      <c r="A33" s="251"/>
    </row>
    <row r="34">
      <c r="A34" s="251"/>
    </row>
    <row r="35">
      <c r="A35" s="251"/>
    </row>
    <row r="36">
      <c r="A36" s="251"/>
    </row>
    <row r="37">
      <c r="A37" s="251"/>
    </row>
    <row r="38">
      <c r="A38" s="251"/>
    </row>
    <row r="39">
      <c r="A39" s="251"/>
    </row>
    <row r="40">
      <c r="A40" s="251"/>
    </row>
    <row r="41">
      <c r="A41" s="251"/>
    </row>
    <row r="42">
      <c r="A42" s="251"/>
    </row>
    <row r="43">
      <c r="A43" s="251"/>
    </row>
    <row r="44">
      <c r="A44" s="251"/>
    </row>
    <row r="45">
      <c r="A45" s="251"/>
    </row>
    <row r="46">
      <c r="A46" s="251"/>
    </row>
    <row r="47">
      <c r="A47" s="251"/>
    </row>
    <row r="48">
      <c r="A48" s="251"/>
    </row>
    <row r="49">
      <c r="A49" s="251"/>
    </row>
    <row r="50">
      <c r="A50" s="251"/>
    </row>
    <row r="51">
      <c r="A51" s="251"/>
    </row>
    <row r="52">
      <c r="A52" s="251"/>
    </row>
    <row r="53">
      <c r="A53" s="251"/>
    </row>
    <row r="54">
      <c r="A54" s="251"/>
    </row>
    <row r="55">
      <c r="A55" s="251"/>
    </row>
    <row r="56">
      <c r="A56" s="251"/>
    </row>
    <row r="57">
      <c r="A57" s="251"/>
    </row>
    <row r="58">
      <c r="A58" s="251"/>
    </row>
    <row r="59">
      <c r="A59" s="251"/>
    </row>
    <row r="60">
      <c r="A60" s="251"/>
    </row>
    <row r="61">
      <c r="A61" s="251"/>
    </row>
    <row r="62">
      <c r="A62" s="251"/>
    </row>
    <row r="63">
      <c r="A63" s="251"/>
    </row>
    <row r="64">
      <c r="A64" s="251"/>
    </row>
    <row r="65">
      <c r="A65" s="251"/>
    </row>
    <row r="66">
      <c r="A66" s="251"/>
    </row>
    <row r="67">
      <c r="A67" s="251"/>
    </row>
    <row r="68">
      <c r="A68" s="251"/>
    </row>
    <row r="69">
      <c r="A69" s="251"/>
    </row>
    <row r="70">
      <c r="A70" s="251"/>
    </row>
    <row r="71">
      <c r="A71" s="251"/>
    </row>
    <row r="72">
      <c r="A72" s="251"/>
    </row>
    <row r="73">
      <c r="A73" s="251"/>
    </row>
    <row r="74">
      <c r="A74" s="251"/>
    </row>
    <row r="75">
      <c r="A75" s="251"/>
    </row>
    <row r="76">
      <c r="A76" s="251"/>
    </row>
    <row r="77">
      <c r="A77" s="251"/>
    </row>
    <row r="78">
      <c r="A78" s="251"/>
    </row>
    <row r="79">
      <c r="A79" s="251"/>
    </row>
    <row r="80">
      <c r="A80" s="251"/>
    </row>
    <row r="81">
      <c r="A81" s="251"/>
    </row>
    <row r="82">
      <c r="A82" s="251"/>
    </row>
    <row r="83">
      <c r="A83" s="251"/>
    </row>
    <row r="84">
      <c r="A84" s="251"/>
    </row>
    <row r="85">
      <c r="A85" s="251"/>
    </row>
    <row r="86">
      <c r="A86" s="251"/>
    </row>
    <row r="87">
      <c r="A87" s="251"/>
    </row>
    <row r="88">
      <c r="A88" s="251"/>
    </row>
    <row r="89">
      <c r="A89" s="251"/>
    </row>
    <row r="90">
      <c r="A90" s="251"/>
    </row>
    <row r="91">
      <c r="A91" s="251"/>
    </row>
    <row r="92">
      <c r="A92" s="251"/>
    </row>
    <row r="93">
      <c r="A93" s="251"/>
    </row>
    <row r="94">
      <c r="A94" s="251"/>
    </row>
    <row r="95">
      <c r="A95" s="251"/>
    </row>
    <row r="96">
      <c r="A96" s="251"/>
    </row>
    <row r="97">
      <c r="A97" s="251"/>
    </row>
    <row r="98">
      <c r="A98" s="251"/>
    </row>
    <row r="99">
      <c r="A99" s="251"/>
    </row>
    <row r="100">
      <c r="A100" s="251"/>
    </row>
    <row r="101">
      <c r="A101" s="251"/>
    </row>
    <row r="102">
      <c r="A102" s="251"/>
    </row>
    <row r="103">
      <c r="A103" s="251"/>
    </row>
    <row r="104">
      <c r="A104" s="251"/>
    </row>
    <row r="105">
      <c r="A105" s="251"/>
    </row>
    <row r="106">
      <c r="A106" s="251"/>
    </row>
    <row r="107">
      <c r="A107" s="251"/>
    </row>
    <row r="108">
      <c r="A108" s="251"/>
    </row>
    <row r="109">
      <c r="A109" s="251"/>
    </row>
    <row r="110">
      <c r="A110" s="251"/>
    </row>
    <row r="111">
      <c r="A111" s="251"/>
    </row>
    <row r="112">
      <c r="A112" s="251"/>
    </row>
    <row r="113">
      <c r="A113" s="251"/>
    </row>
    <row r="114">
      <c r="A114" s="251"/>
    </row>
    <row r="115">
      <c r="A115" s="251"/>
    </row>
    <row r="116">
      <c r="A116" s="251"/>
    </row>
    <row r="117">
      <c r="A117" s="251"/>
    </row>
    <row r="118">
      <c r="A118" s="251"/>
    </row>
    <row r="119">
      <c r="A119" s="251"/>
    </row>
    <row r="120">
      <c r="A120" s="251"/>
    </row>
    <row r="121">
      <c r="A121" s="251"/>
    </row>
    <row r="122">
      <c r="A122" s="251"/>
    </row>
    <row r="123">
      <c r="A123" s="251"/>
    </row>
    <row r="124">
      <c r="A124" s="251"/>
    </row>
    <row r="125">
      <c r="A125" s="251"/>
    </row>
    <row r="126">
      <c r="A126" s="251"/>
    </row>
    <row r="127">
      <c r="A127" s="251"/>
    </row>
    <row r="128">
      <c r="A128" s="251"/>
    </row>
    <row r="129">
      <c r="A129" s="251"/>
    </row>
    <row r="130">
      <c r="A130" s="251"/>
    </row>
    <row r="131">
      <c r="A131" s="251"/>
    </row>
    <row r="132">
      <c r="A132" s="251"/>
    </row>
    <row r="133">
      <c r="A133" s="251"/>
    </row>
    <row r="134">
      <c r="A134" s="251"/>
    </row>
    <row r="135">
      <c r="A135" s="251"/>
    </row>
    <row r="136">
      <c r="A136" s="251"/>
    </row>
    <row r="137">
      <c r="A137" s="251"/>
    </row>
    <row r="138">
      <c r="A138" s="251"/>
    </row>
    <row r="139">
      <c r="A139" s="251"/>
    </row>
    <row r="140">
      <c r="A140" s="251"/>
    </row>
    <row r="141">
      <c r="A141" s="251"/>
    </row>
    <row r="142">
      <c r="A142" s="251"/>
    </row>
    <row r="143">
      <c r="A143" s="251"/>
    </row>
    <row r="144">
      <c r="A144" s="251"/>
    </row>
    <row r="145">
      <c r="A145" s="251"/>
    </row>
    <row r="146">
      <c r="A146" s="251"/>
    </row>
    <row r="147">
      <c r="A147" s="251"/>
    </row>
    <row r="148">
      <c r="A148" s="251"/>
    </row>
    <row r="149">
      <c r="A149" s="251"/>
    </row>
    <row r="150">
      <c r="A150" s="251"/>
    </row>
    <row r="151">
      <c r="A151" s="251"/>
    </row>
    <row r="152">
      <c r="A152" s="251"/>
    </row>
    <row r="153">
      <c r="A153" s="251"/>
    </row>
    <row r="154">
      <c r="A154" s="251"/>
    </row>
    <row r="155">
      <c r="A155" s="251"/>
    </row>
    <row r="156">
      <c r="A156" s="251"/>
    </row>
    <row r="157">
      <c r="A157" s="251"/>
    </row>
    <row r="158">
      <c r="A158" s="251"/>
    </row>
    <row r="159">
      <c r="A159" s="251"/>
    </row>
    <row r="160">
      <c r="A160" s="251"/>
    </row>
    <row r="161">
      <c r="A161" s="251"/>
    </row>
    <row r="162">
      <c r="A162" s="251"/>
    </row>
    <row r="163">
      <c r="A163" s="251"/>
    </row>
    <row r="164">
      <c r="A164" s="251"/>
    </row>
    <row r="165">
      <c r="A165" s="251"/>
    </row>
    <row r="166">
      <c r="A166" s="251"/>
    </row>
    <row r="167">
      <c r="A167" s="251"/>
    </row>
    <row r="168">
      <c r="A168" s="251"/>
    </row>
    <row r="169">
      <c r="A169" s="251"/>
    </row>
    <row r="170">
      <c r="A170" s="251"/>
    </row>
    <row r="171">
      <c r="A171" s="251"/>
    </row>
    <row r="172">
      <c r="A172" s="251"/>
    </row>
    <row r="173">
      <c r="A173" s="251"/>
    </row>
    <row r="174">
      <c r="A174" s="251"/>
    </row>
    <row r="175">
      <c r="A175" s="251"/>
    </row>
    <row r="176">
      <c r="A176" s="251"/>
    </row>
    <row r="177">
      <c r="A177" s="251"/>
    </row>
    <row r="178">
      <c r="A178" s="251"/>
    </row>
    <row r="179">
      <c r="A179" s="251"/>
    </row>
    <row r="180">
      <c r="A180" s="251"/>
    </row>
    <row r="181">
      <c r="A181" s="251"/>
    </row>
    <row r="182">
      <c r="A182" s="251"/>
    </row>
    <row r="183">
      <c r="A183" s="251"/>
    </row>
    <row r="184">
      <c r="A184" s="251"/>
    </row>
    <row r="185">
      <c r="A185" s="251"/>
    </row>
    <row r="186">
      <c r="A186" s="251"/>
    </row>
    <row r="187">
      <c r="A187" s="251"/>
    </row>
    <row r="188">
      <c r="A188" s="251"/>
    </row>
    <row r="189">
      <c r="A189" s="251"/>
    </row>
    <row r="190">
      <c r="A190" s="251"/>
    </row>
    <row r="191">
      <c r="A191" s="251"/>
    </row>
    <row r="192">
      <c r="A192" s="251"/>
    </row>
    <row r="193">
      <c r="A193" s="251"/>
    </row>
    <row r="194">
      <c r="A194" s="251"/>
    </row>
    <row r="195">
      <c r="A195" s="251"/>
    </row>
    <row r="196">
      <c r="A196" s="251"/>
    </row>
    <row r="197">
      <c r="A197" s="251"/>
    </row>
    <row r="198">
      <c r="A198" s="251"/>
    </row>
    <row r="199">
      <c r="A199" s="251"/>
    </row>
    <row r="200">
      <c r="A200" s="251"/>
    </row>
    <row r="201">
      <c r="A201" s="251"/>
    </row>
    <row r="202">
      <c r="A202" s="251"/>
    </row>
    <row r="203">
      <c r="A203" s="251"/>
    </row>
    <row r="204">
      <c r="A204" s="251"/>
    </row>
    <row r="205">
      <c r="A205" s="251"/>
    </row>
    <row r="206">
      <c r="A206" s="251"/>
    </row>
    <row r="207">
      <c r="A207" s="251"/>
    </row>
    <row r="208">
      <c r="A208" s="251"/>
    </row>
    <row r="209">
      <c r="A209" s="251"/>
    </row>
    <row r="210">
      <c r="A210" s="251"/>
    </row>
    <row r="211">
      <c r="A211" s="251"/>
    </row>
    <row r="212">
      <c r="A212" s="251"/>
    </row>
    <row r="213">
      <c r="A213" s="251"/>
    </row>
    <row r="214">
      <c r="A214" s="251"/>
    </row>
    <row r="215">
      <c r="A215" s="251"/>
    </row>
    <row r="216">
      <c r="A216" s="251"/>
    </row>
    <row r="217">
      <c r="A217" s="251"/>
    </row>
    <row r="218">
      <c r="A218" s="251"/>
    </row>
    <row r="219">
      <c r="A219" s="251"/>
    </row>
    <row r="220">
      <c r="A220" s="251"/>
    </row>
    <row r="221">
      <c r="A221" s="251"/>
    </row>
    <row r="222">
      <c r="A222" s="251"/>
    </row>
    <row r="223">
      <c r="A223" s="251"/>
    </row>
    <row r="224">
      <c r="A224" s="251"/>
    </row>
    <row r="225">
      <c r="A225" s="251"/>
    </row>
    <row r="226">
      <c r="A226" s="251"/>
    </row>
    <row r="227">
      <c r="A227" s="251"/>
    </row>
    <row r="228">
      <c r="A228" s="251"/>
    </row>
    <row r="229">
      <c r="A229" s="251"/>
    </row>
    <row r="230">
      <c r="A230" s="251"/>
    </row>
    <row r="231">
      <c r="A231" s="251"/>
    </row>
    <row r="232">
      <c r="A232" s="251"/>
    </row>
    <row r="233">
      <c r="A233" s="251"/>
    </row>
    <row r="234">
      <c r="A234" s="251"/>
    </row>
    <row r="235">
      <c r="A235" s="251"/>
    </row>
    <row r="236">
      <c r="A236" s="251"/>
    </row>
    <row r="237">
      <c r="A237" s="251"/>
    </row>
    <row r="238">
      <c r="A238" s="251"/>
    </row>
    <row r="239">
      <c r="A239" s="251"/>
    </row>
    <row r="240">
      <c r="A240" s="251"/>
    </row>
    <row r="241">
      <c r="A241" s="251"/>
    </row>
    <row r="242">
      <c r="A242" s="251"/>
    </row>
    <row r="243">
      <c r="A243" s="251"/>
    </row>
    <row r="244">
      <c r="A244" s="251"/>
    </row>
    <row r="245">
      <c r="A245" s="251"/>
    </row>
    <row r="246">
      <c r="A246" s="251"/>
    </row>
    <row r="247">
      <c r="A247" s="251"/>
    </row>
    <row r="248">
      <c r="A248" s="251"/>
    </row>
    <row r="249">
      <c r="A249" s="251"/>
    </row>
    <row r="250">
      <c r="A250" s="251"/>
    </row>
    <row r="251">
      <c r="A251" s="251"/>
    </row>
    <row r="252">
      <c r="A252" s="251"/>
    </row>
    <row r="253">
      <c r="A253" s="251"/>
    </row>
    <row r="254">
      <c r="A254" s="251"/>
    </row>
    <row r="255">
      <c r="A255" s="251"/>
    </row>
    <row r="256">
      <c r="A256" s="251"/>
    </row>
    <row r="257">
      <c r="A257" s="251"/>
    </row>
    <row r="258">
      <c r="A258" s="251"/>
    </row>
    <row r="259">
      <c r="A259" s="251"/>
    </row>
    <row r="260">
      <c r="A260" s="251"/>
    </row>
    <row r="261">
      <c r="A261" s="251"/>
    </row>
    <row r="262">
      <c r="A262" s="251"/>
    </row>
    <row r="263">
      <c r="A263" s="251"/>
    </row>
    <row r="264">
      <c r="A264" s="251"/>
    </row>
    <row r="265">
      <c r="A265" s="251"/>
    </row>
    <row r="266">
      <c r="A266" s="251"/>
    </row>
    <row r="267">
      <c r="A267" s="251"/>
    </row>
    <row r="268">
      <c r="A268" s="251"/>
    </row>
    <row r="269">
      <c r="A269" s="251"/>
    </row>
    <row r="270">
      <c r="A270" s="251"/>
    </row>
    <row r="271">
      <c r="A271" s="251"/>
    </row>
    <row r="272">
      <c r="A272" s="251"/>
    </row>
    <row r="273">
      <c r="A273" s="251"/>
    </row>
    <row r="274">
      <c r="A274" s="251"/>
    </row>
    <row r="275">
      <c r="A275" s="251"/>
    </row>
    <row r="276">
      <c r="A276" s="251"/>
    </row>
    <row r="277">
      <c r="A277" s="251"/>
    </row>
    <row r="278">
      <c r="A278" s="251"/>
    </row>
    <row r="279">
      <c r="A279" s="251"/>
    </row>
    <row r="280">
      <c r="A280" s="251"/>
    </row>
    <row r="281">
      <c r="A281" s="251"/>
    </row>
    <row r="282">
      <c r="A282" s="251"/>
    </row>
    <row r="283">
      <c r="A283" s="251"/>
    </row>
    <row r="284">
      <c r="A284" s="251"/>
    </row>
    <row r="285">
      <c r="A285" s="251"/>
    </row>
    <row r="286">
      <c r="A286" s="251"/>
    </row>
    <row r="287">
      <c r="A287" s="251"/>
    </row>
    <row r="288">
      <c r="A288" s="251"/>
    </row>
    <row r="289">
      <c r="A289" s="251"/>
    </row>
    <row r="290">
      <c r="A290" s="251"/>
    </row>
    <row r="291">
      <c r="A291" s="251"/>
    </row>
    <row r="292">
      <c r="A292" s="251"/>
    </row>
    <row r="293">
      <c r="A293" s="251"/>
    </row>
    <row r="294">
      <c r="A294" s="251"/>
    </row>
    <row r="295">
      <c r="A295" s="251"/>
    </row>
    <row r="296">
      <c r="A296" s="251"/>
    </row>
    <row r="297">
      <c r="A297" s="251"/>
    </row>
    <row r="298">
      <c r="A298" s="251"/>
    </row>
    <row r="299">
      <c r="A299" s="251"/>
    </row>
    <row r="300">
      <c r="A300" s="251"/>
    </row>
    <row r="301">
      <c r="A301" s="251"/>
    </row>
    <row r="302">
      <c r="A302" s="251"/>
    </row>
    <row r="303">
      <c r="A303" s="251"/>
    </row>
    <row r="304">
      <c r="A304" s="251"/>
    </row>
    <row r="305">
      <c r="A305" s="251"/>
    </row>
    <row r="306">
      <c r="A306" s="251"/>
    </row>
    <row r="307">
      <c r="A307" s="251"/>
    </row>
    <row r="308">
      <c r="A308" s="251"/>
    </row>
    <row r="309">
      <c r="A309" s="251"/>
    </row>
    <row r="310">
      <c r="A310" s="251"/>
    </row>
    <row r="311">
      <c r="A311" s="251"/>
    </row>
    <row r="312">
      <c r="A312" s="251"/>
    </row>
    <row r="313">
      <c r="A313" s="251"/>
    </row>
    <row r="314">
      <c r="A314" s="251"/>
    </row>
    <row r="315">
      <c r="A315" s="251"/>
    </row>
    <row r="316">
      <c r="A316" s="251"/>
    </row>
    <row r="317">
      <c r="A317" s="251"/>
    </row>
    <row r="318">
      <c r="A318" s="251"/>
    </row>
    <row r="319">
      <c r="A319" s="251"/>
    </row>
    <row r="320">
      <c r="A320" s="251"/>
    </row>
    <row r="321">
      <c r="A321" s="251"/>
    </row>
    <row r="322">
      <c r="A322" s="251"/>
    </row>
    <row r="323">
      <c r="A323" s="251"/>
    </row>
    <row r="324">
      <c r="A324" s="251"/>
    </row>
    <row r="325">
      <c r="A325" s="251"/>
    </row>
    <row r="326">
      <c r="A326" s="251"/>
    </row>
    <row r="327">
      <c r="A327" s="251"/>
    </row>
    <row r="328">
      <c r="A328" s="251"/>
    </row>
    <row r="329">
      <c r="A329" s="251"/>
    </row>
    <row r="330">
      <c r="A330" s="251"/>
    </row>
    <row r="331">
      <c r="A331" s="251"/>
    </row>
    <row r="332">
      <c r="A332" s="251"/>
    </row>
    <row r="333">
      <c r="A333" s="251"/>
    </row>
    <row r="334">
      <c r="A334" s="251"/>
    </row>
    <row r="335">
      <c r="A335" s="251"/>
    </row>
    <row r="336">
      <c r="A336" s="251"/>
    </row>
    <row r="337">
      <c r="A337" s="251"/>
    </row>
    <row r="338">
      <c r="A338" s="251"/>
    </row>
    <row r="339">
      <c r="A339" s="251"/>
    </row>
    <row r="340">
      <c r="A340" s="251"/>
    </row>
    <row r="341">
      <c r="A341" s="251"/>
    </row>
    <row r="342">
      <c r="A342" s="251"/>
    </row>
    <row r="343">
      <c r="A343" s="251"/>
    </row>
    <row r="344">
      <c r="A344" s="251"/>
    </row>
    <row r="345">
      <c r="A345" s="251"/>
    </row>
    <row r="346">
      <c r="A346" s="251"/>
    </row>
    <row r="347">
      <c r="A347" s="251"/>
    </row>
    <row r="348">
      <c r="A348" s="251"/>
    </row>
    <row r="349">
      <c r="A349" s="251"/>
    </row>
    <row r="350">
      <c r="A350" s="251"/>
    </row>
    <row r="351">
      <c r="A351" s="251"/>
    </row>
    <row r="352">
      <c r="A352" s="251"/>
    </row>
    <row r="353">
      <c r="A353" s="251"/>
    </row>
    <row r="354">
      <c r="A354" s="251"/>
    </row>
    <row r="355">
      <c r="A355" s="251"/>
    </row>
    <row r="356">
      <c r="A356" s="251"/>
    </row>
    <row r="357">
      <c r="A357" s="251"/>
    </row>
    <row r="358">
      <c r="A358" s="251"/>
    </row>
    <row r="359">
      <c r="A359" s="251"/>
    </row>
    <row r="360">
      <c r="A360" s="251"/>
    </row>
    <row r="361">
      <c r="A361" s="251"/>
    </row>
    <row r="362">
      <c r="A362" s="251"/>
    </row>
    <row r="363">
      <c r="A363" s="251"/>
    </row>
    <row r="364">
      <c r="A364" s="251"/>
    </row>
    <row r="365">
      <c r="A365" s="251"/>
    </row>
    <row r="366">
      <c r="A366" s="251"/>
    </row>
    <row r="367">
      <c r="A367" s="251"/>
    </row>
    <row r="368">
      <c r="A368" s="251"/>
    </row>
    <row r="369">
      <c r="A369" s="251"/>
    </row>
    <row r="370">
      <c r="A370" s="251"/>
    </row>
    <row r="371">
      <c r="A371" s="251"/>
    </row>
    <row r="372">
      <c r="A372" s="251"/>
    </row>
    <row r="373">
      <c r="A373" s="251"/>
    </row>
    <row r="374">
      <c r="A374" s="251"/>
    </row>
    <row r="375">
      <c r="A375" s="251"/>
    </row>
    <row r="376">
      <c r="A376" s="251"/>
    </row>
    <row r="377">
      <c r="A377" s="251"/>
    </row>
    <row r="378">
      <c r="A378" s="251"/>
    </row>
    <row r="379">
      <c r="A379" s="251"/>
    </row>
    <row r="380">
      <c r="A380" s="251"/>
    </row>
    <row r="381">
      <c r="A381" s="251"/>
    </row>
    <row r="382">
      <c r="A382" s="251"/>
    </row>
    <row r="383">
      <c r="A383" s="251"/>
    </row>
    <row r="384">
      <c r="A384" s="251"/>
    </row>
    <row r="385">
      <c r="A385" s="251"/>
    </row>
    <row r="386">
      <c r="A386" s="251"/>
    </row>
    <row r="387">
      <c r="A387" s="251"/>
    </row>
    <row r="388">
      <c r="A388" s="251"/>
    </row>
    <row r="389">
      <c r="A389" s="251"/>
    </row>
    <row r="390">
      <c r="A390" s="251"/>
    </row>
    <row r="391">
      <c r="A391" s="251"/>
    </row>
    <row r="392">
      <c r="A392" s="251"/>
    </row>
    <row r="393">
      <c r="A393" s="251"/>
    </row>
    <row r="394">
      <c r="A394" s="251"/>
    </row>
    <row r="395">
      <c r="A395" s="251"/>
    </row>
    <row r="396">
      <c r="A396" s="251"/>
    </row>
    <row r="397">
      <c r="A397" s="251"/>
    </row>
    <row r="398">
      <c r="A398" s="251"/>
    </row>
    <row r="399">
      <c r="A399" s="251"/>
    </row>
    <row r="400">
      <c r="A400" s="251"/>
    </row>
    <row r="401">
      <c r="A401" s="251"/>
    </row>
    <row r="402">
      <c r="A402" s="251"/>
    </row>
    <row r="403">
      <c r="A403" s="251"/>
    </row>
    <row r="404">
      <c r="A404" s="251"/>
    </row>
    <row r="405">
      <c r="A405" s="251"/>
    </row>
    <row r="406">
      <c r="A406" s="251"/>
    </row>
    <row r="407">
      <c r="A407" s="251"/>
    </row>
    <row r="408">
      <c r="A408" s="251"/>
    </row>
    <row r="409">
      <c r="A409" s="251"/>
    </row>
    <row r="410">
      <c r="A410" s="251"/>
    </row>
    <row r="411">
      <c r="A411" s="251"/>
    </row>
    <row r="412">
      <c r="A412" s="251"/>
    </row>
    <row r="413">
      <c r="A413" s="251"/>
    </row>
    <row r="414">
      <c r="A414" s="251"/>
    </row>
    <row r="415">
      <c r="A415" s="251"/>
    </row>
    <row r="416">
      <c r="A416" s="251"/>
    </row>
    <row r="417">
      <c r="A417" s="251"/>
    </row>
    <row r="418">
      <c r="A418" s="251"/>
    </row>
    <row r="419">
      <c r="A419" s="251"/>
    </row>
    <row r="420">
      <c r="A420" s="251"/>
    </row>
    <row r="421">
      <c r="A421" s="251"/>
    </row>
    <row r="422">
      <c r="A422" s="251"/>
    </row>
    <row r="423">
      <c r="A423" s="251"/>
    </row>
    <row r="424">
      <c r="A424" s="251"/>
    </row>
    <row r="425">
      <c r="A425" s="251"/>
    </row>
    <row r="426">
      <c r="A426" s="251"/>
    </row>
    <row r="427">
      <c r="A427" s="251"/>
    </row>
    <row r="428">
      <c r="A428" s="251"/>
    </row>
    <row r="429">
      <c r="A429" s="251"/>
    </row>
    <row r="430">
      <c r="A430" s="251"/>
    </row>
    <row r="431">
      <c r="A431" s="251"/>
    </row>
    <row r="432">
      <c r="A432" s="251"/>
    </row>
    <row r="433">
      <c r="A433" s="251"/>
    </row>
    <row r="434">
      <c r="A434" s="251"/>
    </row>
    <row r="435">
      <c r="A435" s="251"/>
    </row>
    <row r="436">
      <c r="A436" s="251"/>
    </row>
    <row r="437">
      <c r="A437" s="251"/>
    </row>
    <row r="438">
      <c r="A438" s="251"/>
    </row>
    <row r="439">
      <c r="A439" s="251"/>
    </row>
    <row r="440">
      <c r="A440" s="251"/>
    </row>
    <row r="441">
      <c r="A441" s="251"/>
    </row>
    <row r="442">
      <c r="A442" s="251"/>
    </row>
    <row r="443">
      <c r="A443" s="251"/>
    </row>
    <row r="444">
      <c r="A444" s="251"/>
    </row>
    <row r="445">
      <c r="A445" s="251"/>
    </row>
    <row r="446">
      <c r="A446" s="251"/>
    </row>
    <row r="447">
      <c r="A447" s="251"/>
    </row>
    <row r="448">
      <c r="A448" s="251"/>
    </row>
    <row r="449">
      <c r="A449" s="251"/>
    </row>
    <row r="450">
      <c r="A450" s="251"/>
    </row>
    <row r="451">
      <c r="A451" s="251"/>
    </row>
    <row r="452">
      <c r="A452" s="251"/>
    </row>
    <row r="453">
      <c r="A453" s="251"/>
    </row>
    <row r="454">
      <c r="A454" s="251"/>
    </row>
    <row r="455">
      <c r="A455" s="251"/>
    </row>
    <row r="456">
      <c r="A456" s="251"/>
    </row>
    <row r="457">
      <c r="A457" s="251"/>
    </row>
    <row r="458">
      <c r="A458" s="251"/>
    </row>
    <row r="459">
      <c r="A459" s="251"/>
    </row>
    <row r="460">
      <c r="A460" s="251"/>
    </row>
    <row r="461">
      <c r="A461" s="251"/>
    </row>
    <row r="462">
      <c r="A462" s="251"/>
    </row>
    <row r="463">
      <c r="A463" s="251"/>
    </row>
    <row r="464">
      <c r="A464" s="251"/>
    </row>
    <row r="465">
      <c r="A465" s="251"/>
    </row>
    <row r="466">
      <c r="A466" s="251"/>
    </row>
    <row r="467">
      <c r="A467" s="251"/>
    </row>
    <row r="468">
      <c r="A468" s="251"/>
    </row>
    <row r="469">
      <c r="A469" s="251"/>
    </row>
    <row r="470">
      <c r="A470" s="251"/>
    </row>
    <row r="471">
      <c r="A471" s="251"/>
    </row>
    <row r="472">
      <c r="A472" s="251"/>
    </row>
    <row r="473">
      <c r="A473" s="251"/>
    </row>
    <row r="474">
      <c r="A474" s="251"/>
    </row>
    <row r="475">
      <c r="A475" s="251"/>
    </row>
    <row r="476">
      <c r="A476" s="251"/>
    </row>
    <row r="477">
      <c r="A477" s="251"/>
    </row>
    <row r="478">
      <c r="A478" s="251"/>
    </row>
    <row r="479">
      <c r="A479" s="251"/>
    </row>
    <row r="480">
      <c r="A480" s="251"/>
    </row>
    <row r="481">
      <c r="A481" s="251"/>
    </row>
    <row r="482">
      <c r="A482" s="251"/>
    </row>
    <row r="483">
      <c r="A483" s="251"/>
    </row>
    <row r="484">
      <c r="A484" s="251"/>
    </row>
    <row r="485">
      <c r="A485" s="251"/>
    </row>
    <row r="486">
      <c r="A486" s="251"/>
    </row>
    <row r="487">
      <c r="A487" s="251"/>
    </row>
    <row r="488">
      <c r="A488" s="251"/>
    </row>
    <row r="489">
      <c r="A489" s="251"/>
    </row>
    <row r="490">
      <c r="A490" s="251"/>
    </row>
    <row r="491">
      <c r="A491" s="251"/>
    </row>
    <row r="492">
      <c r="A492" s="251"/>
    </row>
    <row r="493">
      <c r="A493" s="251"/>
    </row>
    <row r="494">
      <c r="A494" s="251"/>
    </row>
    <row r="495">
      <c r="A495" s="251"/>
    </row>
    <row r="496">
      <c r="A496" s="251"/>
    </row>
    <row r="497">
      <c r="A497" s="251"/>
    </row>
    <row r="498">
      <c r="A498" s="251"/>
    </row>
    <row r="499">
      <c r="A499" s="251"/>
    </row>
    <row r="500">
      <c r="A500" s="251"/>
    </row>
    <row r="501">
      <c r="A501" s="251"/>
    </row>
    <row r="502">
      <c r="A502" s="251"/>
    </row>
    <row r="503">
      <c r="A503" s="251"/>
    </row>
    <row r="504">
      <c r="A504" s="251"/>
    </row>
    <row r="505">
      <c r="A505" s="251"/>
    </row>
    <row r="506">
      <c r="A506" s="251"/>
    </row>
    <row r="507">
      <c r="A507" s="251"/>
    </row>
    <row r="508">
      <c r="A508" s="251"/>
    </row>
    <row r="509">
      <c r="A509" s="251"/>
    </row>
    <row r="510">
      <c r="A510" s="251"/>
    </row>
    <row r="511">
      <c r="A511" s="251"/>
    </row>
    <row r="512">
      <c r="A512" s="251"/>
    </row>
    <row r="513">
      <c r="A513" s="251"/>
    </row>
    <row r="514">
      <c r="A514" s="251"/>
    </row>
    <row r="515">
      <c r="A515" s="251"/>
    </row>
    <row r="516">
      <c r="A516" s="251"/>
    </row>
    <row r="517">
      <c r="A517" s="251"/>
    </row>
    <row r="518">
      <c r="A518" s="251"/>
    </row>
    <row r="519">
      <c r="A519" s="251"/>
    </row>
    <row r="520">
      <c r="A520" s="251"/>
    </row>
    <row r="521">
      <c r="A521" s="251"/>
    </row>
    <row r="522">
      <c r="A522" s="251"/>
    </row>
    <row r="523">
      <c r="A523" s="251"/>
    </row>
    <row r="524">
      <c r="A524" s="251"/>
    </row>
    <row r="525">
      <c r="A525" s="251"/>
    </row>
    <row r="526">
      <c r="A526" s="251"/>
    </row>
    <row r="527">
      <c r="A527" s="251"/>
    </row>
    <row r="528">
      <c r="A528" s="251"/>
    </row>
    <row r="529">
      <c r="A529" s="251"/>
    </row>
    <row r="530">
      <c r="A530" s="251"/>
    </row>
    <row r="531">
      <c r="A531" s="251"/>
    </row>
    <row r="532">
      <c r="A532" s="251"/>
    </row>
    <row r="533">
      <c r="A533" s="251"/>
    </row>
    <row r="534">
      <c r="A534" s="251"/>
    </row>
    <row r="535">
      <c r="A535" s="251"/>
    </row>
    <row r="536">
      <c r="A536" s="251"/>
    </row>
    <row r="537">
      <c r="A537" s="251"/>
    </row>
    <row r="538">
      <c r="A538" s="251"/>
    </row>
    <row r="539">
      <c r="A539" s="251"/>
    </row>
    <row r="540">
      <c r="A540" s="251"/>
    </row>
    <row r="541">
      <c r="A541" s="251"/>
    </row>
    <row r="542">
      <c r="A542" s="251"/>
    </row>
    <row r="543">
      <c r="A543" s="251"/>
    </row>
    <row r="544">
      <c r="A544" s="251"/>
    </row>
    <row r="545">
      <c r="A545" s="251"/>
    </row>
    <row r="546">
      <c r="A546" s="251"/>
    </row>
    <row r="547">
      <c r="A547" s="251"/>
    </row>
    <row r="548">
      <c r="A548" s="251"/>
    </row>
    <row r="549">
      <c r="A549" s="251"/>
    </row>
    <row r="550">
      <c r="A550" s="251"/>
    </row>
    <row r="551">
      <c r="A551" s="251"/>
    </row>
    <row r="552">
      <c r="A552" s="251"/>
    </row>
    <row r="553">
      <c r="A553" s="251"/>
    </row>
    <row r="554">
      <c r="A554" s="251"/>
    </row>
    <row r="555">
      <c r="A555" s="251"/>
    </row>
    <row r="556">
      <c r="A556" s="251"/>
    </row>
    <row r="557">
      <c r="A557" s="251"/>
    </row>
    <row r="558">
      <c r="A558" s="251"/>
    </row>
    <row r="559">
      <c r="A559" s="251"/>
    </row>
    <row r="560">
      <c r="A560" s="251"/>
    </row>
    <row r="561">
      <c r="A561" s="251"/>
    </row>
    <row r="562">
      <c r="A562" s="251"/>
    </row>
    <row r="563">
      <c r="A563" s="251"/>
    </row>
    <row r="564">
      <c r="A564" s="251"/>
    </row>
    <row r="565">
      <c r="A565" s="251"/>
    </row>
    <row r="566">
      <c r="A566" s="251"/>
    </row>
    <row r="567">
      <c r="A567" s="251"/>
    </row>
    <row r="568">
      <c r="A568" s="251"/>
    </row>
    <row r="569">
      <c r="A569" s="251"/>
    </row>
    <row r="570">
      <c r="A570" s="251"/>
    </row>
    <row r="571">
      <c r="A571" s="251"/>
    </row>
    <row r="572">
      <c r="A572" s="251"/>
    </row>
    <row r="573">
      <c r="A573" s="251"/>
    </row>
    <row r="574">
      <c r="A574" s="251"/>
    </row>
    <row r="575">
      <c r="A575" s="251"/>
    </row>
    <row r="576">
      <c r="A576" s="251"/>
    </row>
    <row r="577">
      <c r="A577" s="251"/>
    </row>
    <row r="578">
      <c r="A578" s="251"/>
    </row>
    <row r="579">
      <c r="A579" s="251"/>
    </row>
    <row r="580">
      <c r="A580" s="251"/>
    </row>
    <row r="581">
      <c r="A581" s="251"/>
    </row>
    <row r="582">
      <c r="A582" s="251"/>
    </row>
    <row r="583">
      <c r="A583" s="251"/>
    </row>
    <row r="584">
      <c r="A584" s="251"/>
    </row>
    <row r="585">
      <c r="A585" s="251"/>
    </row>
    <row r="586">
      <c r="A586" s="251"/>
    </row>
    <row r="587">
      <c r="A587" s="251"/>
    </row>
    <row r="588">
      <c r="A588" s="251"/>
    </row>
    <row r="589">
      <c r="A589" s="251"/>
    </row>
    <row r="590">
      <c r="A590" s="251"/>
    </row>
    <row r="591">
      <c r="A591" s="251"/>
    </row>
    <row r="592">
      <c r="A592" s="251"/>
    </row>
    <row r="593">
      <c r="A593" s="251"/>
    </row>
    <row r="594">
      <c r="A594" s="251"/>
    </row>
    <row r="595">
      <c r="A595" s="251"/>
    </row>
    <row r="596">
      <c r="A596" s="251"/>
    </row>
    <row r="597">
      <c r="A597" s="251"/>
    </row>
    <row r="598">
      <c r="A598" s="251"/>
    </row>
    <row r="599">
      <c r="A599" s="251"/>
    </row>
    <row r="600">
      <c r="A600" s="251"/>
    </row>
    <row r="601">
      <c r="A601" s="251"/>
    </row>
    <row r="602">
      <c r="A602" s="251"/>
    </row>
    <row r="603">
      <c r="A603" s="251"/>
    </row>
    <row r="604">
      <c r="A604" s="251"/>
    </row>
    <row r="605">
      <c r="A605" s="251"/>
    </row>
    <row r="606">
      <c r="A606" s="251"/>
    </row>
    <row r="607">
      <c r="A607" s="251"/>
    </row>
    <row r="608">
      <c r="A608" s="251"/>
    </row>
    <row r="609">
      <c r="A609" s="251"/>
    </row>
    <row r="610">
      <c r="A610" s="251"/>
    </row>
    <row r="611">
      <c r="A611" s="251"/>
    </row>
    <row r="612">
      <c r="A612" s="251"/>
    </row>
    <row r="613">
      <c r="A613" s="251"/>
    </row>
    <row r="614">
      <c r="A614" s="251"/>
    </row>
    <row r="615">
      <c r="A615" s="251"/>
    </row>
    <row r="616">
      <c r="A616" s="251"/>
    </row>
    <row r="617">
      <c r="A617" s="251"/>
    </row>
    <row r="618">
      <c r="A618" s="251"/>
    </row>
    <row r="619">
      <c r="A619" s="251"/>
    </row>
    <row r="620">
      <c r="A620" s="251"/>
    </row>
    <row r="621">
      <c r="A621" s="251"/>
    </row>
    <row r="622">
      <c r="A622" s="251"/>
    </row>
    <row r="623">
      <c r="A623" s="251"/>
    </row>
    <row r="624">
      <c r="A624" s="251"/>
    </row>
    <row r="625">
      <c r="A625" s="251"/>
    </row>
    <row r="626">
      <c r="A626" s="251"/>
    </row>
    <row r="627">
      <c r="A627" s="251"/>
    </row>
    <row r="628">
      <c r="A628" s="251"/>
    </row>
    <row r="629">
      <c r="A629" s="251"/>
    </row>
    <row r="630">
      <c r="A630" s="251"/>
    </row>
    <row r="631">
      <c r="A631" s="251"/>
    </row>
    <row r="632">
      <c r="A632" s="251"/>
    </row>
    <row r="633">
      <c r="A633" s="251"/>
    </row>
    <row r="634">
      <c r="A634" s="251"/>
    </row>
    <row r="635">
      <c r="A635" s="251"/>
    </row>
    <row r="636">
      <c r="A636" s="251"/>
    </row>
    <row r="637">
      <c r="A637" s="251"/>
    </row>
    <row r="638">
      <c r="A638" s="251"/>
    </row>
    <row r="639">
      <c r="A639" s="251"/>
    </row>
    <row r="640">
      <c r="A640" s="251"/>
    </row>
    <row r="641">
      <c r="A641" s="251"/>
    </row>
    <row r="642">
      <c r="A642" s="251"/>
    </row>
    <row r="643">
      <c r="A643" s="251"/>
    </row>
    <row r="644">
      <c r="A644" s="251"/>
    </row>
    <row r="645">
      <c r="A645" s="251"/>
    </row>
    <row r="646">
      <c r="A646" s="251"/>
    </row>
    <row r="647">
      <c r="A647" s="251"/>
    </row>
    <row r="648">
      <c r="A648" s="251"/>
    </row>
    <row r="649">
      <c r="A649" s="251"/>
    </row>
    <row r="650">
      <c r="A650" s="251"/>
    </row>
    <row r="651">
      <c r="A651" s="251"/>
    </row>
    <row r="652">
      <c r="A652" s="251"/>
    </row>
    <row r="653">
      <c r="A653" s="251"/>
    </row>
    <row r="654">
      <c r="A654" s="251"/>
    </row>
    <row r="655">
      <c r="A655" s="251"/>
    </row>
    <row r="656">
      <c r="A656" s="251"/>
    </row>
    <row r="657">
      <c r="A657" s="251"/>
    </row>
    <row r="658">
      <c r="A658" s="251"/>
    </row>
    <row r="659">
      <c r="A659" s="251"/>
    </row>
    <row r="660">
      <c r="A660" s="251"/>
    </row>
    <row r="661">
      <c r="A661" s="251"/>
    </row>
    <row r="662">
      <c r="A662" s="251"/>
    </row>
    <row r="663">
      <c r="A663" s="251"/>
    </row>
    <row r="664">
      <c r="A664" s="251"/>
    </row>
    <row r="665">
      <c r="A665" s="251"/>
    </row>
    <row r="666">
      <c r="A666" s="251"/>
    </row>
    <row r="667">
      <c r="A667" s="251"/>
    </row>
    <row r="668">
      <c r="A668" s="251"/>
    </row>
    <row r="669">
      <c r="A669" s="251"/>
    </row>
    <row r="670">
      <c r="A670" s="251"/>
    </row>
    <row r="671">
      <c r="A671" s="251"/>
    </row>
    <row r="672">
      <c r="A672" s="251"/>
    </row>
    <row r="673">
      <c r="A673" s="251"/>
    </row>
    <row r="674">
      <c r="A674" s="251"/>
    </row>
    <row r="675">
      <c r="A675" s="251"/>
    </row>
    <row r="676">
      <c r="A676" s="251"/>
    </row>
    <row r="677">
      <c r="A677" s="251"/>
    </row>
    <row r="678">
      <c r="A678" s="251"/>
    </row>
    <row r="679">
      <c r="A679" s="251"/>
    </row>
    <row r="680">
      <c r="A680" s="251"/>
    </row>
    <row r="681">
      <c r="A681" s="251"/>
    </row>
    <row r="682">
      <c r="A682" s="251"/>
    </row>
    <row r="683">
      <c r="A683" s="251"/>
    </row>
    <row r="684">
      <c r="A684" s="251"/>
    </row>
    <row r="685">
      <c r="A685" s="251"/>
    </row>
    <row r="686">
      <c r="A686" s="251"/>
    </row>
    <row r="687">
      <c r="A687" s="251"/>
    </row>
    <row r="688">
      <c r="A688" s="251"/>
    </row>
    <row r="689">
      <c r="A689" s="251"/>
    </row>
    <row r="690">
      <c r="A690" s="251"/>
    </row>
    <row r="691">
      <c r="A691" s="251"/>
    </row>
    <row r="692">
      <c r="A692" s="251"/>
    </row>
    <row r="693">
      <c r="A693" s="251"/>
    </row>
    <row r="694">
      <c r="A694" s="251"/>
    </row>
    <row r="695">
      <c r="A695" s="251"/>
    </row>
    <row r="696">
      <c r="A696" s="251"/>
    </row>
    <row r="697">
      <c r="A697" s="251"/>
    </row>
    <row r="698">
      <c r="A698" s="251"/>
    </row>
    <row r="699">
      <c r="A699" s="251"/>
    </row>
    <row r="700">
      <c r="A700" s="251"/>
    </row>
    <row r="701">
      <c r="A701" s="251"/>
    </row>
    <row r="702">
      <c r="A702" s="251"/>
    </row>
    <row r="703">
      <c r="A703" s="251"/>
    </row>
    <row r="704">
      <c r="A704" s="251"/>
    </row>
    <row r="705">
      <c r="A705" s="251"/>
    </row>
    <row r="706">
      <c r="A706" s="251"/>
    </row>
    <row r="707">
      <c r="A707" s="251"/>
    </row>
    <row r="708">
      <c r="A708" s="251"/>
    </row>
    <row r="709">
      <c r="A709" s="251"/>
    </row>
    <row r="710">
      <c r="A710" s="251"/>
    </row>
    <row r="711">
      <c r="A711" s="251"/>
    </row>
    <row r="712">
      <c r="A712" s="251"/>
    </row>
    <row r="713">
      <c r="A713" s="251"/>
    </row>
    <row r="714">
      <c r="A714" s="251"/>
    </row>
    <row r="715">
      <c r="A715" s="251"/>
    </row>
    <row r="716">
      <c r="A716" s="251"/>
    </row>
    <row r="717">
      <c r="A717" s="251"/>
    </row>
    <row r="718">
      <c r="A718" s="251"/>
    </row>
    <row r="719">
      <c r="A719" s="251"/>
    </row>
    <row r="720">
      <c r="A720" s="251"/>
    </row>
    <row r="721">
      <c r="A721" s="251"/>
    </row>
    <row r="722">
      <c r="A722" s="251"/>
    </row>
    <row r="723">
      <c r="A723" s="251"/>
    </row>
    <row r="724">
      <c r="A724" s="251"/>
    </row>
    <row r="725">
      <c r="A725" s="251"/>
    </row>
    <row r="726">
      <c r="A726" s="251"/>
    </row>
    <row r="727">
      <c r="A727" s="251"/>
    </row>
    <row r="728">
      <c r="A728" s="251"/>
    </row>
    <row r="729">
      <c r="A729" s="251"/>
    </row>
    <row r="730">
      <c r="A730" s="251"/>
    </row>
    <row r="731">
      <c r="A731" s="251"/>
    </row>
    <row r="732">
      <c r="A732" s="251"/>
    </row>
    <row r="733">
      <c r="A733" s="251"/>
    </row>
    <row r="734">
      <c r="A734" s="251"/>
    </row>
    <row r="735">
      <c r="A735" s="251"/>
    </row>
    <row r="736">
      <c r="A736" s="251"/>
    </row>
    <row r="737">
      <c r="A737" s="251"/>
    </row>
    <row r="738">
      <c r="A738" s="251"/>
    </row>
    <row r="739">
      <c r="A739" s="251"/>
    </row>
    <row r="740">
      <c r="A740" s="251"/>
    </row>
    <row r="741">
      <c r="A741" s="251"/>
    </row>
    <row r="742">
      <c r="A742" s="251"/>
    </row>
    <row r="743">
      <c r="A743" s="251"/>
    </row>
    <row r="744">
      <c r="A744" s="251"/>
    </row>
    <row r="745">
      <c r="A745" s="251"/>
    </row>
    <row r="746">
      <c r="A746" s="251"/>
    </row>
    <row r="747">
      <c r="A747" s="251"/>
    </row>
    <row r="748">
      <c r="A748" s="251"/>
    </row>
    <row r="749">
      <c r="A749" s="251"/>
    </row>
    <row r="750">
      <c r="A750" s="251"/>
    </row>
    <row r="751">
      <c r="A751" s="251"/>
    </row>
    <row r="752">
      <c r="A752" s="251"/>
    </row>
    <row r="753">
      <c r="A753" s="251"/>
    </row>
    <row r="754">
      <c r="A754" s="251"/>
    </row>
    <row r="755">
      <c r="A755" s="251"/>
    </row>
    <row r="756">
      <c r="A756" s="251"/>
    </row>
    <row r="757">
      <c r="A757" s="251"/>
    </row>
    <row r="758">
      <c r="A758" s="251"/>
    </row>
    <row r="759">
      <c r="A759" s="251"/>
    </row>
    <row r="760">
      <c r="A760" s="251"/>
    </row>
    <row r="761">
      <c r="A761" s="251"/>
    </row>
    <row r="762">
      <c r="A762" s="251"/>
    </row>
    <row r="763">
      <c r="A763" s="251"/>
    </row>
    <row r="764">
      <c r="A764" s="251"/>
    </row>
    <row r="765">
      <c r="A765" s="251"/>
    </row>
    <row r="766">
      <c r="A766" s="251"/>
    </row>
    <row r="767">
      <c r="A767" s="251"/>
    </row>
    <row r="768">
      <c r="A768" s="251"/>
    </row>
    <row r="769">
      <c r="A769" s="251"/>
    </row>
    <row r="770">
      <c r="A770" s="251"/>
    </row>
    <row r="771">
      <c r="A771" s="251"/>
    </row>
    <row r="772">
      <c r="A772" s="251"/>
    </row>
    <row r="773">
      <c r="A773" s="251"/>
    </row>
    <row r="774">
      <c r="A774" s="251"/>
    </row>
    <row r="775">
      <c r="A775" s="251"/>
    </row>
    <row r="776">
      <c r="A776" s="251"/>
    </row>
    <row r="777">
      <c r="A777" s="251"/>
    </row>
    <row r="778">
      <c r="A778" s="251"/>
    </row>
    <row r="779">
      <c r="A779" s="251"/>
    </row>
    <row r="780">
      <c r="A780" s="251"/>
    </row>
    <row r="781">
      <c r="A781" s="251"/>
    </row>
    <row r="782">
      <c r="A782" s="251"/>
    </row>
    <row r="783">
      <c r="A783" s="251"/>
    </row>
    <row r="784">
      <c r="A784" s="251"/>
    </row>
    <row r="785">
      <c r="A785" s="251"/>
    </row>
    <row r="786">
      <c r="A786" s="251"/>
    </row>
    <row r="787">
      <c r="A787" s="251"/>
    </row>
    <row r="788">
      <c r="A788" s="251"/>
    </row>
    <row r="789">
      <c r="A789" s="251"/>
    </row>
    <row r="790">
      <c r="A790" s="251"/>
    </row>
    <row r="791">
      <c r="A791" s="251"/>
    </row>
    <row r="792">
      <c r="A792" s="251"/>
    </row>
    <row r="793">
      <c r="A793" s="251"/>
    </row>
    <row r="794">
      <c r="A794" s="251"/>
    </row>
    <row r="795">
      <c r="A795" s="251"/>
    </row>
    <row r="796">
      <c r="A796" s="251"/>
    </row>
    <row r="797">
      <c r="A797" s="251"/>
    </row>
    <row r="798">
      <c r="A798" s="251"/>
    </row>
    <row r="799">
      <c r="A799" s="251"/>
    </row>
    <row r="800">
      <c r="A800" s="251"/>
    </row>
    <row r="801">
      <c r="A801" s="251"/>
    </row>
    <row r="802">
      <c r="A802" s="251"/>
    </row>
    <row r="803">
      <c r="A803" s="251"/>
    </row>
    <row r="804">
      <c r="A804" s="251"/>
    </row>
    <row r="805">
      <c r="A805" s="251"/>
    </row>
    <row r="806">
      <c r="A806" s="251"/>
    </row>
    <row r="807">
      <c r="A807" s="251"/>
    </row>
    <row r="808">
      <c r="A808" s="251"/>
    </row>
    <row r="809">
      <c r="A809" s="251"/>
    </row>
    <row r="810">
      <c r="A810" s="251"/>
    </row>
    <row r="811">
      <c r="A811" s="251"/>
    </row>
    <row r="812">
      <c r="A812" s="251"/>
    </row>
    <row r="813">
      <c r="A813" s="251"/>
    </row>
    <row r="814">
      <c r="A814" s="251"/>
    </row>
    <row r="815">
      <c r="A815" s="251"/>
    </row>
    <row r="816">
      <c r="A816" s="251"/>
    </row>
    <row r="817">
      <c r="A817" s="251"/>
    </row>
    <row r="818">
      <c r="A818" s="251"/>
    </row>
    <row r="819">
      <c r="A819" s="251"/>
    </row>
    <row r="820">
      <c r="A820" s="251"/>
    </row>
    <row r="821">
      <c r="A821" s="251"/>
    </row>
    <row r="822">
      <c r="A822" s="251"/>
    </row>
    <row r="823">
      <c r="A823" s="251"/>
    </row>
    <row r="824">
      <c r="A824" s="251"/>
    </row>
    <row r="825">
      <c r="A825" s="251"/>
    </row>
    <row r="826">
      <c r="A826" s="251"/>
    </row>
    <row r="827">
      <c r="A827" s="251"/>
    </row>
    <row r="828">
      <c r="A828" s="251"/>
    </row>
    <row r="829">
      <c r="A829" s="251"/>
    </row>
    <row r="830">
      <c r="A830" s="251"/>
    </row>
    <row r="831">
      <c r="A831" s="251"/>
    </row>
    <row r="832">
      <c r="A832" s="251"/>
    </row>
    <row r="833">
      <c r="A833" s="251"/>
    </row>
    <row r="834">
      <c r="A834" s="251"/>
    </row>
    <row r="835">
      <c r="A835" s="251"/>
    </row>
    <row r="836">
      <c r="A836" s="251"/>
    </row>
    <row r="837">
      <c r="A837" s="251"/>
    </row>
    <row r="838">
      <c r="A838" s="251"/>
    </row>
    <row r="839">
      <c r="A839" s="251"/>
    </row>
    <row r="840">
      <c r="A840" s="251"/>
    </row>
    <row r="841">
      <c r="A841" s="251"/>
    </row>
    <row r="842">
      <c r="A842" s="251"/>
    </row>
    <row r="843">
      <c r="A843" s="251"/>
    </row>
    <row r="844">
      <c r="A844" s="251"/>
    </row>
    <row r="845">
      <c r="A845" s="251"/>
    </row>
    <row r="846">
      <c r="A846" s="251"/>
    </row>
    <row r="847">
      <c r="A847" s="251"/>
    </row>
    <row r="848">
      <c r="A848" s="251"/>
    </row>
    <row r="849">
      <c r="A849" s="251"/>
    </row>
    <row r="850">
      <c r="A850" s="251"/>
    </row>
    <row r="851">
      <c r="A851" s="251"/>
    </row>
    <row r="852">
      <c r="A852" s="251"/>
    </row>
    <row r="853">
      <c r="A853" s="251"/>
    </row>
    <row r="854">
      <c r="A854" s="251"/>
    </row>
    <row r="855">
      <c r="A855" s="251"/>
    </row>
    <row r="856">
      <c r="A856" s="251"/>
    </row>
    <row r="857">
      <c r="A857" s="251"/>
    </row>
    <row r="858">
      <c r="A858" s="251"/>
    </row>
    <row r="859">
      <c r="A859" s="251"/>
    </row>
    <row r="860">
      <c r="A860" s="251"/>
    </row>
    <row r="861">
      <c r="A861" s="251"/>
    </row>
    <row r="862">
      <c r="A862" s="251"/>
    </row>
    <row r="863">
      <c r="A863" s="251"/>
    </row>
    <row r="864">
      <c r="A864" s="251"/>
    </row>
    <row r="865">
      <c r="A865" s="251"/>
    </row>
    <row r="866">
      <c r="A866" s="251"/>
    </row>
    <row r="867">
      <c r="A867" s="251"/>
    </row>
    <row r="868">
      <c r="A868" s="251"/>
    </row>
    <row r="869">
      <c r="A869" s="251"/>
    </row>
    <row r="870">
      <c r="A870" s="251"/>
    </row>
    <row r="871">
      <c r="A871" s="251"/>
    </row>
    <row r="872">
      <c r="A872" s="251"/>
    </row>
    <row r="873">
      <c r="A873" s="251"/>
    </row>
    <row r="874">
      <c r="A874" s="251"/>
    </row>
    <row r="875">
      <c r="A875" s="251"/>
    </row>
    <row r="876">
      <c r="A876" s="251"/>
    </row>
    <row r="877">
      <c r="A877" s="251"/>
    </row>
    <row r="878">
      <c r="A878" s="251"/>
    </row>
    <row r="879">
      <c r="A879" s="251"/>
    </row>
    <row r="880">
      <c r="A880" s="251"/>
    </row>
    <row r="881">
      <c r="A881" s="251"/>
    </row>
    <row r="882">
      <c r="A882" s="251"/>
    </row>
    <row r="883">
      <c r="A883" s="251"/>
    </row>
    <row r="884">
      <c r="A884" s="251"/>
    </row>
    <row r="885">
      <c r="A885" s="251"/>
    </row>
    <row r="886">
      <c r="A886" s="251"/>
    </row>
    <row r="887">
      <c r="A887" s="251"/>
    </row>
    <row r="888">
      <c r="A888" s="251"/>
    </row>
    <row r="889">
      <c r="A889" s="251"/>
    </row>
    <row r="890">
      <c r="A890" s="251"/>
    </row>
    <row r="891">
      <c r="A891" s="251"/>
    </row>
    <row r="892">
      <c r="A892" s="251"/>
    </row>
    <row r="893">
      <c r="A893" s="251"/>
    </row>
    <row r="894">
      <c r="A894" s="251"/>
    </row>
    <row r="895">
      <c r="A895" s="251"/>
    </row>
    <row r="896">
      <c r="A896" s="251"/>
    </row>
    <row r="897">
      <c r="A897" s="251"/>
    </row>
    <row r="898">
      <c r="A898" s="251"/>
    </row>
    <row r="899">
      <c r="A899" s="251"/>
    </row>
    <row r="900">
      <c r="A900" s="251"/>
    </row>
    <row r="901">
      <c r="A901" s="251"/>
    </row>
    <row r="902">
      <c r="A902" s="251"/>
    </row>
    <row r="903">
      <c r="A903" s="251"/>
    </row>
    <row r="904">
      <c r="A904" s="251"/>
    </row>
    <row r="905">
      <c r="A905" s="251"/>
    </row>
    <row r="906">
      <c r="A906" s="251"/>
    </row>
    <row r="907">
      <c r="A907" s="251"/>
    </row>
    <row r="908">
      <c r="A908" s="251"/>
    </row>
    <row r="909">
      <c r="A909" s="251"/>
    </row>
    <row r="910">
      <c r="A910" s="251"/>
    </row>
    <row r="911">
      <c r="A911" s="251"/>
    </row>
    <row r="912">
      <c r="A912" s="251"/>
    </row>
    <row r="913">
      <c r="A913" s="251"/>
    </row>
    <row r="914">
      <c r="A914" s="251"/>
    </row>
    <row r="915">
      <c r="A915" s="251"/>
    </row>
    <row r="916">
      <c r="A916" s="251"/>
    </row>
    <row r="917">
      <c r="A917" s="251"/>
    </row>
    <row r="918">
      <c r="A918" s="251"/>
    </row>
    <row r="919">
      <c r="A919" s="251"/>
    </row>
    <row r="920">
      <c r="A920" s="251"/>
    </row>
    <row r="921">
      <c r="A921" s="251"/>
    </row>
    <row r="922">
      <c r="A922" s="251"/>
    </row>
    <row r="923">
      <c r="A923" s="251"/>
    </row>
    <row r="924">
      <c r="A924" s="251"/>
    </row>
    <row r="925">
      <c r="A925" s="251"/>
    </row>
    <row r="926">
      <c r="A926" s="251"/>
    </row>
    <row r="927">
      <c r="A927" s="251"/>
    </row>
    <row r="928">
      <c r="A928" s="251"/>
    </row>
    <row r="929">
      <c r="A929" s="251"/>
    </row>
    <row r="930">
      <c r="A930" s="251"/>
    </row>
    <row r="931">
      <c r="A931" s="251"/>
    </row>
    <row r="932">
      <c r="A932" s="251"/>
    </row>
    <row r="933">
      <c r="A933" s="251"/>
    </row>
    <row r="934">
      <c r="A934" s="251"/>
    </row>
    <row r="935">
      <c r="A935" s="251"/>
    </row>
    <row r="936">
      <c r="A936" s="251"/>
    </row>
    <row r="937">
      <c r="A937" s="251"/>
    </row>
    <row r="938">
      <c r="A938" s="251"/>
    </row>
    <row r="939">
      <c r="A939" s="251"/>
    </row>
    <row r="940">
      <c r="A940" s="251"/>
    </row>
    <row r="941">
      <c r="A941" s="251"/>
    </row>
    <row r="942">
      <c r="A942" s="251"/>
    </row>
    <row r="943">
      <c r="A943" s="251"/>
    </row>
    <row r="944">
      <c r="A944" s="251"/>
    </row>
    <row r="945">
      <c r="A945" s="251"/>
    </row>
    <row r="946">
      <c r="A946" s="251"/>
    </row>
    <row r="947">
      <c r="A947" s="251"/>
    </row>
    <row r="948">
      <c r="A948" s="251"/>
    </row>
    <row r="949">
      <c r="A949" s="251"/>
    </row>
    <row r="950">
      <c r="A950" s="251"/>
    </row>
    <row r="951">
      <c r="A951" s="251"/>
    </row>
    <row r="952">
      <c r="A952" s="251"/>
    </row>
    <row r="953">
      <c r="A953" s="251"/>
    </row>
    <row r="954">
      <c r="A954" s="251"/>
    </row>
    <row r="955">
      <c r="A955" s="251"/>
    </row>
    <row r="956">
      <c r="A956" s="251"/>
    </row>
    <row r="957">
      <c r="A957" s="251"/>
    </row>
    <row r="958">
      <c r="A958" s="251"/>
    </row>
    <row r="959">
      <c r="A959" s="251"/>
    </row>
    <row r="960">
      <c r="A960" s="251"/>
    </row>
    <row r="961">
      <c r="A961" s="251"/>
    </row>
    <row r="962">
      <c r="A962" s="251"/>
    </row>
    <row r="963">
      <c r="A963" s="251"/>
    </row>
    <row r="964">
      <c r="A964" s="251"/>
    </row>
    <row r="965">
      <c r="A965" s="251"/>
    </row>
    <row r="966">
      <c r="A966" s="251"/>
    </row>
    <row r="967">
      <c r="A967" s="251"/>
    </row>
    <row r="968">
      <c r="A968" s="251"/>
    </row>
    <row r="969">
      <c r="A969" s="251"/>
    </row>
    <row r="970">
      <c r="A970" s="251"/>
    </row>
    <row r="971">
      <c r="A971" s="251"/>
    </row>
    <row r="972">
      <c r="A972" s="251"/>
    </row>
    <row r="973">
      <c r="A973" s="251"/>
    </row>
    <row r="974">
      <c r="A974" s="251"/>
    </row>
    <row r="975">
      <c r="A975" s="251"/>
    </row>
    <row r="976">
      <c r="A976" s="251"/>
    </row>
    <row r="977">
      <c r="A977" s="251"/>
    </row>
    <row r="978">
      <c r="A978" s="251"/>
    </row>
    <row r="979">
      <c r="A979" s="251"/>
    </row>
    <row r="980">
      <c r="A980" s="251"/>
    </row>
    <row r="981">
      <c r="A981" s="251"/>
    </row>
    <row r="982">
      <c r="A982" s="251"/>
    </row>
    <row r="983">
      <c r="A983" s="251"/>
    </row>
    <row r="984">
      <c r="A984" s="251"/>
    </row>
    <row r="985">
      <c r="A985" s="251"/>
    </row>
    <row r="986">
      <c r="A986" s="251"/>
    </row>
    <row r="987">
      <c r="A987" s="251"/>
    </row>
    <row r="988">
      <c r="A988" s="251"/>
    </row>
    <row r="989">
      <c r="A989" s="251"/>
    </row>
    <row r="990">
      <c r="A990" s="251"/>
    </row>
    <row r="991">
      <c r="A991" s="251"/>
    </row>
    <row r="992">
      <c r="A992" s="251"/>
    </row>
    <row r="993">
      <c r="A993" s="251"/>
    </row>
    <row r="994">
      <c r="A994" s="251"/>
    </row>
    <row r="995">
      <c r="A995" s="251"/>
    </row>
    <row r="996">
      <c r="A996" s="251"/>
    </row>
    <row r="997">
      <c r="A997" s="251"/>
    </row>
    <row r="998">
      <c r="A998" s="251"/>
    </row>
    <row r="999">
      <c r="A999" s="251"/>
    </row>
    <row r="1000">
      <c r="A1000" s="251"/>
    </row>
    <row r="1001">
      <c r="A1001" s="251"/>
    </row>
    <row r="1002">
      <c r="A1002" s="251"/>
    </row>
    <row r="1003">
      <c r="A1003" s="251"/>
    </row>
    <row r="1004">
      <c r="A1004" s="251"/>
    </row>
  </sheetData>
  <mergeCells count="1">
    <mergeCell ref="A21:D21"/>
  </mergeCell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0"/>
    <col customWidth="1" min="2" max="2" width="13.13"/>
    <col customWidth="1" min="6" max="6" width="9.63"/>
    <col customWidth="1" min="7" max="7" width="13.13"/>
    <col customWidth="1" min="8" max="8" width="9.13"/>
    <col customWidth="1" min="9" max="9" width="18.38"/>
  </cols>
  <sheetData>
    <row r="1">
      <c r="B1" s="178"/>
      <c r="C1" s="178"/>
      <c r="D1" s="178"/>
      <c r="E1" s="178"/>
      <c r="F1" s="235"/>
      <c r="G1" s="179"/>
      <c r="H1" s="179"/>
      <c r="I1" s="235"/>
    </row>
    <row r="2">
      <c r="A2" s="281" t="s">
        <v>132</v>
      </c>
      <c r="B2" s="253" t="s">
        <v>195</v>
      </c>
      <c r="C2" s="253" t="s">
        <v>196</v>
      </c>
      <c r="D2" s="253" t="s">
        <v>197</v>
      </c>
      <c r="E2" s="253" t="s">
        <v>4</v>
      </c>
      <c r="F2" s="249" t="s">
        <v>5</v>
      </c>
      <c r="G2" s="249" t="s">
        <v>6</v>
      </c>
      <c r="H2" s="253" t="s">
        <v>9</v>
      </c>
      <c r="I2" s="254" t="s">
        <v>198</v>
      </c>
    </row>
    <row r="3">
      <c r="A3" s="87" t="s">
        <v>216</v>
      </c>
      <c r="B3" s="98">
        <f>'Исходные данные'!D11</f>
        <v>214</v>
      </c>
      <c r="C3" s="98">
        <f>'Исходные данные'!F27</f>
        <v>8</v>
      </c>
      <c r="D3" s="134"/>
      <c r="E3" s="134">
        <v>480420.0</v>
      </c>
      <c r="F3" s="256">
        <v>12.0</v>
      </c>
      <c r="G3" s="317">
        <f t="shared" ref="G3:G8" si="1">E3/F3</f>
        <v>40035</v>
      </c>
      <c r="H3" s="72"/>
      <c r="I3" s="282">
        <f>G3/B3*C3</f>
        <v>1496.635514</v>
      </c>
    </row>
    <row r="4">
      <c r="A4" s="75" t="s">
        <v>258</v>
      </c>
      <c r="B4" s="134"/>
      <c r="C4" s="134"/>
      <c r="D4" s="134"/>
      <c r="E4" s="177">
        <v>9100.0</v>
      </c>
      <c r="F4" s="256">
        <v>12.0</v>
      </c>
      <c r="G4" s="163">
        <f t="shared" si="1"/>
        <v>758.3333333</v>
      </c>
      <c r="H4" s="72"/>
      <c r="I4" s="282">
        <f t="shared" ref="I4:I8" si="2">G4</f>
        <v>758.3333333</v>
      </c>
    </row>
    <row r="5">
      <c r="A5" s="87" t="s">
        <v>148</v>
      </c>
      <c r="B5" s="134"/>
      <c r="C5" s="134"/>
      <c r="D5" s="98"/>
      <c r="E5" s="134">
        <v>18455.0</v>
      </c>
      <c r="F5" s="256">
        <v>12.0</v>
      </c>
      <c r="G5" s="163">
        <f t="shared" si="1"/>
        <v>1537.916667</v>
      </c>
      <c r="H5" s="249"/>
      <c r="I5" s="282">
        <f t="shared" si="2"/>
        <v>1537.916667</v>
      </c>
    </row>
    <row r="6">
      <c r="A6" s="87" t="s">
        <v>150</v>
      </c>
      <c r="B6" s="134"/>
      <c r="C6" s="134"/>
      <c r="D6" s="98"/>
      <c r="E6" s="134">
        <v>0.0</v>
      </c>
      <c r="F6" s="256">
        <v>12.0</v>
      </c>
      <c r="G6" s="163">
        <f t="shared" si="1"/>
        <v>0</v>
      </c>
      <c r="H6" s="249"/>
      <c r="I6" s="282">
        <f t="shared" si="2"/>
        <v>0</v>
      </c>
    </row>
    <row r="7">
      <c r="A7" s="87" t="s">
        <v>149</v>
      </c>
      <c r="B7" s="134"/>
      <c r="C7" s="134"/>
      <c r="D7" s="98"/>
      <c r="E7" s="134">
        <v>0.0</v>
      </c>
      <c r="F7" s="256">
        <v>12.0</v>
      </c>
      <c r="G7" s="163">
        <f t="shared" si="1"/>
        <v>0</v>
      </c>
      <c r="H7" s="249"/>
      <c r="I7" s="282">
        <f t="shared" si="2"/>
        <v>0</v>
      </c>
    </row>
    <row r="8">
      <c r="A8" s="87" t="s">
        <v>259</v>
      </c>
      <c r="B8" s="134"/>
      <c r="C8" s="134"/>
      <c r="D8" s="98"/>
      <c r="E8" s="134"/>
      <c r="F8" s="256">
        <v>12.0</v>
      </c>
      <c r="G8" s="163">
        <f t="shared" si="1"/>
        <v>0</v>
      </c>
      <c r="H8" s="249"/>
      <c r="I8" s="282">
        <f t="shared" si="2"/>
        <v>0</v>
      </c>
    </row>
    <row r="9">
      <c r="A9" s="68" t="s">
        <v>152</v>
      </c>
      <c r="B9" s="71"/>
      <c r="C9" s="71"/>
      <c r="D9" s="265">
        <f>B14</f>
        <v>286</v>
      </c>
      <c r="E9" s="71"/>
      <c r="F9" s="249"/>
      <c r="G9" s="72"/>
      <c r="H9" s="259">
        <f>'Общие расходы ГЭ'!G16</f>
        <v>9.195626292</v>
      </c>
      <c r="I9" s="282">
        <f t="shared" ref="I9:I11" si="3">D9*H9</f>
        <v>2629.94912</v>
      </c>
    </row>
    <row r="10">
      <c r="A10" s="68" t="s">
        <v>235</v>
      </c>
      <c r="B10" s="71"/>
      <c r="C10" s="71"/>
      <c r="D10" s="265">
        <f>B14</f>
        <v>286</v>
      </c>
      <c r="E10" s="71"/>
      <c r="F10" s="249"/>
      <c r="G10" s="72"/>
      <c r="H10" s="259">
        <f>'Общие расходы г. Тюмень'!F4</f>
        <v>0.2743933235</v>
      </c>
      <c r="I10" s="282">
        <f t="shared" si="3"/>
        <v>78.47649051</v>
      </c>
    </row>
    <row r="11">
      <c r="A11" s="68" t="s">
        <v>156</v>
      </c>
      <c r="B11" s="71"/>
      <c r="C11" s="71"/>
      <c r="D11" s="265">
        <f>B14</f>
        <v>286</v>
      </c>
      <c r="E11" s="71"/>
      <c r="F11" s="249"/>
      <c r="G11" s="72"/>
      <c r="H11" s="250">
        <f>'Общие расходы г. Тюмень'!F30</f>
        <v>0.7480139342</v>
      </c>
      <c r="I11" s="282">
        <f t="shared" si="3"/>
        <v>213.9319852</v>
      </c>
    </row>
    <row r="12">
      <c r="A12" s="284" t="s">
        <v>62</v>
      </c>
      <c r="B12" s="263"/>
      <c r="C12" s="263"/>
      <c r="D12" s="263"/>
      <c r="E12" s="263"/>
      <c r="F12" s="263"/>
      <c r="G12" s="263"/>
      <c r="H12" s="185"/>
      <c r="I12" s="282">
        <f>SUM(I3:I11)</f>
        <v>6715.243109</v>
      </c>
    </row>
    <row r="14">
      <c r="A14" s="68" t="s">
        <v>205</v>
      </c>
      <c r="B14" s="260">
        <f>'Исходные данные'!B27</f>
        <v>286</v>
      </c>
    </row>
    <row r="15">
      <c r="A15" s="68" t="s">
        <v>206</v>
      </c>
      <c r="B15" s="260" t="str">
        <f>'Исходные данные'!C27</f>
        <v/>
      </c>
    </row>
    <row r="16">
      <c r="A16" s="68" t="s">
        <v>207</v>
      </c>
      <c r="B16" s="260" t="str">
        <f>'Исходные данные'!D27</f>
        <v/>
      </c>
    </row>
    <row r="17">
      <c r="E17" s="76"/>
      <c r="F17" s="318"/>
      <c r="G17" s="69"/>
    </row>
    <row r="18">
      <c r="A18" s="266" t="s">
        <v>208</v>
      </c>
      <c r="B18" s="263"/>
      <c r="C18" s="263"/>
      <c r="D18" s="185"/>
    </row>
    <row r="19">
      <c r="A19" s="268" t="s">
        <v>209</v>
      </c>
      <c r="B19" s="269" t="s">
        <v>210</v>
      </c>
      <c r="C19" s="93" t="s">
        <v>5</v>
      </c>
      <c r="D19" s="269" t="s">
        <v>211</v>
      </c>
    </row>
    <row r="20">
      <c r="A20" s="300"/>
      <c r="B20" s="303"/>
      <c r="C20" s="303"/>
      <c r="D20" s="301"/>
    </row>
    <row r="21">
      <c r="A21" s="68"/>
      <c r="B21" s="303"/>
      <c r="C21" s="303"/>
      <c r="D21" s="301"/>
    </row>
    <row r="22">
      <c r="A22" s="305"/>
      <c r="B22" s="303"/>
      <c r="C22" s="303"/>
      <c r="D22" s="301"/>
    </row>
    <row r="23">
      <c r="A23" s="68"/>
      <c r="B23" s="303"/>
      <c r="C23" s="303"/>
      <c r="D23" s="177"/>
    </row>
    <row r="24">
      <c r="A24" s="304"/>
      <c r="B24" s="303"/>
      <c r="C24" s="303"/>
      <c r="D24" s="303"/>
    </row>
    <row r="25">
      <c r="A25" s="34"/>
      <c r="B25" s="72"/>
      <c r="C25" s="72"/>
      <c r="D25" s="72"/>
    </row>
    <row r="26">
      <c r="A26" s="34"/>
      <c r="B26" s="72"/>
      <c r="C26" s="72"/>
      <c r="D26" s="72"/>
    </row>
  </sheetData>
  <mergeCells count="2">
    <mergeCell ref="A12:H12"/>
    <mergeCell ref="A18:D18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0"/>
    <col customWidth="1" min="6" max="6" width="9.25"/>
    <col customWidth="1" min="8" max="8" width="14.0"/>
    <col customWidth="1" min="9" max="9" width="13.5"/>
  </cols>
  <sheetData>
    <row r="1">
      <c r="A1" s="150"/>
      <c r="B1" s="149"/>
      <c r="C1" s="149"/>
      <c r="D1" s="149"/>
      <c r="E1" s="149"/>
      <c r="F1" s="150"/>
      <c r="G1" s="150"/>
      <c r="H1" s="149"/>
      <c r="I1" s="149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</row>
    <row r="2">
      <c r="A2" s="319" t="s">
        <v>260</v>
      </c>
      <c r="B2" s="253" t="s">
        <v>261</v>
      </c>
      <c r="C2" s="253" t="s">
        <v>196</v>
      </c>
      <c r="D2" s="253" t="s">
        <v>197</v>
      </c>
      <c r="E2" s="320" t="s">
        <v>4</v>
      </c>
      <c r="F2" s="321" t="s">
        <v>9</v>
      </c>
      <c r="G2" s="321" t="s">
        <v>5</v>
      </c>
      <c r="H2" s="321" t="s">
        <v>6</v>
      </c>
      <c r="I2" s="254" t="s">
        <v>198</v>
      </c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</row>
    <row r="3">
      <c r="A3" s="322" t="s">
        <v>262</v>
      </c>
      <c r="B3" s="58">
        <f>'Исходные данные'!D43</f>
        <v>334</v>
      </c>
      <c r="C3" s="51">
        <f>'Исходные данные'!D40</f>
        <v>229</v>
      </c>
      <c r="D3" s="58"/>
      <c r="E3" s="323">
        <f>55500+13200+278297</f>
        <v>346997</v>
      </c>
      <c r="F3" s="324"/>
      <c r="G3" s="325">
        <v>12.0</v>
      </c>
      <c r="H3" s="58">
        <f t="shared" ref="H3:H11" si="1">E3/G3</f>
        <v>28916.41667</v>
      </c>
      <c r="I3" s="326">
        <f t="shared" ref="I3:I4" si="2">H3/B3*C3</f>
        <v>19825.9264</v>
      </c>
      <c r="J3" s="67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</row>
    <row r="4">
      <c r="A4" s="322" t="s">
        <v>263</v>
      </c>
      <c r="B4" s="51">
        <f>'Исходные данные'!E43</f>
        <v>499</v>
      </c>
      <c r="C4" s="51">
        <f>'Исходные данные'!E40</f>
        <v>437</v>
      </c>
      <c r="D4" s="58"/>
      <c r="E4" s="323">
        <f>9000+82000+695981</f>
        <v>786981</v>
      </c>
      <c r="F4" s="324"/>
      <c r="G4" s="325">
        <v>12.0</v>
      </c>
      <c r="H4" s="58">
        <f t="shared" si="1"/>
        <v>65581.75</v>
      </c>
      <c r="I4" s="326">
        <f t="shared" si="2"/>
        <v>57433.31613</v>
      </c>
      <c r="J4" s="67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</row>
    <row r="5">
      <c r="A5" s="327" t="s">
        <v>202</v>
      </c>
      <c r="B5" s="328"/>
      <c r="C5" s="328"/>
      <c r="D5" s="328"/>
      <c r="E5" s="329">
        <f>251513+3398+790</f>
        <v>255701</v>
      </c>
      <c r="F5" s="330"/>
      <c r="G5" s="331">
        <v>12.0</v>
      </c>
      <c r="H5" s="332">
        <f t="shared" si="1"/>
        <v>21308.41667</v>
      </c>
      <c r="I5" s="326">
        <f t="shared" ref="I5:I11" si="3">H5</f>
        <v>21308.41667</v>
      </c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</row>
    <row r="6">
      <c r="A6" s="87" t="s">
        <v>148</v>
      </c>
      <c r="B6" s="328"/>
      <c r="C6" s="328"/>
      <c r="D6" s="328"/>
      <c r="E6" s="333">
        <f>319016+5430</f>
        <v>324446</v>
      </c>
      <c r="F6" s="330"/>
      <c r="G6" s="331">
        <v>12.0</v>
      </c>
      <c r="H6" s="332">
        <f t="shared" si="1"/>
        <v>27037.16667</v>
      </c>
      <c r="I6" s="326">
        <f t="shared" si="3"/>
        <v>27037.16667</v>
      </c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</row>
    <row r="7">
      <c r="A7" s="87" t="s">
        <v>150</v>
      </c>
      <c r="B7" s="328"/>
      <c r="C7" s="328"/>
      <c r="D7" s="328"/>
      <c r="E7" s="333">
        <v>102100.0</v>
      </c>
      <c r="F7" s="330"/>
      <c r="G7" s="331">
        <v>12.0</v>
      </c>
      <c r="H7" s="332">
        <f t="shared" si="1"/>
        <v>8508.333333</v>
      </c>
      <c r="I7" s="326">
        <f t="shared" si="3"/>
        <v>8508.333333</v>
      </c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</row>
    <row r="8">
      <c r="A8" s="87" t="s">
        <v>149</v>
      </c>
      <c r="B8" s="328"/>
      <c r="C8" s="328"/>
      <c r="D8" s="328"/>
      <c r="E8" s="333">
        <v>80693.0</v>
      </c>
      <c r="F8" s="330"/>
      <c r="G8" s="331">
        <v>12.0</v>
      </c>
      <c r="H8" s="332">
        <f t="shared" si="1"/>
        <v>6724.416667</v>
      </c>
      <c r="I8" s="326">
        <f t="shared" si="3"/>
        <v>6724.416667</v>
      </c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</row>
    <row r="9">
      <c r="A9" s="327" t="s">
        <v>236</v>
      </c>
      <c r="B9" s="328"/>
      <c r="C9" s="328"/>
      <c r="D9" s="328"/>
      <c r="E9" s="333">
        <f>468+818+1371+513+2746+4000+1299</f>
        <v>11215</v>
      </c>
      <c r="F9" s="330"/>
      <c r="G9" s="331">
        <v>12.0</v>
      </c>
      <c r="H9" s="332">
        <f t="shared" si="1"/>
        <v>934.5833333</v>
      </c>
      <c r="I9" s="326">
        <f t="shared" si="3"/>
        <v>934.5833333</v>
      </c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</row>
    <row r="10">
      <c r="A10" s="334" t="s">
        <v>264</v>
      </c>
      <c r="B10" s="328"/>
      <c r="C10" s="328"/>
      <c r="D10" s="328"/>
      <c r="E10" s="335"/>
      <c r="F10" s="330"/>
      <c r="G10" s="331">
        <v>12.0</v>
      </c>
      <c r="H10" s="332">
        <f t="shared" si="1"/>
        <v>0</v>
      </c>
      <c r="I10" s="326">
        <f t="shared" si="3"/>
        <v>0</v>
      </c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</row>
    <row r="11">
      <c r="A11" s="334" t="s">
        <v>265</v>
      </c>
      <c r="B11" s="328"/>
      <c r="C11" s="328"/>
      <c r="D11" s="328"/>
      <c r="E11" s="335">
        <v>30759.0</v>
      </c>
      <c r="F11" s="330"/>
      <c r="G11" s="331">
        <v>12.0</v>
      </c>
      <c r="H11" s="332">
        <f t="shared" si="1"/>
        <v>2563.25</v>
      </c>
      <c r="I11" s="326">
        <f t="shared" si="3"/>
        <v>2563.25</v>
      </c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</row>
    <row r="12">
      <c r="A12" s="334" t="s">
        <v>155</v>
      </c>
      <c r="B12" s="328"/>
      <c r="C12" s="328"/>
      <c r="D12" s="328"/>
      <c r="E12" s="335"/>
      <c r="F12" s="330"/>
      <c r="G12" s="331"/>
      <c r="H12" s="332"/>
      <c r="I12" s="326">
        <f>D31</f>
        <v>23448.08333</v>
      </c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</row>
    <row r="13">
      <c r="A13" s="334" t="s">
        <v>266</v>
      </c>
      <c r="B13" s="328"/>
      <c r="C13" s="328"/>
      <c r="D13" s="328"/>
      <c r="E13" s="336">
        <v>720000.0</v>
      </c>
      <c r="F13" s="330"/>
      <c r="G13" s="331">
        <v>12.0</v>
      </c>
      <c r="H13" s="332">
        <f>E13/G13</f>
        <v>60000</v>
      </c>
      <c r="I13" s="326">
        <f>H13</f>
        <v>60000</v>
      </c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</row>
    <row r="14">
      <c r="A14" s="337" t="s">
        <v>267</v>
      </c>
      <c r="B14" s="146"/>
      <c r="C14" s="58"/>
      <c r="D14" s="338">
        <f>B19+B20</f>
        <v>13011</v>
      </c>
      <c r="E14" s="328"/>
      <c r="F14" s="339">
        <f>'Общие расходы г. Альметьевск'!F4</f>
        <v>0.5757010515</v>
      </c>
      <c r="G14" s="324"/>
      <c r="H14" s="146"/>
      <c r="I14" s="326">
        <f t="shared" ref="I14:I16" si="4">D14*F14</f>
        <v>7490.446381</v>
      </c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</row>
    <row r="15">
      <c r="A15" s="337" t="s">
        <v>152</v>
      </c>
      <c r="B15" s="146"/>
      <c r="C15" s="58"/>
      <c r="D15" s="338">
        <f>B19+B20</f>
        <v>13011</v>
      </c>
      <c r="E15" s="328"/>
      <c r="F15" s="340">
        <f>'Общие расходы ГЭ'!G16</f>
        <v>9.195626292</v>
      </c>
      <c r="G15" s="324"/>
      <c r="H15" s="146"/>
      <c r="I15" s="326">
        <f t="shared" si="4"/>
        <v>119644.2937</v>
      </c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</row>
    <row r="16">
      <c r="A16" s="322" t="s">
        <v>156</v>
      </c>
      <c r="B16" s="146"/>
      <c r="C16" s="58"/>
      <c r="D16" s="338">
        <f>B19+B20</f>
        <v>13011</v>
      </c>
      <c r="E16" s="328"/>
      <c r="F16" s="340">
        <f>'Общие расходы г. Тюмень'!F30</f>
        <v>0.7480139342</v>
      </c>
      <c r="G16" s="324"/>
      <c r="H16" s="146"/>
      <c r="I16" s="326">
        <f t="shared" si="4"/>
        <v>9732.409298</v>
      </c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</row>
    <row r="17">
      <c r="A17" s="341"/>
      <c r="B17" s="342"/>
      <c r="C17" s="342"/>
      <c r="D17" s="342"/>
      <c r="E17" s="342"/>
      <c r="F17" s="343"/>
      <c r="G17" s="344"/>
      <c r="H17" s="342"/>
      <c r="I17" s="326">
        <f>SUM(I3:I16)</f>
        <v>364650.6419</v>
      </c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</row>
    <row r="18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</row>
    <row r="19">
      <c r="A19" s="68" t="s">
        <v>205</v>
      </c>
      <c r="B19" s="260">
        <f>'Исходные данные'!B40</f>
        <v>7606</v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</row>
    <row r="20">
      <c r="A20" s="68" t="s">
        <v>206</v>
      </c>
      <c r="B20" s="260">
        <f>'Исходные данные'!C40</f>
        <v>5405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</row>
    <row r="21">
      <c r="A21" s="68" t="s">
        <v>207</v>
      </c>
      <c r="B21" s="260">
        <f>'Исходные данные'!D40</f>
        <v>229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</row>
    <row r="22"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</row>
    <row r="23">
      <c r="A23" s="266" t="s">
        <v>208</v>
      </c>
      <c r="B23" s="263"/>
      <c r="C23" s="263"/>
      <c r="D23" s="185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</row>
    <row r="24">
      <c r="A24" s="268" t="s">
        <v>209</v>
      </c>
      <c r="B24" s="269" t="s">
        <v>210</v>
      </c>
      <c r="C24" s="93" t="s">
        <v>5</v>
      </c>
      <c r="D24" s="269" t="s">
        <v>211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</row>
    <row r="25">
      <c r="A25" s="334" t="s">
        <v>268</v>
      </c>
      <c r="B25" s="345">
        <v>270500.0</v>
      </c>
      <c r="C25" s="345">
        <v>12.0</v>
      </c>
      <c r="D25" s="345">
        <f t="shared" ref="D25:D28" si="5">B25/C25</f>
        <v>22541.66667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</row>
    <row r="26">
      <c r="A26" s="334" t="s">
        <v>269</v>
      </c>
      <c r="B26" s="345">
        <v>6500.0</v>
      </c>
      <c r="C26" s="345">
        <v>12.0</v>
      </c>
      <c r="D26" s="345">
        <f t="shared" si="5"/>
        <v>541.6666667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</row>
    <row r="27">
      <c r="A27" s="334" t="s">
        <v>270</v>
      </c>
      <c r="B27" s="345">
        <v>4377.0</v>
      </c>
      <c r="C27" s="345">
        <v>12.0</v>
      </c>
      <c r="D27" s="345">
        <f t="shared" si="5"/>
        <v>364.75</v>
      </c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</row>
    <row r="28">
      <c r="A28" s="87"/>
      <c r="B28" s="345"/>
      <c r="C28" s="345">
        <v>12.0</v>
      </c>
      <c r="D28" s="345">
        <f t="shared" si="5"/>
        <v>0</v>
      </c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</row>
    <row r="29">
      <c r="A29" s="304"/>
      <c r="B29" s="303"/>
      <c r="C29" s="301"/>
      <c r="D29" s="301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</row>
    <row r="30">
      <c r="A30" s="34"/>
      <c r="B30" s="72"/>
      <c r="C30" s="301"/>
      <c r="D30" s="301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</row>
    <row r="31">
      <c r="A31" s="102" t="s">
        <v>62</v>
      </c>
      <c r="B31" s="346"/>
      <c r="C31" s="346"/>
      <c r="D31" s="346">
        <f>SUM(D25:D30)</f>
        <v>23448.08333</v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</row>
    <row r="32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</row>
    <row r="33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</row>
    <row r="34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</row>
    <row r="35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</row>
    <row r="36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</row>
    <row r="37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</row>
    <row r="38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</row>
    <row r="39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</row>
    <row r="40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</row>
    <row r="41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</row>
    <row r="42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</row>
    <row r="43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</row>
    <row r="44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</row>
    <row r="45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</row>
    <row r="46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</row>
    <row r="47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</row>
    <row r="48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</row>
    <row r="49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</row>
    <row r="50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</row>
    <row r="51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</row>
    <row r="52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</row>
    <row r="53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</row>
    <row r="54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</row>
    <row r="55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</row>
    <row r="56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</row>
    <row r="57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</row>
    <row r="58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</row>
    <row r="59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</row>
    <row r="60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</row>
    <row r="61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</row>
    <row r="62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</row>
    <row r="63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</row>
    <row r="64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</row>
    <row r="65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</row>
    <row r="66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</row>
    <row r="67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</row>
    <row r="68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</row>
    <row r="69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</row>
    <row r="70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</row>
    <row r="71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</row>
    <row r="72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</row>
    <row r="73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</row>
    <row r="74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</row>
    <row r="75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</row>
    <row r="76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</row>
    <row r="77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</row>
    <row r="78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</row>
    <row r="79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</row>
    <row r="80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</row>
    <row r="81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</row>
    <row r="82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</row>
    <row r="83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</row>
    <row r="84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</row>
    <row r="85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</row>
    <row r="86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</row>
    <row r="87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</row>
    <row r="88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</row>
    <row r="89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</row>
    <row r="90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</row>
    <row r="91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</row>
    <row r="92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</row>
    <row r="9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</row>
    <row r="94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</row>
    <row r="95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</row>
    <row r="96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</row>
    <row r="97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</row>
    <row r="98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</row>
    <row r="99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</row>
    <row r="100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</row>
    <row r="101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</row>
    <row r="102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</row>
    <row r="10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</row>
    <row r="104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</row>
    <row r="105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</row>
    <row r="106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</row>
    <row r="107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</row>
    <row r="108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</row>
    <row r="109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</row>
    <row r="110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</row>
    <row r="111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</row>
    <row r="112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</row>
    <row r="11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</row>
    <row r="114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</row>
    <row r="115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</row>
    <row r="116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</row>
    <row r="117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</row>
    <row r="118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</row>
    <row r="119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</row>
    <row r="120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</row>
    <row r="121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</row>
    <row r="122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</row>
    <row r="12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</row>
    <row r="124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</row>
    <row r="125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</row>
    <row r="126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</row>
    <row r="127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</row>
    <row r="128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</row>
    <row r="129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</row>
    <row r="130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</row>
    <row r="131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</row>
    <row r="132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</row>
    <row r="13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</row>
    <row r="134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</row>
    <row r="135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</row>
    <row r="1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</row>
    <row r="137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</row>
    <row r="138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</row>
    <row r="139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</row>
    <row r="140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</row>
    <row r="141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</row>
    <row r="142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</row>
    <row r="14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</row>
    <row r="144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</row>
    <row r="145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</row>
    <row r="14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</row>
    <row r="147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</row>
    <row r="148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</row>
    <row r="149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</row>
    <row r="150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</row>
    <row r="151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</row>
    <row r="152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</row>
    <row r="15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</row>
    <row r="154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</row>
    <row r="155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</row>
    <row r="156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</row>
    <row r="157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</row>
    <row r="158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</row>
    <row r="159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</row>
    <row r="160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</row>
    <row r="161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</row>
    <row r="162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</row>
    <row r="16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</row>
    <row r="164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</row>
    <row r="165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</row>
    <row r="166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</row>
    <row r="167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</row>
    <row r="168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</row>
    <row r="169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</row>
    <row r="170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</row>
    <row r="171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</row>
    <row r="172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</row>
    <row r="17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</row>
    <row r="174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</row>
    <row r="175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</row>
    <row r="176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</row>
    <row r="177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</row>
    <row r="178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</row>
    <row r="179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</row>
    <row r="180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</row>
    <row r="181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</row>
    <row r="182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</row>
    <row r="18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</row>
    <row r="184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</row>
    <row r="185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</row>
    <row r="186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</row>
    <row r="187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</row>
    <row r="188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</row>
    <row r="189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</row>
    <row r="190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</row>
    <row r="191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</row>
    <row r="192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</row>
    <row r="19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</row>
    <row r="194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</row>
    <row r="195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</row>
    <row r="196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</row>
    <row r="197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</row>
    <row r="198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</row>
    <row r="199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</row>
    <row r="200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</row>
    <row r="201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</row>
    <row r="202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</row>
    <row r="20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</row>
    <row r="204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</row>
    <row r="205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</row>
    <row r="206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</row>
    <row r="207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</row>
    <row r="208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</row>
    <row r="209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</row>
    <row r="210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</row>
    <row r="211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</row>
    <row r="212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</row>
    <row r="21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</row>
    <row r="214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</row>
    <row r="215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</row>
    <row r="216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</row>
    <row r="217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</row>
    <row r="218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</row>
    <row r="219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</row>
    <row r="220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</row>
    <row r="221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</row>
    <row r="222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</row>
    <row r="22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</row>
    <row r="224">
      <c r="A224" s="46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</row>
    <row r="225">
      <c r="A225" s="46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</row>
    <row r="226">
      <c r="A226" s="46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</row>
    <row r="227">
      <c r="A227" s="46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</row>
    <row r="228">
      <c r="A228" s="46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</row>
    <row r="229">
      <c r="A229" s="46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</row>
    <row r="230">
      <c r="A230" s="46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</row>
    <row r="231">
      <c r="A231" s="46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</row>
    <row r="232">
      <c r="A232" s="46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</row>
    <row r="233">
      <c r="A233" s="46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</row>
    <row r="234">
      <c r="A234" s="46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</row>
    <row r="235">
      <c r="A235" s="46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</row>
    <row r="236">
      <c r="A236" s="46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</row>
    <row r="237">
      <c r="A237" s="46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</row>
    <row r="238">
      <c r="A238" s="46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</row>
    <row r="239">
      <c r="A239" s="46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</row>
    <row r="240">
      <c r="A240" s="46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</row>
    <row r="241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</row>
    <row r="242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</row>
    <row r="243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</row>
    <row r="244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</row>
    <row r="245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</row>
    <row r="246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</row>
    <row r="247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</row>
    <row r="248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</row>
    <row r="249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</row>
    <row r="250">
      <c r="A250" s="46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</row>
    <row r="251">
      <c r="A251" s="46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</row>
    <row r="252">
      <c r="A252" s="46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</row>
    <row r="253">
      <c r="A253" s="46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</row>
    <row r="254">
      <c r="A254" s="46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</row>
    <row r="255">
      <c r="A255" s="46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</row>
    <row r="256">
      <c r="A256" s="46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</row>
    <row r="257">
      <c r="A257" s="46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</row>
    <row r="258">
      <c r="A258" s="46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</row>
    <row r="259">
      <c r="A259" s="46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</row>
    <row r="260">
      <c r="A260" s="46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</row>
    <row r="261">
      <c r="A261" s="46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</row>
    <row r="262">
      <c r="A262" s="46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</row>
    <row r="263">
      <c r="A263" s="46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</row>
    <row r="264">
      <c r="A264" s="46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</row>
    <row r="265">
      <c r="A265" s="46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</row>
    <row r="266">
      <c r="A266" s="46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</row>
    <row r="267">
      <c r="A267" s="46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</row>
    <row r="268">
      <c r="A268" s="46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</row>
    <row r="269">
      <c r="A269" s="46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</row>
    <row r="270">
      <c r="A270" s="46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</row>
    <row r="271">
      <c r="A271" s="46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</row>
    <row r="272">
      <c r="A272" s="46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</row>
    <row r="273">
      <c r="A273" s="46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</row>
    <row r="274">
      <c r="A274" s="46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</row>
    <row r="275">
      <c r="A275" s="46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</row>
    <row r="276">
      <c r="A276" s="46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</row>
    <row r="277">
      <c r="A277" s="46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</row>
    <row r="278">
      <c r="A278" s="46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</row>
    <row r="279">
      <c r="A279" s="46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</row>
    <row r="280">
      <c r="A280" s="46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</row>
    <row r="281">
      <c r="A281" s="46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</row>
    <row r="282">
      <c r="A282" s="46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</row>
    <row r="283">
      <c r="A283" s="46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</row>
    <row r="284">
      <c r="A284" s="46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</row>
    <row r="285">
      <c r="A285" s="46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</row>
    <row r="286">
      <c r="A286" s="46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</row>
    <row r="287">
      <c r="A287" s="46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</row>
    <row r="288">
      <c r="A288" s="46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</row>
    <row r="289">
      <c r="A289" s="46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</row>
    <row r="290">
      <c r="A290" s="46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  <c r="Z290" s="46"/>
      <c r="AA290" s="46"/>
      <c r="AB290" s="46"/>
      <c r="AC290" s="46"/>
      <c r="AD290" s="46"/>
    </row>
    <row r="291">
      <c r="A291" s="46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  <c r="Z291" s="46"/>
      <c r="AA291" s="46"/>
      <c r="AB291" s="46"/>
      <c r="AC291" s="46"/>
      <c r="AD291" s="46"/>
    </row>
    <row r="292">
      <c r="A292" s="46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  <c r="S292" s="46"/>
      <c r="T292" s="46"/>
      <c r="U292" s="46"/>
      <c r="V292" s="46"/>
      <c r="W292" s="46"/>
      <c r="X292" s="46"/>
      <c r="Y292" s="46"/>
      <c r="Z292" s="46"/>
      <c r="AA292" s="46"/>
      <c r="AB292" s="46"/>
      <c r="AC292" s="46"/>
      <c r="AD292" s="46"/>
    </row>
    <row r="293">
      <c r="A293" s="46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  <c r="M293" s="46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  <c r="Z293" s="46"/>
      <c r="AA293" s="46"/>
      <c r="AB293" s="46"/>
      <c r="AC293" s="46"/>
      <c r="AD293" s="46"/>
    </row>
    <row r="294">
      <c r="A294" s="46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  <c r="Z294" s="46"/>
      <c r="AA294" s="46"/>
      <c r="AB294" s="46"/>
      <c r="AC294" s="46"/>
      <c r="AD294" s="46"/>
    </row>
    <row r="295">
      <c r="A295" s="46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  <c r="M295" s="46"/>
      <c r="N295" s="46"/>
      <c r="O295" s="46"/>
      <c r="P295" s="46"/>
      <c r="Q295" s="46"/>
      <c r="R295" s="46"/>
      <c r="S295" s="46"/>
      <c r="T295" s="46"/>
      <c r="U295" s="46"/>
      <c r="V295" s="46"/>
      <c r="W295" s="46"/>
      <c r="X295" s="46"/>
      <c r="Y295" s="46"/>
      <c r="Z295" s="46"/>
      <c r="AA295" s="46"/>
      <c r="AB295" s="46"/>
      <c r="AC295" s="46"/>
      <c r="AD295" s="46"/>
    </row>
    <row r="296">
      <c r="A296" s="46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6"/>
      <c r="AA296" s="46"/>
      <c r="AB296" s="46"/>
      <c r="AC296" s="46"/>
      <c r="AD296" s="46"/>
    </row>
    <row r="297">
      <c r="A297" s="46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6"/>
      <c r="AA297" s="46"/>
      <c r="AB297" s="46"/>
      <c r="AC297" s="46"/>
      <c r="AD297" s="46"/>
    </row>
    <row r="298">
      <c r="A298" s="46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6"/>
      <c r="AA298" s="46"/>
      <c r="AB298" s="46"/>
      <c r="AC298" s="46"/>
      <c r="AD298" s="46"/>
    </row>
    <row r="299">
      <c r="A299" s="46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  <c r="Z299" s="46"/>
      <c r="AA299" s="46"/>
      <c r="AB299" s="46"/>
      <c r="AC299" s="46"/>
      <c r="AD299" s="46"/>
    </row>
    <row r="300">
      <c r="A300" s="46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  <c r="Z300" s="46"/>
      <c r="AA300" s="46"/>
      <c r="AB300" s="46"/>
      <c r="AC300" s="46"/>
      <c r="AD300" s="46"/>
    </row>
    <row r="301">
      <c r="A301" s="46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  <c r="M301" s="46"/>
      <c r="N301" s="46"/>
      <c r="O301" s="46"/>
      <c r="P301" s="46"/>
      <c r="Q301" s="46"/>
      <c r="R301" s="46"/>
      <c r="S301" s="46"/>
      <c r="T301" s="46"/>
      <c r="U301" s="46"/>
      <c r="V301" s="46"/>
      <c r="W301" s="46"/>
      <c r="X301" s="46"/>
      <c r="Y301" s="46"/>
      <c r="Z301" s="46"/>
      <c r="AA301" s="46"/>
      <c r="AB301" s="46"/>
      <c r="AC301" s="46"/>
      <c r="AD301" s="46"/>
    </row>
    <row r="302">
      <c r="A302" s="46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  <c r="M302" s="46"/>
      <c r="N302" s="46"/>
      <c r="O302" s="46"/>
      <c r="P302" s="46"/>
      <c r="Q302" s="46"/>
      <c r="R302" s="46"/>
      <c r="S302" s="46"/>
      <c r="T302" s="46"/>
      <c r="U302" s="46"/>
      <c r="V302" s="46"/>
      <c r="W302" s="46"/>
      <c r="X302" s="46"/>
      <c r="Y302" s="46"/>
      <c r="Z302" s="46"/>
      <c r="AA302" s="46"/>
      <c r="AB302" s="46"/>
      <c r="AC302" s="46"/>
      <c r="AD302" s="46"/>
    </row>
    <row r="303">
      <c r="A303" s="46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M303" s="46"/>
      <c r="N303" s="46"/>
      <c r="O303" s="46"/>
      <c r="P303" s="46"/>
      <c r="Q303" s="46"/>
      <c r="R303" s="46"/>
      <c r="S303" s="46"/>
      <c r="T303" s="46"/>
      <c r="U303" s="46"/>
      <c r="V303" s="46"/>
      <c r="W303" s="46"/>
      <c r="X303" s="46"/>
      <c r="Y303" s="46"/>
      <c r="Z303" s="46"/>
      <c r="AA303" s="46"/>
      <c r="AB303" s="46"/>
      <c r="AC303" s="46"/>
      <c r="AD303" s="46"/>
    </row>
    <row r="304">
      <c r="A304" s="46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  <c r="S304" s="46"/>
      <c r="T304" s="46"/>
      <c r="U304" s="46"/>
      <c r="V304" s="46"/>
      <c r="W304" s="46"/>
      <c r="X304" s="46"/>
      <c r="Y304" s="46"/>
      <c r="Z304" s="46"/>
      <c r="AA304" s="46"/>
      <c r="AB304" s="46"/>
      <c r="AC304" s="46"/>
      <c r="AD304" s="46"/>
    </row>
    <row r="305">
      <c r="A305" s="46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M305" s="46"/>
      <c r="N305" s="46"/>
      <c r="O305" s="46"/>
      <c r="P305" s="46"/>
      <c r="Q305" s="46"/>
      <c r="R305" s="46"/>
      <c r="S305" s="46"/>
      <c r="T305" s="46"/>
      <c r="U305" s="46"/>
      <c r="V305" s="46"/>
      <c r="W305" s="46"/>
      <c r="X305" s="46"/>
      <c r="Y305" s="46"/>
      <c r="Z305" s="46"/>
      <c r="AA305" s="46"/>
      <c r="AB305" s="46"/>
      <c r="AC305" s="46"/>
      <c r="AD305" s="46"/>
    </row>
    <row r="306">
      <c r="A306" s="46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M306" s="46"/>
      <c r="N306" s="46"/>
      <c r="O306" s="46"/>
      <c r="P306" s="46"/>
      <c r="Q306" s="46"/>
      <c r="R306" s="46"/>
      <c r="S306" s="46"/>
      <c r="T306" s="46"/>
      <c r="U306" s="46"/>
      <c r="V306" s="46"/>
      <c r="W306" s="46"/>
      <c r="X306" s="46"/>
      <c r="Y306" s="46"/>
      <c r="Z306" s="46"/>
      <c r="AA306" s="46"/>
      <c r="AB306" s="46"/>
      <c r="AC306" s="46"/>
      <c r="AD306" s="46"/>
    </row>
    <row r="307">
      <c r="A307" s="46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M307" s="46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  <c r="Z307" s="46"/>
      <c r="AA307" s="46"/>
      <c r="AB307" s="46"/>
      <c r="AC307" s="46"/>
      <c r="AD307" s="46"/>
    </row>
    <row r="308">
      <c r="A308" s="46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  <c r="Z308" s="46"/>
      <c r="AA308" s="46"/>
      <c r="AB308" s="46"/>
      <c r="AC308" s="46"/>
      <c r="AD308" s="46"/>
    </row>
    <row r="309">
      <c r="A309" s="46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M309" s="46"/>
      <c r="N309" s="46"/>
      <c r="O309" s="46"/>
      <c r="P309" s="46"/>
      <c r="Q309" s="46"/>
      <c r="R309" s="46"/>
      <c r="S309" s="46"/>
      <c r="T309" s="46"/>
      <c r="U309" s="46"/>
      <c r="V309" s="46"/>
      <c r="W309" s="46"/>
      <c r="X309" s="46"/>
      <c r="Y309" s="46"/>
      <c r="Z309" s="46"/>
      <c r="AA309" s="46"/>
      <c r="AB309" s="46"/>
      <c r="AC309" s="46"/>
      <c r="AD309" s="46"/>
    </row>
    <row r="310">
      <c r="A310" s="46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M310" s="46"/>
      <c r="N310" s="46"/>
      <c r="O310" s="46"/>
      <c r="P310" s="46"/>
      <c r="Q310" s="46"/>
      <c r="R310" s="46"/>
      <c r="S310" s="46"/>
      <c r="T310" s="46"/>
      <c r="U310" s="46"/>
      <c r="V310" s="46"/>
      <c r="W310" s="46"/>
      <c r="X310" s="46"/>
      <c r="Y310" s="46"/>
      <c r="Z310" s="46"/>
      <c r="AA310" s="46"/>
      <c r="AB310" s="46"/>
      <c r="AC310" s="46"/>
      <c r="AD310" s="46"/>
    </row>
    <row r="311">
      <c r="A311" s="46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M311" s="46"/>
      <c r="N311" s="46"/>
      <c r="O311" s="46"/>
      <c r="P311" s="46"/>
      <c r="Q311" s="46"/>
      <c r="R311" s="46"/>
      <c r="S311" s="46"/>
      <c r="T311" s="46"/>
      <c r="U311" s="46"/>
      <c r="V311" s="46"/>
      <c r="W311" s="46"/>
      <c r="X311" s="46"/>
      <c r="Y311" s="46"/>
      <c r="Z311" s="46"/>
      <c r="AA311" s="46"/>
      <c r="AB311" s="46"/>
      <c r="AC311" s="46"/>
      <c r="AD311" s="46"/>
    </row>
    <row r="312">
      <c r="A312" s="46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6"/>
      <c r="AA312" s="46"/>
      <c r="AB312" s="46"/>
      <c r="AC312" s="46"/>
      <c r="AD312" s="46"/>
    </row>
    <row r="313">
      <c r="A313" s="46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  <c r="Z313" s="46"/>
      <c r="AA313" s="46"/>
      <c r="AB313" s="46"/>
      <c r="AC313" s="46"/>
      <c r="AD313" s="46"/>
    </row>
    <row r="314">
      <c r="A314" s="46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  <c r="AA314" s="46"/>
      <c r="AB314" s="46"/>
      <c r="AC314" s="46"/>
      <c r="AD314" s="46"/>
    </row>
    <row r="315">
      <c r="A315" s="46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  <c r="Z315" s="46"/>
      <c r="AA315" s="46"/>
      <c r="AB315" s="46"/>
      <c r="AC315" s="46"/>
      <c r="AD315" s="46"/>
    </row>
    <row r="316">
      <c r="A316" s="46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  <c r="Z316" s="46"/>
      <c r="AA316" s="46"/>
      <c r="AB316" s="46"/>
      <c r="AC316" s="46"/>
      <c r="AD316" s="46"/>
    </row>
    <row r="317">
      <c r="A317" s="46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6"/>
      <c r="AA317" s="46"/>
      <c r="AB317" s="46"/>
      <c r="AC317" s="46"/>
      <c r="AD317" s="46"/>
    </row>
    <row r="318">
      <c r="A318" s="46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  <c r="Z318" s="46"/>
      <c r="AA318" s="46"/>
      <c r="AB318" s="46"/>
      <c r="AC318" s="46"/>
      <c r="AD318" s="46"/>
    </row>
    <row r="319">
      <c r="A319" s="46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  <c r="Z319" s="46"/>
      <c r="AA319" s="46"/>
      <c r="AB319" s="46"/>
      <c r="AC319" s="46"/>
      <c r="AD319" s="46"/>
    </row>
    <row r="320">
      <c r="A320" s="46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  <c r="Z320" s="46"/>
      <c r="AA320" s="46"/>
      <c r="AB320" s="46"/>
      <c r="AC320" s="46"/>
      <c r="AD320" s="46"/>
    </row>
    <row r="321">
      <c r="A321" s="46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  <c r="Z321" s="46"/>
      <c r="AA321" s="46"/>
      <c r="AB321" s="46"/>
      <c r="AC321" s="46"/>
      <c r="AD321" s="46"/>
    </row>
    <row r="322">
      <c r="A322" s="46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  <c r="Z322" s="46"/>
      <c r="AA322" s="46"/>
      <c r="AB322" s="46"/>
      <c r="AC322" s="46"/>
      <c r="AD322" s="46"/>
    </row>
    <row r="323">
      <c r="A323" s="46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6"/>
      <c r="AA323" s="46"/>
      <c r="AB323" s="46"/>
      <c r="AC323" s="46"/>
      <c r="AD323" s="46"/>
    </row>
    <row r="324">
      <c r="A324" s="46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  <c r="Z324" s="46"/>
      <c r="AA324" s="46"/>
      <c r="AB324" s="46"/>
      <c r="AC324" s="46"/>
      <c r="AD324" s="46"/>
    </row>
    <row r="325">
      <c r="A325" s="46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6"/>
      <c r="AA325" s="46"/>
      <c r="AB325" s="46"/>
      <c r="AC325" s="46"/>
      <c r="AD325" s="46"/>
    </row>
    <row r="326">
      <c r="A326" s="46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6"/>
      <c r="AA326" s="46"/>
      <c r="AB326" s="46"/>
      <c r="AC326" s="46"/>
      <c r="AD326" s="46"/>
    </row>
    <row r="327">
      <c r="A327" s="46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46"/>
      <c r="X327" s="46"/>
      <c r="Y327" s="46"/>
      <c r="Z327" s="46"/>
      <c r="AA327" s="46"/>
      <c r="AB327" s="46"/>
      <c r="AC327" s="46"/>
      <c r="AD327" s="46"/>
    </row>
    <row r="328">
      <c r="A328" s="46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  <c r="S328" s="46"/>
      <c r="T328" s="46"/>
      <c r="U328" s="46"/>
      <c r="V328" s="46"/>
      <c r="W328" s="46"/>
      <c r="X328" s="46"/>
      <c r="Y328" s="46"/>
      <c r="Z328" s="46"/>
      <c r="AA328" s="46"/>
      <c r="AB328" s="46"/>
      <c r="AC328" s="46"/>
      <c r="AD328" s="46"/>
    </row>
    <row r="329">
      <c r="A329" s="46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46"/>
      <c r="N329" s="46"/>
      <c r="O329" s="46"/>
      <c r="P329" s="46"/>
      <c r="Q329" s="46"/>
      <c r="R329" s="46"/>
      <c r="S329" s="46"/>
      <c r="T329" s="46"/>
      <c r="U329" s="46"/>
      <c r="V329" s="46"/>
      <c r="W329" s="46"/>
      <c r="X329" s="46"/>
      <c r="Y329" s="46"/>
      <c r="Z329" s="46"/>
      <c r="AA329" s="46"/>
      <c r="AB329" s="46"/>
      <c r="AC329" s="46"/>
      <c r="AD329" s="46"/>
    </row>
    <row r="330">
      <c r="A330" s="46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6"/>
      <c r="AA330" s="46"/>
      <c r="AB330" s="46"/>
      <c r="AC330" s="46"/>
      <c r="AD330" s="46"/>
    </row>
    <row r="331">
      <c r="A331" s="46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  <c r="Z331" s="46"/>
      <c r="AA331" s="46"/>
      <c r="AB331" s="46"/>
      <c r="AC331" s="46"/>
      <c r="AD331" s="46"/>
    </row>
    <row r="332">
      <c r="A332" s="46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  <c r="Z332" s="46"/>
      <c r="AA332" s="46"/>
      <c r="AB332" s="46"/>
      <c r="AC332" s="46"/>
      <c r="AD332" s="46"/>
    </row>
    <row r="333">
      <c r="A333" s="46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  <c r="Z333" s="46"/>
      <c r="AA333" s="46"/>
      <c r="AB333" s="46"/>
      <c r="AC333" s="46"/>
      <c r="AD333" s="46"/>
    </row>
    <row r="334">
      <c r="A334" s="46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  <c r="Z334" s="46"/>
      <c r="AA334" s="46"/>
      <c r="AB334" s="46"/>
      <c r="AC334" s="46"/>
      <c r="AD334" s="46"/>
    </row>
    <row r="335">
      <c r="A335" s="46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  <c r="Z335" s="46"/>
      <c r="AA335" s="46"/>
      <c r="AB335" s="46"/>
      <c r="AC335" s="46"/>
      <c r="AD335" s="46"/>
    </row>
    <row r="336">
      <c r="A336" s="46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6"/>
      <c r="AA336" s="46"/>
      <c r="AB336" s="46"/>
      <c r="AC336" s="46"/>
      <c r="AD336" s="46"/>
    </row>
    <row r="337">
      <c r="A337" s="46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  <c r="Z337" s="46"/>
      <c r="AA337" s="46"/>
      <c r="AB337" s="46"/>
      <c r="AC337" s="46"/>
      <c r="AD337" s="46"/>
    </row>
    <row r="338">
      <c r="A338" s="46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  <c r="Z338" s="46"/>
      <c r="AA338" s="46"/>
      <c r="AB338" s="46"/>
      <c r="AC338" s="46"/>
      <c r="AD338" s="46"/>
    </row>
    <row r="339">
      <c r="A339" s="46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  <c r="Z339" s="46"/>
      <c r="AA339" s="46"/>
      <c r="AB339" s="46"/>
      <c r="AC339" s="46"/>
      <c r="AD339" s="46"/>
    </row>
    <row r="340">
      <c r="A340" s="46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  <c r="Z340" s="46"/>
      <c r="AA340" s="46"/>
      <c r="AB340" s="46"/>
      <c r="AC340" s="46"/>
      <c r="AD340" s="46"/>
    </row>
    <row r="341">
      <c r="A341" s="46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  <c r="Z341" s="46"/>
      <c r="AA341" s="46"/>
      <c r="AB341" s="46"/>
      <c r="AC341" s="46"/>
      <c r="AD341" s="46"/>
    </row>
    <row r="342">
      <c r="A342" s="46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6"/>
      <c r="AA342" s="46"/>
      <c r="AB342" s="46"/>
      <c r="AC342" s="46"/>
      <c r="AD342" s="46"/>
    </row>
    <row r="343">
      <c r="A343" s="46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  <c r="Z343" s="46"/>
      <c r="AA343" s="46"/>
      <c r="AB343" s="46"/>
      <c r="AC343" s="46"/>
      <c r="AD343" s="46"/>
    </row>
    <row r="344">
      <c r="A344" s="46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6"/>
      <c r="AA344" s="46"/>
      <c r="AB344" s="46"/>
      <c r="AC344" s="46"/>
      <c r="AD344" s="46"/>
    </row>
    <row r="345">
      <c r="A345" s="46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  <c r="Z345" s="46"/>
      <c r="AA345" s="46"/>
      <c r="AB345" s="46"/>
      <c r="AC345" s="46"/>
      <c r="AD345" s="46"/>
    </row>
    <row r="346">
      <c r="A346" s="46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6"/>
      <c r="AA346" s="46"/>
      <c r="AB346" s="46"/>
      <c r="AC346" s="46"/>
      <c r="AD346" s="46"/>
    </row>
    <row r="347">
      <c r="A347" s="46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  <c r="Z347" s="46"/>
      <c r="AA347" s="46"/>
      <c r="AB347" s="46"/>
      <c r="AC347" s="46"/>
      <c r="AD347" s="46"/>
    </row>
    <row r="348">
      <c r="A348" s="46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  <c r="Z348" s="46"/>
      <c r="AA348" s="46"/>
      <c r="AB348" s="46"/>
      <c r="AC348" s="46"/>
      <c r="AD348" s="46"/>
    </row>
    <row r="349">
      <c r="A349" s="46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  <c r="Z349" s="46"/>
      <c r="AA349" s="46"/>
      <c r="AB349" s="46"/>
      <c r="AC349" s="46"/>
      <c r="AD349" s="46"/>
    </row>
    <row r="350">
      <c r="A350" s="46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6"/>
      <c r="AA350" s="46"/>
      <c r="AB350" s="46"/>
      <c r="AC350" s="46"/>
      <c r="AD350" s="46"/>
    </row>
    <row r="351">
      <c r="A351" s="46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46"/>
      <c r="N351" s="46"/>
      <c r="O351" s="46"/>
      <c r="P351" s="46"/>
      <c r="Q351" s="46"/>
      <c r="R351" s="46"/>
      <c r="S351" s="46"/>
      <c r="T351" s="46"/>
      <c r="U351" s="46"/>
      <c r="V351" s="46"/>
      <c r="W351" s="46"/>
      <c r="X351" s="46"/>
      <c r="Y351" s="46"/>
      <c r="Z351" s="46"/>
      <c r="AA351" s="46"/>
      <c r="AB351" s="46"/>
      <c r="AC351" s="46"/>
      <c r="AD351" s="46"/>
    </row>
    <row r="352">
      <c r="A352" s="46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  <c r="Z352" s="46"/>
      <c r="AA352" s="46"/>
      <c r="AB352" s="46"/>
      <c r="AC352" s="46"/>
      <c r="AD352" s="46"/>
    </row>
    <row r="353">
      <c r="A353" s="46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6"/>
      <c r="AA353" s="46"/>
      <c r="AB353" s="46"/>
      <c r="AC353" s="46"/>
      <c r="AD353" s="46"/>
    </row>
    <row r="354">
      <c r="A354" s="46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  <c r="Z354" s="46"/>
      <c r="AA354" s="46"/>
      <c r="AB354" s="46"/>
      <c r="AC354" s="46"/>
      <c r="AD354" s="46"/>
    </row>
    <row r="355">
      <c r="A355" s="46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  <c r="Z355" s="46"/>
      <c r="AA355" s="46"/>
      <c r="AB355" s="46"/>
      <c r="AC355" s="46"/>
      <c r="AD355" s="46"/>
    </row>
    <row r="356">
      <c r="A356" s="46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  <c r="Z356" s="46"/>
      <c r="AA356" s="46"/>
      <c r="AB356" s="46"/>
      <c r="AC356" s="46"/>
      <c r="AD356" s="46"/>
    </row>
    <row r="357">
      <c r="A357" s="46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6"/>
      <c r="AA357" s="46"/>
      <c r="AB357" s="46"/>
      <c r="AC357" s="46"/>
      <c r="AD357" s="46"/>
    </row>
    <row r="358">
      <c r="A358" s="46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  <c r="Z358" s="46"/>
      <c r="AA358" s="46"/>
      <c r="AB358" s="46"/>
      <c r="AC358" s="46"/>
      <c r="AD358" s="46"/>
    </row>
    <row r="359">
      <c r="A359" s="46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6"/>
      <c r="AA359" s="46"/>
      <c r="AB359" s="46"/>
      <c r="AC359" s="46"/>
      <c r="AD359" s="46"/>
    </row>
    <row r="360">
      <c r="A360" s="46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  <c r="Z360" s="46"/>
      <c r="AA360" s="46"/>
      <c r="AB360" s="46"/>
      <c r="AC360" s="46"/>
      <c r="AD360" s="46"/>
    </row>
    <row r="361">
      <c r="A361" s="46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6"/>
      <c r="AA361" s="46"/>
      <c r="AB361" s="46"/>
      <c r="AC361" s="46"/>
      <c r="AD361" s="46"/>
    </row>
    <row r="362">
      <c r="A362" s="46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  <c r="Z362" s="46"/>
      <c r="AA362" s="46"/>
      <c r="AB362" s="46"/>
      <c r="AC362" s="46"/>
      <c r="AD362" s="46"/>
    </row>
    <row r="363">
      <c r="A363" s="46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6"/>
      <c r="AA363" s="46"/>
      <c r="AB363" s="46"/>
      <c r="AC363" s="46"/>
      <c r="AD363" s="46"/>
    </row>
    <row r="364">
      <c r="A364" s="46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6"/>
      <c r="AA364" s="46"/>
      <c r="AB364" s="46"/>
      <c r="AC364" s="46"/>
      <c r="AD364" s="46"/>
    </row>
    <row r="365">
      <c r="A365" s="46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46"/>
      <c r="N365" s="46"/>
      <c r="O365" s="46"/>
      <c r="P365" s="46"/>
      <c r="Q365" s="46"/>
      <c r="R365" s="46"/>
      <c r="S365" s="46"/>
      <c r="T365" s="46"/>
      <c r="U365" s="46"/>
      <c r="V365" s="46"/>
      <c r="W365" s="46"/>
      <c r="X365" s="46"/>
      <c r="Y365" s="46"/>
      <c r="Z365" s="46"/>
      <c r="AA365" s="46"/>
      <c r="AB365" s="46"/>
      <c r="AC365" s="46"/>
      <c r="AD365" s="46"/>
    </row>
    <row r="366">
      <c r="A366" s="46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46"/>
      <c r="N366" s="46"/>
      <c r="O366" s="46"/>
      <c r="P366" s="46"/>
      <c r="Q366" s="46"/>
      <c r="R366" s="46"/>
      <c r="S366" s="46"/>
      <c r="T366" s="46"/>
      <c r="U366" s="46"/>
      <c r="V366" s="46"/>
      <c r="W366" s="46"/>
      <c r="X366" s="46"/>
      <c r="Y366" s="46"/>
      <c r="Z366" s="46"/>
      <c r="AA366" s="46"/>
      <c r="AB366" s="46"/>
      <c r="AC366" s="46"/>
      <c r="AD366" s="46"/>
    </row>
    <row r="367">
      <c r="A367" s="46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46"/>
      <c r="N367" s="46"/>
      <c r="O367" s="46"/>
      <c r="P367" s="46"/>
      <c r="Q367" s="46"/>
      <c r="R367" s="46"/>
      <c r="S367" s="46"/>
      <c r="T367" s="46"/>
      <c r="U367" s="46"/>
      <c r="V367" s="46"/>
      <c r="W367" s="46"/>
      <c r="X367" s="46"/>
      <c r="Y367" s="46"/>
      <c r="Z367" s="46"/>
      <c r="AA367" s="46"/>
      <c r="AB367" s="46"/>
      <c r="AC367" s="46"/>
      <c r="AD367" s="46"/>
    </row>
    <row r="368">
      <c r="A368" s="46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46"/>
      <c r="X368" s="46"/>
      <c r="Y368" s="46"/>
      <c r="Z368" s="46"/>
      <c r="AA368" s="46"/>
      <c r="AB368" s="46"/>
      <c r="AC368" s="46"/>
      <c r="AD368" s="46"/>
    </row>
    <row r="369">
      <c r="A369" s="46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46"/>
      <c r="X369" s="46"/>
      <c r="Y369" s="46"/>
      <c r="Z369" s="46"/>
      <c r="AA369" s="46"/>
      <c r="AB369" s="46"/>
      <c r="AC369" s="46"/>
      <c r="AD369" s="46"/>
    </row>
    <row r="370">
      <c r="A370" s="46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46"/>
      <c r="X370" s="46"/>
      <c r="Y370" s="46"/>
      <c r="Z370" s="46"/>
      <c r="AA370" s="46"/>
      <c r="AB370" s="46"/>
      <c r="AC370" s="46"/>
      <c r="AD370" s="46"/>
    </row>
    <row r="371">
      <c r="A371" s="46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46"/>
      <c r="X371" s="46"/>
      <c r="Y371" s="46"/>
      <c r="Z371" s="46"/>
      <c r="AA371" s="46"/>
      <c r="AB371" s="46"/>
      <c r="AC371" s="46"/>
      <c r="AD371" s="46"/>
    </row>
    <row r="372">
      <c r="A372" s="46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46"/>
      <c r="X372" s="46"/>
      <c r="Y372" s="46"/>
      <c r="Z372" s="46"/>
      <c r="AA372" s="46"/>
      <c r="AB372" s="46"/>
      <c r="AC372" s="46"/>
      <c r="AD372" s="46"/>
    </row>
    <row r="373">
      <c r="A373" s="46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46"/>
      <c r="X373" s="46"/>
      <c r="Y373" s="46"/>
      <c r="Z373" s="46"/>
      <c r="AA373" s="46"/>
      <c r="AB373" s="46"/>
      <c r="AC373" s="46"/>
      <c r="AD373" s="46"/>
    </row>
    <row r="374">
      <c r="A374" s="46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46"/>
      <c r="X374" s="46"/>
      <c r="Y374" s="46"/>
      <c r="Z374" s="46"/>
      <c r="AA374" s="46"/>
      <c r="AB374" s="46"/>
      <c r="AC374" s="46"/>
      <c r="AD374" s="46"/>
    </row>
    <row r="375">
      <c r="A375" s="46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46"/>
      <c r="X375" s="46"/>
      <c r="Y375" s="46"/>
      <c r="Z375" s="46"/>
      <c r="AA375" s="46"/>
      <c r="AB375" s="46"/>
      <c r="AC375" s="46"/>
      <c r="AD375" s="46"/>
    </row>
    <row r="376">
      <c r="A376" s="46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46"/>
      <c r="X376" s="46"/>
      <c r="Y376" s="46"/>
      <c r="Z376" s="46"/>
      <c r="AA376" s="46"/>
      <c r="AB376" s="46"/>
      <c r="AC376" s="46"/>
      <c r="AD376" s="46"/>
    </row>
    <row r="377">
      <c r="A377" s="46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46"/>
      <c r="X377" s="46"/>
      <c r="Y377" s="46"/>
      <c r="Z377" s="46"/>
      <c r="AA377" s="46"/>
      <c r="AB377" s="46"/>
      <c r="AC377" s="46"/>
      <c r="AD377" s="46"/>
    </row>
    <row r="378">
      <c r="A378" s="46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46"/>
      <c r="X378" s="46"/>
      <c r="Y378" s="46"/>
      <c r="Z378" s="46"/>
      <c r="AA378" s="46"/>
      <c r="AB378" s="46"/>
      <c r="AC378" s="46"/>
      <c r="AD378" s="46"/>
    </row>
    <row r="379">
      <c r="A379" s="46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46"/>
      <c r="X379" s="46"/>
      <c r="Y379" s="46"/>
      <c r="Z379" s="46"/>
      <c r="AA379" s="46"/>
      <c r="AB379" s="46"/>
      <c r="AC379" s="46"/>
      <c r="AD379" s="46"/>
    </row>
    <row r="380">
      <c r="A380" s="46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46"/>
      <c r="X380" s="46"/>
      <c r="Y380" s="46"/>
      <c r="Z380" s="46"/>
      <c r="AA380" s="46"/>
      <c r="AB380" s="46"/>
      <c r="AC380" s="46"/>
      <c r="AD380" s="46"/>
    </row>
    <row r="381">
      <c r="A381" s="46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46"/>
      <c r="X381" s="46"/>
      <c r="Y381" s="46"/>
      <c r="Z381" s="46"/>
      <c r="AA381" s="46"/>
      <c r="AB381" s="46"/>
      <c r="AC381" s="46"/>
      <c r="AD381" s="46"/>
    </row>
    <row r="382">
      <c r="A382" s="46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46"/>
      <c r="X382" s="46"/>
      <c r="Y382" s="46"/>
      <c r="Z382" s="46"/>
      <c r="AA382" s="46"/>
      <c r="AB382" s="46"/>
      <c r="AC382" s="46"/>
      <c r="AD382" s="46"/>
    </row>
    <row r="383">
      <c r="A383" s="46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46"/>
      <c r="X383" s="46"/>
      <c r="Y383" s="46"/>
      <c r="Z383" s="46"/>
      <c r="AA383" s="46"/>
      <c r="AB383" s="46"/>
      <c r="AC383" s="46"/>
      <c r="AD383" s="46"/>
    </row>
    <row r="384">
      <c r="A384" s="46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46"/>
      <c r="X384" s="46"/>
      <c r="Y384" s="46"/>
      <c r="Z384" s="46"/>
      <c r="AA384" s="46"/>
      <c r="AB384" s="46"/>
      <c r="AC384" s="46"/>
      <c r="AD384" s="46"/>
    </row>
    <row r="385">
      <c r="A385" s="46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46"/>
      <c r="X385" s="46"/>
      <c r="Y385" s="46"/>
      <c r="Z385" s="46"/>
      <c r="AA385" s="46"/>
      <c r="AB385" s="46"/>
      <c r="AC385" s="46"/>
      <c r="AD385" s="46"/>
    </row>
    <row r="386">
      <c r="A386" s="46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46"/>
      <c r="X386" s="46"/>
      <c r="Y386" s="46"/>
      <c r="Z386" s="46"/>
      <c r="AA386" s="46"/>
      <c r="AB386" s="46"/>
      <c r="AC386" s="46"/>
      <c r="AD386" s="46"/>
    </row>
    <row r="387">
      <c r="A387" s="46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46"/>
      <c r="X387" s="46"/>
      <c r="Y387" s="46"/>
      <c r="Z387" s="46"/>
      <c r="AA387" s="46"/>
      <c r="AB387" s="46"/>
      <c r="AC387" s="46"/>
      <c r="AD387" s="46"/>
    </row>
    <row r="388">
      <c r="A388" s="46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46"/>
      <c r="X388" s="46"/>
      <c r="Y388" s="46"/>
      <c r="Z388" s="46"/>
      <c r="AA388" s="46"/>
      <c r="AB388" s="46"/>
      <c r="AC388" s="46"/>
      <c r="AD388" s="46"/>
    </row>
    <row r="389">
      <c r="A389" s="46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46"/>
      <c r="X389" s="46"/>
      <c r="Y389" s="46"/>
      <c r="Z389" s="46"/>
      <c r="AA389" s="46"/>
      <c r="AB389" s="46"/>
      <c r="AC389" s="46"/>
      <c r="AD389" s="46"/>
    </row>
    <row r="390">
      <c r="A390" s="46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46"/>
      <c r="X390" s="46"/>
      <c r="Y390" s="46"/>
      <c r="Z390" s="46"/>
      <c r="AA390" s="46"/>
      <c r="AB390" s="46"/>
      <c r="AC390" s="46"/>
      <c r="AD390" s="46"/>
    </row>
    <row r="391">
      <c r="A391" s="46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46"/>
      <c r="X391" s="46"/>
      <c r="Y391" s="46"/>
      <c r="Z391" s="46"/>
      <c r="AA391" s="46"/>
      <c r="AB391" s="46"/>
      <c r="AC391" s="46"/>
      <c r="AD391" s="46"/>
    </row>
    <row r="392">
      <c r="A392" s="46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46"/>
      <c r="X392" s="46"/>
      <c r="Y392" s="46"/>
      <c r="Z392" s="46"/>
      <c r="AA392" s="46"/>
      <c r="AB392" s="46"/>
      <c r="AC392" s="46"/>
      <c r="AD392" s="46"/>
    </row>
    <row r="393">
      <c r="A393" s="46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46"/>
      <c r="X393" s="46"/>
      <c r="Y393" s="46"/>
      <c r="Z393" s="46"/>
      <c r="AA393" s="46"/>
      <c r="AB393" s="46"/>
      <c r="AC393" s="46"/>
      <c r="AD393" s="46"/>
    </row>
    <row r="394">
      <c r="A394" s="46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46"/>
      <c r="X394" s="46"/>
      <c r="Y394" s="46"/>
      <c r="Z394" s="46"/>
      <c r="AA394" s="46"/>
      <c r="AB394" s="46"/>
      <c r="AC394" s="46"/>
      <c r="AD394" s="46"/>
    </row>
    <row r="395">
      <c r="A395" s="46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  <c r="Z395" s="46"/>
      <c r="AA395" s="46"/>
      <c r="AB395" s="46"/>
      <c r="AC395" s="46"/>
      <c r="AD395" s="46"/>
    </row>
    <row r="396">
      <c r="A396" s="46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46"/>
      <c r="X396" s="46"/>
      <c r="Y396" s="46"/>
      <c r="Z396" s="46"/>
      <c r="AA396" s="46"/>
      <c r="AB396" s="46"/>
      <c r="AC396" s="46"/>
      <c r="AD396" s="46"/>
    </row>
    <row r="397">
      <c r="A397" s="46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46"/>
      <c r="X397" s="46"/>
      <c r="Y397" s="46"/>
      <c r="Z397" s="46"/>
      <c r="AA397" s="46"/>
      <c r="AB397" s="46"/>
      <c r="AC397" s="46"/>
      <c r="AD397" s="46"/>
    </row>
    <row r="398">
      <c r="A398" s="46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46"/>
      <c r="X398" s="46"/>
      <c r="Y398" s="46"/>
      <c r="Z398" s="46"/>
      <c r="AA398" s="46"/>
      <c r="AB398" s="46"/>
      <c r="AC398" s="46"/>
      <c r="AD398" s="46"/>
    </row>
    <row r="399">
      <c r="A399" s="46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46"/>
      <c r="X399" s="46"/>
      <c r="Y399" s="46"/>
      <c r="Z399" s="46"/>
      <c r="AA399" s="46"/>
      <c r="AB399" s="46"/>
      <c r="AC399" s="46"/>
      <c r="AD399" s="46"/>
    </row>
    <row r="400">
      <c r="A400" s="46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  <c r="Z400" s="46"/>
      <c r="AA400" s="46"/>
      <c r="AB400" s="46"/>
      <c r="AC400" s="46"/>
      <c r="AD400" s="46"/>
    </row>
    <row r="401">
      <c r="A401" s="46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46"/>
      <c r="X401" s="46"/>
      <c r="Y401" s="46"/>
      <c r="Z401" s="46"/>
      <c r="AA401" s="46"/>
      <c r="AB401" s="46"/>
      <c r="AC401" s="46"/>
      <c r="AD401" s="46"/>
    </row>
    <row r="402">
      <c r="A402" s="46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46"/>
      <c r="X402" s="46"/>
      <c r="Y402" s="46"/>
      <c r="Z402" s="46"/>
      <c r="AA402" s="46"/>
      <c r="AB402" s="46"/>
      <c r="AC402" s="46"/>
      <c r="AD402" s="46"/>
    </row>
    <row r="403">
      <c r="A403" s="46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46"/>
      <c r="X403" s="46"/>
      <c r="Y403" s="46"/>
      <c r="Z403" s="46"/>
      <c r="AA403" s="46"/>
      <c r="AB403" s="46"/>
      <c r="AC403" s="46"/>
      <c r="AD403" s="46"/>
    </row>
    <row r="404">
      <c r="A404" s="46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46"/>
      <c r="X404" s="46"/>
      <c r="Y404" s="46"/>
      <c r="Z404" s="46"/>
      <c r="AA404" s="46"/>
      <c r="AB404" s="46"/>
      <c r="AC404" s="46"/>
      <c r="AD404" s="46"/>
    </row>
    <row r="405">
      <c r="A405" s="46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46"/>
      <c r="X405" s="46"/>
      <c r="Y405" s="46"/>
      <c r="Z405" s="46"/>
      <c r="AA405" s="46"/>
      <c r="AB405" s="46"/>
      <c r="AC405" s="46"/>
      <c r="AD405" s="46"/>
    </row>
    <row r="406">
      <c r="A406" s="46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46"/>
      <c r="X406" s="46"/>
      <c r="Y406" s="46"/>
      <c r="Z406" s="46"/>
      <c r="AA406" s="46"/>
      <c r="AB406" s="46"/>
      <c r="AC406" s="46"/>
      <c r="AD406" s="46"/>
    </row>
    <row r="407">
      <c r="A407" s="46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46"/>
      <c r="X407" s="46"/>
      <c r="Y407" s="46"/>
      <c r="Z407" s="46"/>
      <c r="AA407" s="46"/>
      <c r="AB407" s="46"/>
      <c r="AC407" s="46"/>
      <c r="AD407" s="46"/>
    </row>
    <row r="408">
      <c r="A408" s="46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46"/>
      <c r="X408" s="46"/>
      <c r="Y408" s="46"/>
      <c r="Z408" s="46"/>
      <c r="AA408" s="46"/>
      <c r="AB408" s="46"/>
      <c r="AC408" s="46"/>
      <c r="AD408" s="46"/>
    </row>
    <row r="409">
      <c r="A409" s="46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46"/>
      <c r="X409" s="46"/>
      <c r="Y409" s="46"/>
      <c r="Z409" s="46"/>
      <c r="AA409" s="46"/>
      <c r="AB409" s="46"/>
      <c r="AC409" s="46"/>
      <c r="AD409" s="46"/>
    </row>
    <row r="410">
      <c r="A410" s="46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46"/>
      <c r="X410" s="46"/>
      <c r="Y410" s="46"/>
      <c r="Z410" s="46"/>
      <c r="AA410" s="46"/>
      <c r="AB410" s="46"/>
      <c r="AC410" s="46"/>
      <c r="AD410" s="46"/>
    </row>
    <row r="411">
      <c r="A411" s="46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46"/>
      <c r="X411" s="46"/>
      <c r="Y411" s="46"/>
      <c r="Z411" s="46"/>
      <c r="AA411" s="46"/>
      <c r="AB411" s="46"/>
      <c r="AC411" s="46"/>
      <c r="AD411" s="46"/>
    </row>
    <row r="412">
      <c r="A412" s="46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46"/>
      <c r="X412" s="46"/>
      <c r="Y412" s="46"/>
      <c r="Z412" s="46"/>
      <c r="AA412" s="46"/>
      <c r="AB412" s="46"/>
      <c r="AC412" s="46"/>
      <c r="AD412" s="46"/>
    </row>
    <row r="413">
      <c r="A413" s="46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46"/>
      <c r="X413" s="46"/>
      <c r="Y413" s="46"/>
      <c r="Z413" s="46"/>
      <c r="AA413" s="46"/>
      <c r="AB413" s="46"/>
      <c r="AC413" s="46"/>
      <c r="AD413" s="46"/>
    </row>
    <row r="414">
      <c r="A414" s="46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46"/>
      <c r="X414" s="46"/>
      <c r="Y414" s="46"/>
      <c r="Z414" s="46"/>
      <c r="AA414" s="46"/>
      <c r="AB414" s="46"/>
      <c r="AC414" s="46"/>
      <c r="AD414" s="46"/>
    </row>
    <row r="415">
      <c r="A415" s="46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46"/>
      <c r="X415" s="46"/>
      <c r="Y415" s="46"/>
      <c r="Z415" s="46"/>
      <c r="AA415" s="46"/>
      <c r="AB415" s="46"/>
      <c r="AC415" s="46"/>
      <c r="AD415" s="46"/>
    </row>
    <row r="416">
      <c r="A416" s="46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46"/>
      <c r="X416" s="46"/>
      <c r="Y416" s="46"/>
      <c r="Z416" s="46"/>
      <c r="AA416" s="46"/>
      <c r="AB416" s="46"/>
      <c r="AC416" s="46"/>
      <c r="AD416" s="46"/>
    </row>
    <row r="417">
      <c r="A417" s="46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46"/>
      <c r="X417" s="46"/>
      <c r="Y417" s="46"/>
      <c r="Z417" s="46"/>
      <c r="AA417" s="46"/>
      <c r="AB417" s="46"/>
      <c r="AC417" s="46"/>
      <c r="AD417" s="46"/>
    </row>
    <row r="418">
      <c r="A418" s="46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46"/>
      <c r="X418" s="46"/>
      <c r="Y418" s="46"/>
      <c r="Z418" s="46"/>
      <c r="AA418" s="46"/>
      <c r="AB418" s="46"/>
      <c r="AC418" s="46"/>
      <c r="AD418" s="46"/>
    </row>
    <row r="419">
      <c r="A419" s="46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46"/>
      <c r="X419" s="46"/>
      <c r="Y419" s="46"/>
      <c r="Z419" s="46"/>
      <c r="AA419" s="46"/>
      <c r="AB419" s="46"/>
      <c r="AC419" s="46"/>
      <c r="AD419" s="46"/>
    </row>
    <row r="420">
      <c r="A420" s="46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46"/>
      <c r="X420" s="46"/>
      <c r="Y420" s="46"/>
      <c r="Z420" s="46"/>
      <c r="AA420" s="46"/>
      <c r="AB420" s="46"/>
      <c r="AC420" s="46"/>
      <c r="AD420" s="46"/>
    </row>
    <row r="421">
      <c r="A421" s="46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46"/>
      <c r="X421" s="46"/>
      <c r="Y421" s="46"/>
      <c r="Z421" s="46"/>
      <c r="AA421" s="46"/>
      <c r="AB421" s="46"/>
      <c r="AC421" s="46"/>
      <c r="AD421" s="46"/>
    </row>
    <row r="422">
      <c r="A422" s="46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46"/>
      <c r="X422" s="46"/>
      <c r="Y422" s="46"/>
      <c r="Z422" s="46"/>
      <c r="AA422" s="46"/>
      <c r="AB422" s="46"/>
      <c r="AC422" s="46"/>
      <c r="AD422" s="46"/>
    </row>
    <row r="423">
      <c r="A423" s="46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46"/>
      <c r="X423" s="46"/>
      <c r="Y423" s="46"/>
      <c r="Z423" s="46"/>
      <c r="AA423" s="46"/>
      <c r="AB423" s="46"/>
      <c r="AC423" s="46"/>
      <c r="AD423" s="46"/>
    </row>
    <row r="424">
      <c r="A424" s="46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46"/>
      <c r="X424" s="46"/>
      <c r="Y424" s="46"/>
      <c r="Z424" s="46"/>
      <c r="AA424" s="46"/>
      <c r="AB424" s="46"/>
      <c r="AC424" s="46"/>
      <c r="AD424" s="46"/>
    </row>
    <row r="425">
      <c r="A425" s="46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46"/>
      <c r="X425" s="46"/>
      <c r="Y425" s="46"/>
      <c r="Z425" s="46"/>
      <c r="AA425" s="46"/>
      <c r="AB425" s="46"/>
      <c r="AC425" s="46"/>
      <c r="AD425" s="46"/>
    </row>
    <row r="426">
      <c r="A426" s="46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46"/>
      <c r="X426" s="46"/>
      <c r="Y426" s="46"/>
      <c r="Z426" s="46"/>
      <c r="AA426" s="46"/>
      <c r="AB426" s="46"/>
      <c r="AC426" s="46"/>
      <c r="AD426" s="46"/>
    </row>
    <row r="427">
      <c r="A427" s="46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46"/>
      <c r="X427" s="46"/>
      <c r="Y427" s="46"/>
      <c r="Z427" s="46"/>
      <c r="AA427" s="46"/>
      <c r="AB427" s="46"/>
      <c r="AC427" s="46"/>
      <c r="AD427" s="46"/>
    </row>
    <row r="428">
      <c r="A428" s="46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46"/>
      <c r="X428" s="46"/>
      <c r="Y428" s="46"/>
      <c r="Z428" s="46"/>
      <c r="AA428" s="46"/>
      <c r="AB428" s="46"/>
      <c r="AC428" s="46"/>
      <c r="AD428" s="46"/>
    </row>
    <row r="429">
      <c r="A429" s="46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46"/>
      <c r="X429" s="46"/>
      <c r="Y429" s="46"/>
      <c r="Z429" s="46"/>
      <c r="AA429" s="46"/>
      <c r="AB429" s="46"/>
      <c r="AC429" s="46"/>
      <c r="AD429" s="46"/>
    </row>
    <row r="430">
      <c r="A430" s="46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46"/>
      <c r="X430" s="46"/>
      <c r="Y430" s="46"/>
      <c r="Z430" s="46"/>
      <c r="AA430" s="46"/>
      <c r="AB430" s="46"/>
      <c r="AC430" s="46"/>
      <c r="AD430" s="46"/>
    </row>
    <row r="431">
      <c r="A431" s="46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46"/>
      <c r="X431" s="46"/>
      <c r="Y431" s="46"/>
      <c r="Z431" s="46"/>
      <c r="AA431" s="46"/>
      <c r="AB431" s="46"/>
      <c r="AC431" s="46"/>
      <c r="AD431" s="46"/>
    </row>
    <row r="432">
      <c r="A432" s="46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46"/>
      <c r="X432" s="46"/>
      <c r="Y432" s="46"/>
      <c r="Z432" s="46"/>
      <c r="AA432" s="46"/>
      <c r="AB432" s="46"/>
      <c r="AC432" s="46"/>
      <c r="AD432" s="46"/>
    </row>
    <row r="433">
      <c r="A433" s="46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46"/>
      <c r="X433" s="46"/>
      <c r="Y433" s="46"/>
      <c r="Z433" s="46"/>
      <c r="AA433" s="46"/>
      <c r="AB433" s="46"/>
      <c r="AC433" s="46"/>
      <c r="AD433" s="46"/>
    </row>
    <row r="434">
      <c r="A434" s="46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46"/>
      <c r="X434" s="46"/>
      <c r="Y434" s="46"/>
      <c r="Z434" s="46"/>
      <c r="AA434" s="46"/>
      <c r="AB434" s="46"/>
      <c r="AC434" s="46"/>
      <c r="AD434" s="46"/>
    </row>
    <row r="435">
      <c r="A435" s="46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46"/>
      <c r="X435" s="46"/>
      <c r="Y435" s="46"/>
      <c r="Z435" s="46"/>
      <c r="AA435" s="46"/>
      <c r="AB435" s="46"/>
      <c r="AC435" s="46"/>
      <c r="AD435" s="46"/>
    </row>
    <row r="436">
      <c r="A436" s="46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46"/>
      <c r="X436" s="46"/>
      <c r="Y436" s="46"/>
      <c r="Z436" s="46"/>
      <c r="AA436" s="46"/>
      <c r="AB436" s="46"/>
      <c r="AC436" s="46"/>
      <c r="AD436" s="46"/>
    </row>
    <row r="437">
      <c r="A437" s="46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46"/>
      <c r="X437" s="46"/>
      <c r="Y437" s="46"/>
      <c r="Z437" s="46"/>
      <c r="AA437" s="46"/>
      <c r="AB437" s="46"/>
      <c r="AC437" s="46"/>
      <c r="AD437" s="46"/>
    </row>
    <row r="438">
      <c r="A438" s="46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46"/>
      <c r="X438" s="46"/>
      <c r="Y438" s="46"/>
      <c r="Z438" s="46"/>
      <c r="AA438" s="46"/>
      <c r="AB438" s="46"/>
      <c r="AC438" s="46"/>
      <c r="AD438" s="46"/>
    </row>
    <row r="439">
      <c r="A439" s="46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46"/>
      <c r="X439" s="46"/>
      <c r="Y439" s="46"/>
      <c r="Z439" s="46"/>
      <c r="AA439" s="46"/>
      <c r="AB439" s="46"/>
      <c r="AC439" s="46"/>
      <c r="AD439" s="46"/>
    </row>
    <row r="440">
      <c r="A440" s="46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46"/>
      <c r="X440" s="46"/>
      <c r="Y440" s="46"/>
      <c r="Z440" s="46"/>
      <c r="AA440" s="46"/>
      <c r="AB440" s="46"/>
      <c r="AC440" s="46"/>
      <c r="AD440" s="46"/>
    </row>
    <row r="441">
      <c r="A441" s="46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46"/>
      <c r="X441" s="46"/>
      <c r="Y441" s="46"/>
      <c r="Z441" s="46"/>
      <c r="AA441" s="46"/>
      <c r="AB441" s="46"/>
      <c r="AC441" s="46"/>
      <c r="AD441" s="46"/>
    </row>
    <row r="442">
      <c r="A442" s="46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46"/>
      <c r="X442" s="46"/>
      <c r="Y442" s="46"/>
      <c r="Z442" s="46"/>
      <c r="AA442" s="46"/>
      <c r="AB442" s="46"/>
      <c r="AC442" s="46"/>
      <c r="AD442" s="46"/>
    </row>
    <row r="443">
      <c r="A443" s="46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46"/>
      <c r="X443" s="46"/>
      <c r="Y443" s="46"/>
      <c r="Z443" s="46"/>
      <c r="AA443" s="46"/>
      <c r="AB443" s="46"/>
      <c r="AC443" s="46"/>
      <c r="AD443" s="46"/>
    </row>
    <row r="444">
      <c r="A444" s="46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46"/>
      <c r="X444" s="46"/>
      <c r="Y444" s="46"/>
      <c r="Z444" s="46"/>
      <c r="AA444" s="46"/>
      <c r="AB444" s="46"/>
      <c r="AC444" s="46"/>
      <c r="AD444" s="46"/>
    </row>
    <row r="445">
      <c r="A445" s="46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46"/>
      <c r="X445" s="46"/>
      <c r="Y445" s="46"/>
      <c r="Z445" s="46"/>
      <c r="AA445" s="46"/>
      <c r="AB445" s="46"/>
      <c r="AC445" s="46"/>
      <c r="AD445" s="46"/>
    </row>
    <row r="446">
      <c r="A446" s="46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46"/>
      <c r="X446" s="46"/>
      <c r="Y446" s="46"/>
      <c r="Z446" s="46"/>
      <c r="AA446" s="46"/>
      <c r="AB446" s="46"/>
      <c r="AC446" s="46"/>
      <c r="AD446" s="46"/>
    </row>
    <row r="447">
      <c r="A447" s="46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46"/>
      <c r="X447" s="46"/>
      <c r="Y447" s="46"/>
      <c r="Z447" s="46"/>
      <c r="AA447" s="46"/>
      <c r="AB447" s="46"/>
      <c r="AC447" s="46"/>
      <c r="AD447" s="46"/>
    </row>
    <row r="448">
      <c r="A448" s="46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46"/>
      <c r="X448" s="46"/>
      <c r="Y448" s="46"/>
      <c r="Z448" s="46"/>
      <c r="AA448" s="46"/>
      <c r="AB448" s="46"/>
      <c r="AC448" s="46"/>
      <c r="AD448" s="46"/>
    </row>
    <row r="449">
      <c r="A449" s="46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46"/>
      <c r="X449" s="46"/>
      <c r="Y449" s="46"/>
      <c r="Z449" s="46"/>
      <c r="AA449" s="46"/>
      <c r="AB449" s="46"/>
      <c r="AC449" s="46"/>
      <c r="AD449" s="46"/>
    </row>
    <row r="450">
      <c r="A450" s="46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46"/>
      <c r="X450" s="46"/>
      <c r="Y450" s="46"/>
      <c r="Z450" s="46"/>
      <c r="AA450" s="46"/>
      <c r="AB450" s="46"/>
      <c r="AC450" s="46"/>
      <c r="AD450" s="46"/>
    </row>
    <row r="451">
      <c r="A451" s="46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46"/>
      <c r="X451" s="46"/>
      <c r="Y451" s="46"/>
      <c r="Z451" s="46"/>
      <c r="AA451" s="46"/>
      <c r="AB451" s="46"/>
      <c r="AC451" s="46"/>
      <c r="AD451" s="46"/>
    </row>
    <row r="452">
      <c r="A452" s="46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46"/>
      <c r="X452" s="46"/>
      <c r="Y452" s="46"/>
      <c r="Z452" s="46"/>
      <c r="AA452" s="46"/>
      <c r="AB452" s="46"/>
      <c r="AC452" s="46"/>
      <c r="AD452" s="46"/>
    </row>
    <row r="453">
      <c r="A453" s="46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46"/>
      <c r="X453" s="46"/>
      <c r="Y453" s="46"/>
      <c r="Z453" s="46"/>
      <c r="AA453" s="46"/>
      <c r="AB453" s="46"/>
      <c r="AC453" s="46"/>
      <c r="AD453" s="46"/>
    </row>
    <row r="454">
      <c r="A454" s="46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46"/>
      <c r="X454" s="46"/>
      <c r="Y454" s="46"/>
      <c r="Z454" s="46"/>
      <c r="AA454" s="46"/>
      <c r="AB454" s="46"/>
      <c r="AC454" s="46"/>
      <c r="AD454" s="46"/>
    </row>
    <row r="455">
      <c r="A455" s="46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46"/>
      <c r="X455" s="46"/>
      <c r="Y455" s="46"/>
      <c r="Z455" s="46"/>
      <c r="AA455" s="46"/>
      <c r="AB455" s="46"/>
      <c r="AC455" s="46"/>
      <c r="AD455" s="46"/>
    </row>
    <row r="456">
      <c r="A456" s="46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  <c r="S456" s="46"/>
      <c r="T456" s="46"/>
      <c r="U456" s="46"/>
      <c r="V456" s="46"/>
      <c r="W456" s="46"/>
      <c r="X456" s="46"/>
      <c r="Y456" s="46"/>
      <c r="Z456" s="46"/>
      <c r="AA456" s="46"/>
      <c r="AB456" s="46"/>
      <c r="AC456" s="46"/>
      <c r="AD456" s="46"/>
    </row>
    <row r="457">
      <c r="A457" s="46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46"/>
      <c r="N457" s="46"/>
      <c r="O457" s="46"/>
      <c r="P457" s="46"/>
      <c r="Q457" s="46"/>
      <c r="R457" s="46"/>
      <c r="S457" s="46"/>
      <c r="T457" s="46"/>
      <c r="U457" s="46"/>
      <c r="V457" s="46"/>
      <c r="W457" s="46"/>
      <c r="X457" s="46"/>
      <c r="Y457" s="46"/>
      <c r="Z457" s="46"/>
      <c r="AA457" s="46"/>
      <c r="AB457" s="46"/>
      <c r="AC457" s="46"/>
      <c r="AD457" s="46"/>
    </row>
    <row r="458">
      <c r="A458" s="46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46"/>
      <c r="N458" s="46"/>
      <c r="O458" s="46"/>
      <c r="P458" s="46"/>
      <c r="Q458" s="46"/>
      <c r="R458" s="46"/>
      <c r="S458" s="46"/>
      <c r="T458" s="46"/>
      <c r="U458" s="46"/>
      <c r="V458" s="46"/>
      <c r="W458" s="46"/>
      <c r="X458" s="46"/>
      <c r="Y458" s="46"/>
      <c r="Z458" s="46"/>
      <c r="AA458" s="46"/>
      <c r="AB458" s="46"/>
      <c r="AC458" s="46"/>
      <c r="AD458" s="46"/>
    </row>
    <row r="459">
      <c r="A459" s="46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46"/>
      <c r="N459" s="46"/>
      <c r="O459" s="46"/>
      <c r="P459" s="46"/>
      <c r="Q459" s="46"/>
      <c r="R459" s="46"/>
      <c r="S459" s="46"/>
      <c r="T459" s="46"/>
      <c r="U459" s="46"/>
      <c r="V459" s="46"/>
      <c r="W459" s="46"/>
      <c r="X459" s="46"/>
      <c r="Y459" s="46"/>
      <c r="Z459" s="46"/>
      <c r="AA459" s="46"/>
      <c r="AB459" s="46"/>
      <c r="AC459" s="46"/>
      <c r="AD459" s="46"/>
    </row>
    <row r="460">
      <c r="A460" s="46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  <c r="S460" s="46"/>
      <c r="T460" s="46"/>
      <c r="U460" s="46"/>
      <c r="V460" s="46"/>
      <c r="W460" s="46"/>
      <c r="X460" s="46"/>
      <c r="Y460" s="46"/>
      <c r="Z460" s="46"/>
      <c r="AA460" s="46"/>
      <c r="AB460" s="46"/>
      <c r="AC460" s="46"/>
      <c r="AD460" s="46"/>
    </row>
    <row r="461">
      <c r="A461" s="46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46"/>
      <c r="N461" s="46"/>
      <c r="O461" s="46"/>
      <c r="P461" s="46"/>
      <c r="Q461" s="46"/>
      <c r="R461" s="46"/>
      <c r="S461" s="46"/>
      <c r="T461" s="46"/>
      <c r="U461" s="46"/>
      <c r="V461" s="46"/>
      <c r="W461" s="46"/>
      <c r="X461" s="46"/>
      <c r="Y461" s="46"/>
      <c r="Z461" s="46"/>
      <c r="AA461" s="46"/>
      <c r="AB461" s="46"/>
      <c r="AC461" s="46"/>
      <c r="AD461" s="46"/>
    </row>
    <row r="462">
      <c r="A462" s="46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46"/>
      <c r="N462" s="46"/>
      <c r="O462" s="46"/>
      <c r="P462" s="46"/>
      <c r="Q462" s="46"/>
      <c r="R462" s="46"/>
      <c r="S462" s="46"/>
      <c r="T462" s="46"/>
      <c r="U462" s="46"/>
      <c r="V462" s="46"/>
      <c r="W462" s="46"/>
      <c r="X462" s="46"/>
      <c r="Y462" s="46"/>
      <c r="Z462" s="46"/>
      <c r="AA462" s="46"/>
      <c r="AB462" s="46"/>
      <c r="AC462" s="46"/>
      <c r="AD462" s="46"/>
    </row>
    <row r="463">
      <c r="A463" s="46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46"/>
      <c r="N463" s="46"/>
      <c r="O463" s="46"/>
      <c r="P463" s="46"/>
      <c r="Q463" s="46"/>
      <c r="R463" s="46"/>
      <c r="S463" s="46"/>
      <c r="T463" s="46"/>
      <c r="U463" s="46"/>
      <c r="V463" s="46"/>
      <c r="W463" s="46"/>
      <c r="X463" s="46"/>
      <c r="Y463" s="46"/>
      <c r="Z463" s="46"/>
      <c r="AA463" s="46"/>
      <c r="AB463" s="46"/>
      <c r="AC463" s="46"/>
      <c r="AD463" s="46"/>
    </row>
    <row r="464">
      <c r="A464" s="46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  <c r="S464" s="46"/>
      <c r="T464" s="46"/>
      <c r="U464" s="46"/>
      <c r="V464" s="46"/>
      <c r="W464" s="46"/>
      <c r="X464" s="46"/>
      <c r="Y464" s="46"/>
      <c r="Z464" s="46"/>
      <c r="AA464" s="46"/>
      <c r="AB464" s="46"/>
      <c r="AC464" s="46"/>
      <c r="AD464" s="46"/>
    </row>
    <row r="465">
      <c r="A465" s="46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46"/>
      <c r="N465" s="46"/>
      <c r="O465" s="46"/>
      <c r="P465" s="46"/>
      <c r="Q465" s="46"/>
      <c r="R465" s="46"/>
      <c r="S465" s="46"/>
      <c r="T465" s="46"/>
      <c r="U465" s="46"/>
      <c r="V465" s="46"/>
      <c r="W465" s="46"/>
      <c r="X465" s="46"/>
      <c r="Y465" s="46"/>
      <c r="Z465" s="46"/>
      <c r="AA465" s="46"/>
      <c r="AB465" s="46"/>
      <c r="AC465" s="46"/>
      <c r="AD465" s="46"/>
    </row>
    <row r="466">
      <c r="A466" s="46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46"/>
      <c r="N466" s="46"/>
      <c r="O466" s="46"/>
      <c r="P466" s="46"/>
      <c r="Q466" s="46"/>
      <c r="R466" s="46"/>
      <c r="S466" s="46"/>
      <c r="T466" s="46"/>
      <c r="U466" s="46"/>
      <c r="V466" s="46"/>
      <c r="W466" s="46"/>
      <c r="X466" s="46"/>
      <c r="Y466" s="46"/>
      <c r="Z466" s="46"/>
      <c r="AA466" s="46"/>
      <c r="AB466" s="46"/>
      <c r="AC466" s="46"/>
      <c r="AD466" s="46"/>
    </row>
    <row r="467">
      <c r="A467" s="46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46"/>
      <c r="N467" s="46"/>
      <c r="O467" s="46"/>
      <c r="P467" s="46"/>
      <c r="Q467" s="46"/>
      <c r="R467" s="46"/>
      <c r="S467" s="46"/>
      <c r="T467" s="46"/>
      <c r="U467" s="46"/>
      <c r="V467" s="46"/>
      <c r="W467" s="46"/>
      <c r="X467" s="46"/>
      <c r="Y467" s="46"/>
      <c r="Z467" s="46"/>
      <c r="AA467" s="46"/>
      <c r="AB467" s="46"/>
      <c r="AC467" s="46"/>
      <c r="AD467" s="46"/>
    </row>
    <row r="468">
      <c r="A468" s="46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  <c r="S468" s="46"/>
      <c r="T468" s="46"/>
      <c r="U468" s="46"/>
      <c r="V468" s="46"/>
      <c r="W468" s="46"/>
      <c r="X468" s="46"/>
      <c r="Y468" s="46"/>
      <c r="Z468" s="46"/>
      <c r="AA468" s="46"/>
      <c r="AB468" s="46"/>
      <c r="AC468" s="46"/>
      <c r="AD468" s="46"/>
    </row>
    <row r="469">
      <c r="A469" s="46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46"/>
      <c r="N469" s="46"/>
      <c r="O469" s="46"/>
      <c r="P469" s="46"/>
      <c r="Q469" s="46"/>
      <c r="R469" s="46"/>
      <c r="S469" s="46"/>
      <c r="T469" s="46"/>
      <c r="U469" s="46"/>
      <c r="V469" s="46"/>
      <c r="W469" s="46"/>
      <c r="X469" s="46"/>
      <c r="Y469" s="46"/>
      <c r="Z469" s="46"/>
      <c r="AA469" s="46"/>
      <c r="AB469" s="46"/>
      <c r="AC469" s="46"/>
      <c r="AD469" s="46"/>
    </row>
    <row r="470">
      <c r="A470" s="46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46"/>
      <c r="N470" s="46"/>
      <c r="O470" s="46"/>
      <c r="P470" s="46"/>
      <c r="Q470" s="46"/>
      <c r="R470" s="46"/>
      <c r="S470" s="46"/>
      <c r="T470" s="46"/>
      <c r="U470" s="46"/>
      <c r="V470" s="46"/>
      <c r="W470" s="46"/>
      <c r="X470" s="46"/>
      <c r="Y470" s="46"/>
      <c r="Z470" s="46"/>
      <c r="AA470" s="46"/>
      <c r="AB470" s="46"/>
      <c r="AC470" s="46"/>
      <c r="AD470" s="46"/>
    </row>
    <row r="471">
      <c r="A471" s="46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46"/>
      <c r="N471" s="46"/>
      <c r="O471" s="46"/>
      <c r="P471" s="46"/>
      <c r="Q471" s="46"/>
      <c r="R471" s="46"/>
      <c r="S471" s="46"/>
      <c r="T471" s="46"/>
      <c r="U471" s="46"/>
      <c r="V471" s="46"/>
      <c r="W471" s="46"/>
      <c r="X471" s="46"/>
      <c r="Y471" s="46"/>
      <c r="Z471" s="46"/>
      <c r="AA471" s="46"/>
      <c r="AB471" s="46"/>
      <c r="AC471" s="46"/>
      <c r="AD471" s="46"/>
    </row>
    <row r="472">
      <c r="A472" s="46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  <c r="S472" s="46"/>
      <c r="T472" s="46"/>
      <c r="U472" s="46"/>
      <c r="V472" s="46"/>
      <c r="W472" s="46"/>
      <c r="X472" s="46"/>
      <c r="Y472" s="46"/>
      <c r="Z472" s="46"/>
      <c r="AA472" s="46"/>
      <c r="AB472" s="46"/>
      <c r="AC472" s="46"/>
      <c r="AD472" s="46"/>
    </row>
    <row r="473">
      <c r="A473" s="46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46"/>
      <c r="N473" s="46"/>
      <c r="O473" s="46"/>
      <c r="P473" s="46"/>
      <c r="Q473" s="46"/>
      <c r="R473" s="46"/>
      <c r="S473" s="46"/>
      <c r="T473" s="46"/>
      <c r="U473" s="46"/>
      <c r="V473" s="46"/>
      <c r="W473" s="46"/>
      <c r="X473" s="46"/>
      <c r="Y473" s="46"/>
      <c r="Z473" s="46"/>
      <c r="AA473" s="46"/>
      <c r="AB473" s="46"/>
      <c r="AC473" s="46"/>
      <c r="AD473" s="46"/>
    </row>
    <row r="474">
      <c r="A474" s="46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46"/>
      <c r="N474" s="46"/>
      <c r="O474" s="46"/>
      <c r="P474" s="46"/>
      <c r="Q474" s="46"/>
      <c r="R474" s="46"/>
      <c r="S474" s="46"/>
      <c r="T474" s="46"/>
      <c r="U474" s="46"/>
      <c r="V474" s="46"/>
      <c r="W474" s="46"/>
      <c r="X474" s="46"/>
      <c r="Y474" s="46"/>
      <c r="Z474" s="46"/>
      <c r="AA474" s="46"/>
      <c r="AB474" s="46"/>
      <c r="AC474" s="46"/>
      <c r="AD474" s="46"/>
    </row>
    <row r="475">
      <c r="A475" s="46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46"/>
      <c r="N475" s="46"/>
      <c r="O475" s="46"/>
      <c r="P475" s="46"/>
      <c r="Q475" s="46"/>
      <c r="R475" s="46"/>
      <c r="S475" s="46"/>
      <c r="T475" s="46"/>
      <c r="U475" s="46"/>
      <c r="V475" s="46"/>
      <c r="W475" s="46"/>
      <c r="X475" s="46"/>
      <c r="Y475" s="46"/>
      <c r="Z475" s="46"/>
      <c r="AA475" s="46"/>
      <c r="AB475" s="46"/>
      <c r="AC475" s="46"/>
      <c r="AD475" s="46"/>
    </row>
    <row r="476">
      <c r="A476" s="46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  <c r="S476" s="46"/>
      <c r="T476" s="46"/>
      <c r="U476" s="46"/>
      <c r="V476" s="46"/>
      <c r="W476" s="46"/>
      <c r="X476" s="46"/>
      <c r="Y476" s="46"/>
      <c r="Z476" s="46"/>
      <c r="AA476" s="46"/>
      <c r="AB476" s="46"/>
      <c r="AC476" s="46"/>
      <c r="AD476" s="46"/>
    </row>
    <row r="477">
      <c r="A477" s="46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46"/>
      <c r="N477" s="46"/>
      <c r="O477" s="46"/>
      <c r="P477" s="46"/>
      <c r="Q477" s="46"/>
      <c r="R477" s="46"/>
      <c r="S477" s="46"/>
      <c r="T477" s="46"/>
      <c r="U477" s="46"/>
      <c r="V477" s="46"/>
      <c r="W477" s="46"/>
      <c r="X477" s="46"/>
      <c r="Y477" s="46"/>
      <c r="Z477" s="46"/>
      <c r="AA477" s="46"/>
      <c r="AB477" s="46"/>
      <c r="AC477" s="46"/>
      <c r="AD477" s="46"/>
    </row>
    <row r="478">
      <c r="A478" s="46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46"/>
      <c r="N478" s="46"/>
      <c r="O478" s="46"/>
      <c r="P478" s="46"/>
      <c r="Q478" s="46"/>
      <c r="R478" s="46"/>
      <c r="S478" s="46"/>
      <c r="T478" s="46"/>
      <c r="U478" s="46"/>
      <c r="V478" s="46"/>
      <c r="W478" s="46"/>
      <c r="X478" s="46"/>
      <c r="Y478" s="46"/>
      <c r="Z478" s="46"/>
      <c r="AA478" s="46"/>
      <c r="AB478" s="46"/>
      <c r="AC478" s="46"/>
      <c r="AD478" s="46"/>
    </row>
    <row r="479">
      <c r="A479" s="46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46"/>
      <c r="N479" s="46"/>
      <c r="O479" s="46"/>
      <c r="P479" s="46"/>
      <c r="Q479" s="46"/>
      <c r="R479" s="46"/>
      <c r="S479" s="46"/>
      <c r="T479" s="46"/>
      <c r="U479" s="46"/>
      <c r="V479" s="46"/>
      <c r="W479" s="46"/>
      <c r="X479" s="46"/>
      <c r="Y479" s="46"/>
      <c r="Z479" s="46"/>
      <c r="AA479" s="46"/>
      <c r="AB479" s="46"/>
      <c r="AC479" s="46"/>
      <c r="AD479" s="46"/>
    </row>
    <row r="480">
      <c r="A480" s="46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  <c r="S480" s="46"/>
      <c r="T480" s="46"/>
      <c r="U480" s="46"/>
      <c r="V480" s="46"/>
      <c r="W480" s="46"/>
      <c r="X480" s="46"/>
      <c r="Y480" s="46"/>
      <c r="Z480" s="46"/>
      <c r="AA480" s="46"/>
      <c r="AB480" s="46"/>
      <c r="AC480" s="46"/>
      <c r="AD480" s="46"/>
    </row>
    <row r="481">
      <c r="A481" s="46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46"/>
      <c r="N481" s="46"/>
      <c r="O481" s="46"/>
      <c r="P481" s="46"/>
      <c r="Q481" s="46"/>
      <c r="R481" s="46"/>
      <c r="S481" s="46"/>
      <c r="T481" s="46"/>
      <c r="U481" s="46"/>
      <c r="V481" s="46"/>
      <c r="W481" s="46"/>
      <c r="X481" s="46"/>
      <c r="Y481" s="46"/>
      <c r="Z481" s="46"/>
      <c r="AA481" s="46"/>
      <c r="AB481" s="46"/>
      <c r="AC481" s="46"/>
      <c r="AD481" s="46"/>
    </row>
    <row r="482">
      <c r="A482" s="46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46"/>
      <c r="N482" s="46"/>
      <c r="O482" s="46"/>
      <c r="P482" s="46"/>
      <c r="Q482" s="46"/>
      <c r="R482" s="46"/>
      <c r="S482" s="46"/>
      <c r="T482" s="46"/>
      <c r="U482" s="46"/>
      <c r="V482" s="46"/>
      <c r="W482" s="46"/>
      <c r="X482" s="46"/>
      <c r="Y482" s="46"/>
      <c r="Z482" s="46"/>
      <c r="AA482" s="46"/>
      <c r="AB482" s="46"/>
      <c r="AC482" s="46"/>
      <c r="AD482" s="46"/>
    </row>
    <row r="483">
      <c r="A483" s="46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46"/>
      <c r="N483" s="46"/>
      <c r="O483" s="46"/>
      <c r="P483" s="46"/>
      <c r="Q483" s="46"/>
      <c r="R483" s="46"/>
      <c r="S483" s="46"/>
      <c r="T483" s="46"/>
      <c r="U483" s="46"/>
      <c r="V483" s="46"/>
      <c r="W483" s="46"/>
      <c r="X483" s="46"/>
      <c r="Y483" s="46"/>
      <c r="Z483" s="46"/>
      <c r="AA483" s="46"/>
      <c r="AB483" s="46"/>
      <c r="AC483" s="46"/>
      <c r="AD483" s="46"/>
    </row>
    <row r="484">
      <c r="A484" s="46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  <c r="S484" s="46"/>
      <c r="T484" s="46"/>
      <c r="U484" s="46"/>
      <c r="V484" s="46"/>
      <c r="W484" s="46"/>
      <c r="X484" s="46"/>
      <c r="Y484" s="46"/>
      <c r="Z484" s="46"/>
      <c r="AA484" s="46"/>
      <c r="AB484" s="46"/>
      <c r="AC484" s="46"/>
      <c r="AD484" s="46"/>
    </row>
    <row r="485">
      <c r="A485" s="46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46"/>
      <c r="N485" s="46"/>
      <c r="O485" s="46"/>
      <c r="P485" s="46"/>
      <c r="Q485" s="46"/>
      <c r="R485" s="46"/>
      <c r="S485" s="46"/>
      <c r="T485" s="46"/>
      <c r="U485" s="46"/>
      <c r="V485" s="46"/>
      <c r="W485" s="46"/>
      <c r="X485" s="46"/>
      <c r="Y485" s="46"/>
      <c r="Z485" s="46"/>
      <c r="AA485" s="46"/>
      <c r="AB485" s="46"/>
      <c r="AC485" s="46"/>
      <c r="AD485" s="46"/>
    </row>
    <row r="486">
      <c r="A486" s="46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46"/>
      <c r="N486" s="46"/>
      <c r="O486" s="46"/>
      <c r="P486" s="46"/>
      <c r="Q486" s="46"/>
      <c r="R486" s="46"/>
      <c r="S486" s="46"/>
      <c r="T486" s="46"/>
      <c r="U486" s="46"/>
      <c r="V486" s="46"/>
      <c r="W486" s="46"/>
      <c r="X486" s="46"/>
      <c r="Y486" s="46"/>
      <c r="Z486" s="46"/>
      <c r="AA486" s="46"/>
      <c r="AB486" s="46"/>
      <c r="AC486" s="46"/>
      <c r="AD486" s="46"/>
    </row>
    <row r="487">
      <c r="A487" s="46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46"/>
      <c r="N487" s="46"/>
      <c r="O487" s="46"/>
      <c r="P487" s="46"/>
      <c r="Q487" s="46"/>
      <c r="R487" s="46"/>
      <c r="S487" s="46"/>
      <c r="T487" s="46"/>
      <c r="U487" s="46"/>
      <c r="V487" s="46"/>
      <c r="W487" s="46"/>
      <c r="X487" s="46"/>
      <c r="Y487" s="46"/>
      <c r="Z487" s="46"/>
      <c r="AA487" s="46"/>
      <c r="AB487" s="46"/>
      <c r="AC487" s="46"/>
      <c r="AD487" s="46"/>
    </row>
    <row r="488">
      <c r="A488" s="46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  <c r="S488" s="46"/>
      <c r="T488" s="46"/>
      <c r="U488" s="46"/>
      <c r="V488" s="46"/>
      <c r="W488" s="46"/>
      <c r="X488" s="46"/>
      <c r="Y488" s="46"/>
      <c r="Z488" s="46"/>
      <c r="AA488" s="46"/>
      <c r="AB488" s="46"/>
      <c r="AC488" s="46"/>
      <c r="AD488" s="46"/>
    </row>
    <row r="489">
      <c r="A489" s="46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46"/>
      <c r="N489" s="46"/>
      <c r="O489" s="46"/>
      <c r="P489" s="46"/>
      <c r="Q489" s="46"/>
      <c r="R489" s="46"/>
      <c r="S489" s="46"/>
      <c r="T489" s="46"/>
      <c r="U489" s="46"/>
      <c r="V489" s="46"/>
      <c r="W489" s="46"/>
      <c r="X489" s="46"/>
      <c r="Y489" s="46"/>
      <c r="Z489" s="46"/>
      <c r="AA489" s="46"/>
      <c r="AB489" s="46"/>
      <c r="AC489" s="46"/>
      <c r="AD489" s="46"/>
    </row>
    <row r="490">
      <c r="A490" s="46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46"/>
      <c r="N490" s="46"/>
      <c r="O490" s="46"/>
      <c r="P490" s="46"/>
      <c r="Q490" s="46"/>
      <c r="R490" s="46"/>
      <c r="S490" s="46"/>
      <c r="T490" s="46"/>
      <c r="U490" s="46"/>
      <c r="V490" s="46"/>
      <c r="W490" s="46"/>
      <c r="X490" s="46"/>
      <c r="Y490" s="46"/>
      <c r="Z490" s="46"/>
      <c r="AA490" s="46"/>
      <c r="AB490" s="46"/>
      <c r="AC490" s="46"/>
      <c r="AD490" s="46"/>
    </row>
    <row r="491">
      <c r="A491" s="46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46"/>
      <c r="N491" s="46"/>
      <c r="O491" s="46"/>
      <c r="P491" s="46"/>
      <c r="Q491" s="46"/>
      <c r="R491" s="46"/>
      <c r="S491" s="46"/>
      <c r="T491" s="46"/>
      <c r="U491" s="46"/>
      <c r="V491" s="46"/>
      <c r="W491" s="46"/>
      <c r="X491" s="46"/>
      <c r="Y491" s="46"/>
      <c r="Z491" s="46"/>
      <c r="AA491" s="46"/>
      <c r="AB491" s="46"/>
      <c r="AC491" s="46"/>
      <c r="AD491" s="46"/>
    </row>
    <row r="492">
      <c r="A492" s="46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  <c r="S492" s="46"/>
      <c r="T492" s="46"/>
      <c r="U492" s="46"/>
      <c r="V492" s="46"/>
      <c r="W492" s="46"/>
      <c r="X492" s="46"/>
      <c r="Y492" s="46"/>
      <c r="Z492" s="46"/>
      <c r="AA492" s="46"/>
      <c r="AB492" s="46"/>
      <c r="AC492" s="46"/>
      <c r="AD492" s="46"/>
    </row>
    <row r="493">
      <c r="A493" s="46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46"/>
      <c r="N493" s="46"/>
      <c r="O493" s="46"/>
      <c r="P493" s="46"/>
      <c r="Q493" s="46"/>
      <c r="R493" s="46"/>
      <c r="S493" s="46"/>
      <c r="T493" s="46"/>
      <c r="U493" s="46"/>
      <c r="V493" s="46"/>
      <c r="W493" s="46"/>
      <c r="X493" s="46"/>
      <c r="Y493" s="46"/>
      <c r="Z493" s="46"/>
      <c r="AA493" s="46"/>
      <c r="AB493" s="46"/>
      <c r="AC493" s="46"/>
      <c r="AD493" s="46"/>
    </row>
    <row r="494">
      <c r="A494" s="46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46"/>
      <c r="N494" s="46"/>
      <c r="O494" s="46"/>
      <c r="P494" s="46"/>
      <c r="Q494" s="46"/>
      <c r="R494" s="46"/>
      <c r="S494" s="46"/>
      <c r="T494" s="46"/>
      <c r="U494" s="46"/>
      <c r="V494" s="46"/>
      <c r="W494" s="46"/>
      <c r="X494" s="46"/>
      <c r="Y494" s="46"/>
      <c r="Z494" s="46"/>
      <c r="AA494" s="46"/>
      <c r="AB494" s="46"/>
      <c r="AC494" s="46"/>
      <c r="AD494" s="46"/>
    </row>
    <row r="495">
      <c r="A495" s="46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46"/>
      <c r="N495" s="46"/>
      <c r="O495" s="46"/>
      <c r="P495" s="46"/>
      <c r="Q495" s="46"/>
      <c r="R495" s="46"/>
      <c r="S495" s="46"/>
      <c r="T495" s="46"/>
      <c r="U495" s="46"/>
      <c r="V495" s="46"/>
      <c r="W495" s="46"/>
      <c r="X495" s="46"/>
      <c r="Y495" s="46"/>
      <c r="Z495" s="46"/>
      <c r="AA495" s="46"/>
      <c r="AB495" s="46"/>
      <c r="AC495" s="46"/>
      <c r="AD495" s="46"/>
    </row>
    <row r="496">
      <c r="A496" s="46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  <c r="S496" s="46"/>
      <c r="T496" s="46"/>
      <c r="U496" s="46"/>
      <c r="V496" s="46"/>
      <c r="W496" s="46"/>
      <c r="X496" s="46"/>
      <c r="Y496" s="46"/>
      <c r="Z496" s="46"/>
      <c r="AA496" s="46"/>
      <c r="AB496" s="46"/>
      <c r="AC496" s="46"/>
      <c r="AD496" s="46"/>
    </row>
    <row r="497">
      <c r="A497" s="46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46"/>
      <c r="N497" s="46"/>
      <c r="O497" s="46"/>
      <c r="P497" s="46"/>
      <c r="Q497" s="46"/>
      <c r="R497" s="46"/>
      <c r="S497" s="46"/>
      <c r="T497" s="46"/>
      <c r="U497" s="46"/>
      <c r="V497" s="46"/>
      <c r="W497" s="46"/>
      <c r="X497" s="46"/>
      <c r="Y497" s="46"/>
      <c r="Z497" s="46"/>
      <c r="AA497" s="46"/>
      <c r="AB497" s="46"/>
      <c r="AC497" s="46"/>
      <c r="AD497" s="46"/>
    </row>
    <row r="498">
      <c r="A498" s="46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46"/>
      <c r="N498" s="46"/>
      <c r="O498" s="46"/>
      <c r="P498" s="46"/>
      <c r="Q498" s="46"/>
      <c r="R498" s="46"/>
      <c r="S498" s="46"/>
      <c r="T498" s="46"/>
      <c r="U498" s="46"/>
      <c r="V498" s="46"/>
      <c r="W498" s="46"/>
      <c r="X498" s="46"/>
      <c r="Y498" s="46"/>
      <c r="Z498" s="46"/>
      <c r="AA498" s="46"/>
      <c r="AB498" s="46"/>
      <c r="AC498" s="46"/>
      <c r="AD498" s="46"/>
    </row>
    <row r="499">
      <c r="A499" s="46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46"/>
      <c r="N499" s="46"/>
      <c r="O499" s="46"/>
      <c r="P499" s="46"/>
      <c r="Q499" s="46"/>
      <c r="R499" s="46"/>
      <c r="S499" s="46"/>
      <c r="T499" s="46"/>
      <c r="U499" s="46"/>
      <c r="V499" s="46"/>
      <c r="W499" s="46"/>
      <c r="X499" s="46"/>
      <c r="Y499" s="46"/>
      <c r="Z499" s="46"/>
      <c r="AA499" s="46"/>
      <c r="AB499" s="46"/>
      <c r="AC499" s="46"/>
      <c r="AD499" s="46"/>
    </row>
    <row r="500">
      <c r="A500" s="46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  <c r="S500" s="46"/>
      <c r="T500" s="46"/>
      <c r="U500" s="46"/>
      <c r="V500" s="46"/>
      <c r="W500" s="46"/>
      <c r="X500" s="46"/>
      <c r="Y500" s="46"/>
      <c r="Z500" s="46"/>
      <c r="AA500" s="46"/>
      <c r="AB500" s="46"/>
      <c r="AC500" s="46"/>
      <c r="AD500" s="46"/>
    </row>
    <row r="501">
      <c r="A501" s="46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46"/>
      <c r="N501" s="46"/>
      <c r="O501" s="46"/>
      <c r="P501" s="46"/>
      <c r="Q501" s="46"/>
      <c r="R501" s="46"/>
      <c r="S501" s="46"/>
      <c r="T501" s="46"/>
      <c r="U501" s="46"/>
      <c r="V501" s="46"/>
      <c r="W501" s="46"/>
      <c r="X501" s="46"/>
      <c r="Y501" s="46"/>
      <c r="Z501" s="46"/>
      <c r="AA501" s="46"/>
      <c r="AB501" s="46"/>
      <c r="AC501" s="46"/>
      <c r="AD501" s="46"/>
    </row>
    <row r="502">
      <c r="A502" s="46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46"/>
      <c r="N502" s="46"/>
      <c r="O502" s="46"/>
      <c r="P502" s="46"/>
      <c r="Q502" s="46"/>
      <c r="R502" s="46"/>
      <c r="S502" s="46"/>
      <c r="T502" s="46"/>
      <c r="U502" s="46"/>
      <c r="V502" s="46"/>
      <c r="W502" s="46"/>
      <c r="X502" s="46"/>
      <c r="Y502" s="46"/>
      <c r="Z502" s="46"/>
      <c r="AA502" s="46"/>
      <c r="AB502" s="46"/>
      <c r="AC502" s="46"/>
      <c r="AD502" s="46"/>
    </row>
    <row r="503">
      <c r="A503" s="46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46"/>
      <c r="N503" s="46"/>
      <c r="O503" s="46"/>
      <c r="P503" s="46"/>
      <c r="Q503" s="46"/>
      <c r="R503" s="46"/>
      <c r="S503" s="46"/>
      <c r="T503" s="46"/>
      <c r="U503" s="46"/>
      <c r="V503" s="46"/>
      <c r="W503" s="46"/>
      <c r="X503" s="46"/>
      <c r="Y503" s="46"/>
      <c r="Z503" s="46"/>
      <c r="AA503" s="46"/>
      <c r="AB503" s="46"/>
      <c r="AC503" s="46"/>
      <c r="AD503" s="46"/>
    </row>
    <row r="504">
      <c r="A504" s="46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  <c r="S504" s="46"/>
      <c r="T504" s="46"/>
      <c r="U504" s="46"/>
      <c r="V504" s="46"/>
      <c r="W504" s="46"/>
      <c r="X504" s="46"/>
      <c r="Y504" s="46"/>
      <c r="Z504" s="46"/>
      <c r="AA504" s="46"/>
      <c r="AB504" s="46"/>
      <c r="AC504" s="46"/>
      <c r="AD504" s="46"/>
    </row>
    <row r="505">
      <c r="A505" s="46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46"/>
      <c r="N505" s="46"/>
      <c r="O505" s="46"/>
      <c r="P505" s="46"/>
      <c r="Q505" s="46"/>
      <c r="R505" s="46"/>
      <c r="S505" s="46"/>
      <c r="T505" s="46"/>
      <c r="U505" s="46"/>
      <c r="V505" s="46"/>
      <c r="W505" s="46"/>
      <c r="X505" s="46"/>
      <c r="Y505" s="46"/>
      <c r="Z505" s="46"/>
      <c r="AA505" s="46"/>
      <c r="AB505" s="46"/>
      <c r="AC505" s="46"/>
      <c r="AD505" s="46"/>
    </row>
    <row r="506">
      <c r="A506" s="46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46"/>
      <c r="N506" s="46"/>
      <c r="O506" s="46"/>
      <c r="P506" s="46"/>
      <c r="Q506" s="46"/>
      <c r="R506" s="46"/>
      <c r="S506" s="46"/>
      <c r="T506" s="46"/>
      <c r="U506" s="46"/>
      <c r="V506" s="46"/>
      <c r="W506" s="46"/>
      <c r="X506" s="46"/>
      <c r="Y506" s="46"/>
      <c r="Z506" s="46"/>
      <c r="AA506" s="46"/>
      <c r="AB506" s="46"/>
      <c r="AC506" s="46"/>
      <c r="AD506" s="46"/>
    </row>
    <row r="507">
      <c r="A507" s="46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46"/>
      <c r="N507" s="46"/>
      <c r="O507" s="46"/>
      <c r="P507" s="46"/>
      <c r="Q507" s="46"/>
      <c r="R507" s="46"/>
      <c r="S507" s="46"/>
      <c r="T507" s="46"/>
      <c r="U507" s="46"/>
      <c r="V507" s="46"/>
      <c r="W507" s="46"/>
      <c r="X507" s="46"/>
      <c r="Y507" s="46"/>
      <c r="Z507" s="46"/>
      <c r="AA507" s="46"/>
      <c r="AB507" s="46"/>
      <c r="AC507" s="46"/>
      <c r="AD507" s="46"/>
    </row>
    <row r="508">
      <c r="A508" s="46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  <c r="S508" s="46"/>
      <c r="T508" s="46"/>
      <c r="U508" s="46"/>
      <c r="V508" s="46"/>
      <c r="W508" s="46"/>
      <c r="X508" s="46"/>
      <c r="Y508" s="46"/>
      <c r="Z508" s="46"/>
      <c r="AA508" s="46"/>
      <c r="AB508" s="46"/>
      <c r="AC508" s="46"/>
      <c r="AD508" s="46"/>
    </row>
    <row r="509">
      <c r="A509" s="46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46"/>
      <c r="N509" s="46"/>
      <c r="O509" s="46"/>
      <c r="P509" s="46"/>
      <c r="Q509" s="46"/>
      <c r="R509" s="46"/>
      <c r="S509" s="46"/>
      <c r="T509" s="46"/>
      <c r="U509" s="46"/>
      <c r="V509" s="46"/>
      <c r="W509" s="46"/>
      <c r="X509" s="46"/>
      <c r="Y509" s="46"/>
      <c r="Z509" s="46"/>
      <c r="AA509" s="46"/>
      <c r="AB509" s="46"/>
      <c r="AC509" s="46"/>
      <c r="AD509" s="46"/>
    </row>
    <row r="510">
      <c r="A510" s="46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46"/>
      <c r="N510" s="46"/>
      <c r="O510" s="46"/>
      <c r="P510" s="46"/>
      <c r="Q510" s="46"/>
      <c r="R510" s="46"/>
      <c r="S510" s="46"/>
      <c r="T510" s="46"/>
      <c r="U510" s="46"/>
      <c r="V510" s="46"/>
      <c r="W510" s="46"/>
      <c r="X510" s="46"/>
      <c r="Y510" s="46"/>
      <c r="Z510" s="46"/>
      <c r="AA510" s="46"/>
      <c r="AB510" s="46"/>
      <c r="AC510" s="46"/>
      <c r="AD510" s="46"/>
    </row>
    <row r="511">
      <c r="A511" s="46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46"/>
      <c r="Y511" s="46"/>
      <c r="Z511" s="46"/>
      <c r="AA511" s="46"/>
      <c r="AB511" s="46"/>
      <c r="AC511" s="46"/>
      <c r="AD511" s="46"/>
    </row>
    <row r="512">
      <c r="A512" s="46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  <c r="S512" s="46"/>
      <c r="T512" s="46"/>
      <c r="U512" s="46"/>
      <c r="V512" s="46"/>
      <c r="W512" s="46"/>
      <c r="X512" s="46"/>
      <c r="Y512" s="46"/>
      <c r="Z512" s="46"/>
      <c r="AA512" s="46"/>
      <c r="AB512" s="46"/>
      <c r="AC512" s="46"/>
      <c r="AD512" s="46"/>
    </row>
    <row r="513">
      <c r="A513" s="46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46"/>
      <c r="N513" s="46"/>
      <c r="O513" s="46"/>
      <c r="P513" s="46"/>
      <c r="Q513" s="46"/>
      <c r="R513" s="46"/>
      <c r="S513" s="46"/>
      <c r="T513" s="46"/>
      <c r="U513" s="46"/>
      <c r="V513" s="46"/>
      <c r="W513" s="46"/>
      <c r="X513" s="46"/>
      <c r="Y513" s="46"/>
      <c r="Z513" s="46"/>
      <c r="AA513" s="46"/>
      <c r="AB513" s="46"/>
      <c r="AC513" s="46"/>
      <c r="AD513" s="46"/>
    </row>
    <row r="514">
      <c r="A514" s="46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46"/>
      <c r="N514" s="46"/>
      <c r="O514" s="46"/>
      <c r="P514" s="46"/>
      <c r="Q514" s="46"/>
      <c r="R514" s="46"/>
      <c r="S514" s="46"/>
      <c r="T514" s="46"/>
      <c r="U514" s="46"/>
      <c r="V514" s="46"/>
      <c r="W514" s="46"/>
      <c r="X514" s="46"/>
      <c r="Y514" s="46"/>
      <c r="Z514" s="46"/>
      <c r="AA514" s="46"/>
      <c r="AB514" s="46"/>
      <c r="AC514" s="46"/>
      <c r="AD514" s="46"/>
    </row>
    <row r="515">
      <c r="A515" s="46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46"/>
      <c r="N515" s="46"/>
      <c r="O515" s="46"/>
      <c r="P515" s="46"/>
      <c r="Q515" s="46"/>
      <c r="R515" s="46"/>
      <c r="S515" s="46"/>
      <c r="T515" s="46"/>
      <c r="U515" s="46"/>
      <c r="V515" s="46"/>
      <c r="W515" s="46"/>
      <c r="X515" s="46"/>
      <c r="Y515" s="46"/>
      <c r="Z515" s="46"/>
      <c r="AA515" s="46"/>
      <c r="AB515" s="46"/>
      <c r="AC515" s="46"/>
      <c r="AD515" s="46"/>
    </row>
    <row r="516">
      <c r="A516" s="46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  <c r="S516" s="46"/>
      <c r="T516" s="46"/>
      <c r="U516" s="46"/>
      <c r="V516" s="46"/>
      <c r="W516" s="46"/>
      <c r="X516" s="46"/>
      <c r="Y516" s="46"/>
      <c r="Z516" s="46"/>
      <c r="AA516" s="46"/>
      <c r="AB516" s="46"/>
      <c r="AC516" s="46"/>
      <c r="AD516" s="46"/>
    </row>
    <row r="517">
      <c r="A517" s="46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46"/>
      <c r="N517" s="46"/>
      <c r="O517" s="46"/>
      <c r="P517" s="46"/>
      <c r="Q517" s="46"/>
      <c r="R517" s="46"/>
      <c r="S517" s="46"/>
      <c r="T517" s="46"/>
      <c r="U517" s="46"/>
      <c r="V517" s="46"/>
      <c r="W517" s="46"/>
      <c r="X517" s="46"/>
      <c r="Y517" s="46"/>
      <c r="Z517" s="46"/>
      <c r="AA517" s="46"/>
      <c r="AB517" s="46"/>
      <c r="AC517" s="46"/>
      <c r="AD517" s="46"/>
    </row>
    <row r="518">
      <c r="A518" s="46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46"/>
      <c r="N518" s="46"/>
      <c r="O518" s="46"/>
      <c r="P518" s="46"/>
      <c r="Q518" s="46"/>
      <c r="R518" s="46"/>
      <c r="S518" s="46"/>
      <c r="T518" s="46"/>
      <c r="U518" s="46"/>
      <c r="V518" s="46"/>
      <c r="W518" s="46"/>
      <c r="X518" s="46"/>
      <c r="Y518" s="46"/>
      <c r="Z518" s="46"/>
      <c r="AA518" s="46"/>
      <c r="AB518" s="46"/>
      <c r="AC518" s="46"/>
      <c r="AD518" s="46"/>
    </row>
    <row r="519">
      <c r="A519" s="46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46"/>
      <c r="N519" s="46"/>
      <c r="O519" s="46"/>
      <c r="P519" s="46"/>
      <c r="Q519" s="46"/>
      <c r="R519" s="46"/>
      <c r="S519" s="46"/>
      <c r="T519" s="46"/>
      <c r="U519" s="46"/>
      <c r="V519" s="46"/>
      <c r="W519" s="46"/>
      <c r="X519" s="46"/>
      <c r="Y519" s="46"/>
      <c r="Z519" s="46"/>
      <c r="AA519" s="46"/>
      <c r="AB519" s="46"/>
      <c r="AC519" s="46"/>
      <c r="AD519" s="46"/>
    </row>
    <row r="520">
      <c r="A520" s="46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  <c r="S520" s="46"/>
      <c r="T520" s="46"/>
      <c r="U520" s="46"/>
      <c r="V520" s="46"/>
      <c r="W520" s="46"/>
      <c r="X520" s="46"/>
      <c r="Y520" s="46"/>
      <c r="Z520" s="46"/>
      <c r="AA520" s="46"/>
      <c r="AB520" s="46"/>
      <c r="AC520" s="46"/>
      <c r="AD520" s="46"/>
    </row>
    <row r="521">
      <c r="A521" s="46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46"/>
      <c r="X521" s="46"/>
      <c r="Y521" s="46"/>
      <c r="Z521" s="46"/>
      <c r="AA521" s="46"/>
      <c r="AB521" s="46"/>
      <c r="AC521" s="46"/>
      <c r="AD521" s="46"/>
    </row>
    <row r="522">
      <c r="A522" s="46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46"/>
      <c r="N522" s="46"/>
      <c r="O522" s="46"/>
      <c r="P522" s="46"/>
      <c r="Q522" s="46"/>
      <c r="R522" s="46"/>
      <c r="S522" s="46"/>
      <c r="T522" s="46"/>
      <c r="U522" s="46"/>
      <c r="V522" s="46"/>
      <c r="W522" s="46"/>
      <c r="X522" s="46"/>
      <c r="Y522" s="46"/>
      <c r="Z522" s="46"/>
      <c r="AA522" s="46"/>
      <c r="AB522" s="46"/>
      <c r="AC522" s="46"/>
      <c r="AD522" s="46"/>
    </row>
    <row r="523">
      <c r="A523" s="46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46"/>
      <c r="N523" s="46"/>
      <c r="O523" s="46"/>
      <c r="P523" s="46"/>
      <c r="Q523" s="46"/>
      <c r="R523" s="46"/>
      <c r="S523" s="46"/>
      <c r="T523" s="46"/>
      <c r="U523" s="46"/>
      <c r="V523" s="46"/>
      <c r="W523" s="46"/>
      <c r="X523" s="46"/>
      <c r="Y523" s="46"/>
      <c r="Z523" s="46"/>
      <c r="AA523" s="46"/>
      <c r="AB523" s="46"/>
      <c r="AC523" s="46"/>
      <c r="AD523" s="46"/>
    </row>
    <row r="524">
      <c r="A524" s="46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  <c r="S524" s="46"/>
      <c r="T524" s="46"/>
      <c r="U524" s="46"/>
      <c r="V524" s="46"/>
      <c r="W524" s="46"/>
      <c r="X524" s="46"/>
      <c r="Y524" s="46"/>
      <c r="Z524" s="46"/>
      <c r="AA524" s="46"/>
      <c r="AB524" s="46"/>
      <c r="AC524" s="46"/>
      <c r="AD524" s="46"/>
    </row>
    <row r="525">
      <c r="A525" s="46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46"/>
      <c r="N525" s="46"/>
      <c r="O525" s="46"/>
      <c r="P525" s="46"/>
      <c r="Q525" s="46"/>
      <c r="R525" s="46"/>
      <c r="S525" s="46"/>
      <c r="T525" s="46"/>
      <c r="U525" s="46"/>
      <c r="V525" s="46"/>
      <c r="W525" s="46"/>
      <c r="X525" s="46"/>
      <c r="Y525" s="46"/>
      <c r="Z525" s="46"/>
      <c r="AA525" s="46"/>
      <c r="AB525" s="46"/>
      <c r="AC525" s="46"/>
      <c r="AD525" s="46"/>
    </row>
    <row r="526">
      <c r="A526" s="46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46"/>
      <c r="N526" s="46"/>
      <c r="O526" s="46"/>
      <c r="P526" s="46"/>
      <c r="Q526" s="46"/>
      <c r="R526" s="46"/>
      <c r="S526" s="46"/>
      <c r="T526" s="46"/>
      <c r="U526" s="46"/>
      <c r="V526" s="46"/>
      <c r="W526" s="46"/>
      <c r="X526" s="46"/>
      <c r="Y526" s="46"/>
      <c r="Z526" s="46"/>
      <c r="AA526" s="46"/>
      <c r="AB526" s="46"/>
      <c r="AC526" s="46"/>
      <c r="AD526" s="46"/>
    </row>
    <row r="527">
      <c r="A527" s="46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46"/>
      <c r="X527" s="46"/>
      <c r="Y527" s="46"/>
      <c r="Z527" s="46"/>
      <c r="AA527" s="46"/>
      <c r="AB527" s="46"/>
      <c r="AC527" s="46"/>
      <c r="AD527" s="46"/>
    </row>
    <row r="528">
      <c r="A528" s="46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46"/>
      <c r="X528" s="46"/>
      <c r="Y528" s="46"/>
      <c r="Z528" s="46"/>
      <c r="AA528" s="46"/>
      <c r="AB528" s="46"/>
      <c r="AC528" s="46"/>
      <c r="AD528" s="46"/>
    </row>
    <row r="529">
      <c r="A529" s="46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46"/>
      <c r="X529" s="46"/>
      <c r="Y529" s="46"/>
      <c r="Z529" s="46"/>
      <c r="AA529" s="46"/>
      <c r="AB529" s="46"/>
      <c r="AC529" s="46"/>
      <c r="AD529" s="46"/>
    </row>
    <row r="530">
      <c r="A530" s="46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46"/>
      <c r="X530" s="46"/>
      <c r="Y530" s="46"/>
      <c r="Z530" s="46"/>
      <c r="AA530" s="46"/>
      <c r="AB530" s="46"/>
      <c r="AC530" s="46"/>
      <c r="AD530" s="46"/>
    </row>
    <row r="531">
      <c r="A531" s="46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  <c r="M531" s="46"/>
      <c r="N531" s="46"/>
      <c r="O531" s="46"/>
      <c r="P531" s="46"/>
      <c r="Q531" s="46"/>
      <c r="R531" s="46"/>
      <c r="S531" s="46"/>
      <c r="T531" s="46"/>
      <c r="U531" s="46"/>
      <c r="V531" s="46"/>
      <c r="W531" s="46"/>
      <c r="X531" s="46"/>
      <c r="Y531" s="46"/>
      <c r="Z531" s="46"/>
      <c r="AA531" s="46"/>
      <c r="AB531" s="46"/>
      <c r="AC531" s="46"/>
      <c r="AD531" s="46"/>
    </row>
    <row r="532">
      <c r="A532" s="46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  <c r="S532" s="46"/>
      <c r="T532" s="46"/>
      <c r="U532" s="46"/>
      <c r="V532" s="46"/>
      <c r="W532" s="46"/>
      <c r="X532" s="46"/>
      <c r="Y532" s="46"/>
      <c r="Z532" s="46"/>
      <c r="AA532" s="46"/>
      <c r="AB532" s="46"/>
      <c r="AC532" s="46"/>
      <c r="AD532" s="46"/>
    </row>
    <row r="533">
      <c r="A533" s="46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  <c r="M533" s="46"/>
      <c r="N533" s="46"/>
      <c r="O533" s="46"/>
      <c r="P533" s="46"/>
      <c r="Q533" s="46"/>
      <c r="R533" s="46"/>
      <c r="S533" s="46"/>
      <c r="T533" s="46"/>
      <c r="U533" s="46"/>
      <c r="V533" s="46"/>
      <c r="W533" s="46"/>
      <c r="X533" s="46"/>
      <c r="Y533" s="46"/>
      <c r="Z533" s="46"/>
      <c r="AA533" s="46"/>
      <c r="AB533" s="46"/>
      <c r="AC533" s="46"/>
      <c r="AD533" s="46"/>
    </row>
    <row r="534">
      <c r="A534" s="46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  <c r="M534" s="46"/>
      <c r="N534" s="46"/>
      <c r="O534" s="46"/>
      <c r="P534" s="46"/>
      <c r="Q534" s="46"/>
      <c r="R534" s="46"/>
      <c r="S534" s="46"/>
      <c r="T534" s="46"/>
      <c r="U534" s="46"/>
      <c r="V534" s="46"/>
      <c r="W534" s="46"/>
      <c r="X534" s="46"/>
      <c r="Y534" s="46"/>
      <c r="Z534" s="46"/>
      <c r="AA534" s="46"/>
      <c r="AB534" s="46"/>
      <c r="AC534" s="46"/>
      <c r="AD534" s="46"/>
    </row>
    <row r="535">
      <c r="A535" s="46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  <c r="M535" s="46"/>
      <c r="N535" s="46"/>
      <c r="O535" s="46"/>
      <c r="P535" s="46"/>
      <c r="Q535" s="46"/>
      <c r="R535" s="46"/>
      <c r="S535" s="46"/>
      <c r="T535" s="46"/>
      <c r="U535" s="46"/>
      <c r="V535" s="46"/>
      <c r="W535" s="46"/>
      <c r="X535" s="46"/>
      <c r="Y535" s="46"/>
      <c r="Z535" s="46"/>
      <c r="AA535" s="46"/>
      <c r="AB535" s="46"/>
      <c r="AC535" s="46"/>
      <c r="AD535" s="46"/>
    </row>
    <row r="536">
      <c r="A536" s="46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  <c r="S536" s="46"/>
      <c r="T536" s="46"/>
      <c r="U536" s="46"/>
      <c r="V536" s="46"/>
      <c r="W536" s="46"/>
      <c r="X536" s="46"/>
      <c r="Y536" s="46"/>
      <c r="Z536" s="46"/>
      <c r="AA536" s="46"/>
      <c r="AB536" s="46"/>
      <c r="AC536" s="46"/>
      <c r="AD536" s="46"/>
    </row>
    <row r="537">
      <c r="A537" s="46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  <c r="M537" s="46"/>
      <c r="N537" s="46"/>
      <c r="O537" s="46"/>
      <c r="P537" s="46"/>
      <c r="Q537" s="46"/>
      <c r="R537" s="46"/>
      <c r="S537" s="46"/>
      <c r="T537" s="46"/>
      <c r="U537" s="46"/>
      <c r="V537" s="46"/>
      <c r="W537" s="46"/>
      <c r="X537" s="46"/>
      <c r="Y537" s="46"/>
      <c r="Z537" s="46"/>
      <c r="AA537" s="46"/>
      <c r="AB537" s="46"/>
      <c r="AC537" s="46"/>
      <c r="AD537" s="46"/>
    </row>
    <row r="538">
      <c r="A538" s="46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  <c r="M538" s="46"/>
      <c r="N538" s="46"/>
      <c r="O538" s="46"/>
      <c r="P538" s="46"/>
      <c r="Q538" s="46"/>
      <c r="R538" s="46"/>
      <c r="S538" s="46"/>
      <c r="T538" s="46"/>
      <c r="U538" s="46"/>
      <c r="V538" s="46"/>
      <c r="W538" s="46"/>
      <c r="X538" s="46"/>
      <c r="Y538" s="46"/>
      <c r="Z538" s="46"/>
      <c r="AA538" s="46"/>
      <c r="AB538" s="46"/>
      <c r="AC538" s="46"/>
      <c r="AD538" s="46"/>
    </row>
    <row r="539">
      <c r="A539" s="46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  <c r="M539" s="46"/>
      <c r="N539" s="46"/>
      <c r="O539" s="46"/>
      <c r="P539" s="46"/>
      <c r="Q539" s="46"/>
      <c r="R539" s="46"/>
      <c r="S539" s="46"/>
      <c r="T539" s="46"/>
      <c r="U539" s="46"/>
      <c r="V539" s="46"/>
      <c r="W539" s="46"/>
      <c r="X539" s="46"/>
      <c r="Y539" s="46"/>
      <c r="Z539" s="46"/>
      <c r="AA539" s="46"/>
      <c r="AB539" s="46"/>
      <c r="AC539" s="46"/>
      <c r="AD539" s="46"/>
    </row>
    <row r="540">
      <c r="A540" s="46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  <c r="S540" s="46"/>
      <c r="T540" s="46"/>
      <c r="U540" s="46"/>
      <c r="V540" s="46"/>
      <c r="W540" s="46"/>
      <c r="X540" s="46"/>
      <c r="Y540" s="46"/>
      <c r="Z540" s="46"/>
      <c r="AA540" s="46"/>
      <c r="AB540" s="46"/>
      <c r="AC540" s="46"/>
      <c r="AD540" s="46"/>
    </row>
    <row r="541">
      <c r="A541" s="46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  <c r="M541" s="46"/>
      <c r="N541" s="46"/>
      <c r="O541" s="46"/>
      <c r="P541" s="46"/>
      <c r="Q541" s="46"/>
      <c r="R541" s="46"/>
      <c r="S541" s="46"/>
      <c r="T541" s="46"/>
      <c r="U541" s="46"/>
      <c r="V541" s="46"/>
      <c r="W541" s="46"/>
      <c r="X541" s="46"/>
      <c r="Y541" s="46"/>
      <c r="Z541" s="46"/>
      <c r="AA541" s="46"/>
      <c r="AB541" s="46"/>
      <c r="AC541" s="46"/>
      <c r="AD541" s="46"/>
    </row>
    <row r="542">
      <c r="A542" s="46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46"/>
      <c r="X542" s="46"/>
      <c r="Y542" s="46"/>
      <c r="Z542" s="46"/>
      <c r="AA542" s="46"/>
      <c r="AB542" s="46"/>
      <c r="AC542" s="46"/>
      <c r="AD542" s="46"/>
    </row>
    <row r="543">
      <c r="A543" s="46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46"/>
      <c r="X543" s="46"/>
      <c r="Y543" s="46"/>
      <c r="Z543" s="46"/>
      <c r="AA543" s="46"/>
      <c r="AB543" s="46"/>
      <c r="AC543" s="46"/>
      <c r="AD543" s="46"/>
    </row>
    <row r="544">
      <c r="A544" s="46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  <c r="S544" s="46"/>
      <c r="T544" s="46"/>
      <c r="U544" s="46"/>
      <c r="V544" s="46"/>
      <c r="W544" s="46"/>
      <c r="X544" s="46"/>
      <c r="Y544" s="46"/>
      <c r="Z544" s="46"/>
      <c r="AA544" s="46"/>
      <c r="AB544" s="46"/>
      <c r="AC544" s="46"/>
      <c r="AD544" s="46"/>
    </row>
    <row r="545">
      <c r="A545" s="46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  <c r="M545" s="46"/>
      <c r="N545" s="46"/>
      <c r="O545" s="46"/>
      <c r="P545" s="46"/>
      <c r="Q545" s="46"/>
      <c r="R545" s="46"/>
      <c r="S545" s="46"/>
      <c r="T545" s="46"/>
      <c r="U545" s="46"/>
      <c r="V545" s="46"/>
      <c r="W545" s="46"/>
      <c r="X545" s="46"/>
      <c r="Y545" s="46"/>
      <c r="Z545" s="46"/>
      <c r="AA545" s="46"/>
      <c r="AB545" s="46"/>
      <c r="AC545" s="46"/>
      <c r="AD545" s="46"/>
    </row>
    <row r="546">
      <c r="A546" s="46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  <c r="M546" s="46"/>
      <c r="N546" s="46"/>
      <c r="O546" s="46"/>
      <c r="P546" s="46"/>
      <c r="Q546" s="46"/>
      <c r="R546" s="46"/>
      <c r="S546" s="46"/>
      <c r="T546" s="46"/>
      <c r="U546" s="46"/>
      <c r="V546" s="46"/>
      <c r="W546" s="46"/>
      <c r="X546" s="46"/>
      <c r="Y546" s="46"/>
      <c r="Z546" s="46"/>
      <c r="AA546" s="46"/>
      <c r="AB546" s="46"/>
      <c r="AC546" s="46"/>
      <c r="AD546" s="46"/>
    </row>
    <row r="547">
      <c r="A547" s="46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  <c r="M547" s="46"/>
      <c r="N547" s="46"/>
      <c r="O547" s="46"/>
      <c r="P547" s="46"/>
      <c r="Q547" s="46"/>
      <c r="R547" s="46"/>
      <c r="S547" s="46"/>
      <c r="T547" s="46"/>
      <c r="U547" s="46"/>
      <c r="V547" s="46"/>
      <c r="W547" s="46"/>
      <c r="X547" s="46"/>
      <c r="Y547" s="46"/>
      <c r="Z547" s="46"/>
      <c r="AA547" s="46"/>
      <c r="AB547" s="46"/>
      <c r="AC547" s="46"/>
      <c r="AD547" s="46"/>
    </row>
    <row r="548">
      <c r="A548" s="46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  <c r="S548" s="46"/>
      <c r="T548" s="46"/>
      <c r="U548" s="46"/>
      <c r="V548" s="46"/>
      <c r="W548" s="46"/>
      <c r="X548" s="46"/>
      <c r="Y548" s="46"/>
      <c r="Z548" s="46"/>
      <c r="AA548" s="46"/>
      <c r="AB548" s="46"/>
      <c r="AC548" s="46"/>
      <c r="AD548" s="46"/>
    </row>
    <row r="549">
      <c r="A549" s="46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  <c r="M549" s="46"/>
      <c r="N549" s="46"/>
      <c r="O549" s="46"/>
      <c r="P549" s="46"/>
      <c r="Q549" s="46"/>
      <c r="R549" s="46"/>
      <c r="S549" s="46"/>
      <c r="T549" s="46"/>
      <c r="U549" s="46"/>
      <c r="V549" s="46"/>
      <c r="W549" s="46"/>
      <c r="X549" s="46"/>
      <c r="Y549" s="46"/>
      <c r="Z549" s="46"/>
      <c r="AA549" s="46"/>
      <c r="AB549" s="46"/>
      <c r="AC549" s="46"/>
      <c r="AD549" s="46"/>
    </row>
    <row r="550">
      <c r="A550" s="46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  <c r="M550" s="46"/>
      <c r="N550" s="46"/>
      <c r="O550" s="46"/>
      <c r="P550" s="46"/>
      <c r="Q550" s="46"/>
      <c r="R550" s="46"/>
      <c r="S550" s="46"/>
      <c r="T550" s="46"/>
      <c r="U550" s="46"/>
      <c r="V550" s="46"/>
      <c r="W550" s="46"/>
      <c r="X550" s="46"/>
      <c r="Y550" s="46"/>
      <c r="Z550" s="46"/>
      <c r="AA550" s="46"/>
      <c r="AB550" s="46"/>
      <c r="AC550" s="46"/>
      <c r="AD550" s="46"/>
    </row>
    <row r="551">
      <c r="A551" s="46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  <c r="M551" s="46"/>
      <c r="N551" s="46"/>
      <c r="O551" s="46"/>
      <c r="P551" s="46"/>
      <c r="Q551" s="46"/>
      <c r="R551" s="46"/>
      <c r="S551" s="46"/>
      <c r="T551" s="46"/>
      <c r="U551" s="46"/>
      <c r="V551" s="46"/>
      <c r="W551" s="46"/>
      <c r="X551" s="46"/>
      <c r="Y551" s="46"/>
      <c r="Z551" s="46"/>
      <c r="AA551" s="46"/>
      <c r="AB551" s="46"/>
      <c r="AC551" s="46"/>
      <c r="AD551" s="46"/>
    </row>
    <row r="552">
      <c r="A552" s="46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  <c r="S552" s="46"/>
      <c r="T552" s="46"/>
      <c r="U552" s="46"/>
      <c r="V552" s="46"/>
      <c r="W552" s="46"/>
      <c r="X552" s="46"/>
      <c r="Y552" s="46"/>
      <c r="Z552" s="46"/>
      <c r="AA552" s="46"/>
      <c r="AB552" s="46"/>
      <c r="AC552" s="46"/>
      <c r="AD552" s="46"/>
    </row>
    <row r="553">
      <c r="A553" s="46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  <c r="M553" s="46"/>
      <c r="N553" s="46"/>
      <c r="O553" s="46"/>
      <c r="P553" s="46"/>
      <c r="Q553" s="46"/>
      <c r="R553" s="46"/>
      <c r="S553" s="46"/>
      <c r="T553" s="46"/>
      <c r="U553" s="46"/>
      <c r="V553" s="46"/>
      <c r="W553" s="46"/>
      <c r="X553" s="46"/>
      <c r="Y553" s="46"/>
      <c r="Z553" s="46"/>
      <c r="AA553" s="46"/>
      <c r="AB553" s="46"/>
      <c r="AC553" s="46"/>
      <c r="AD553" s="46"/>
    </row>
    <row r="554">
      <c r="A554" s="46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  <c r="M554" s="46"/>
      <c r="N554" s="46"/>
      <c r="O554" s="46"/>
      <c r="P554" s="46"/>
      <c r="Q554" s="46"/>
      <c r="R554" s="46"/>
      <c r="S554" s="46"/>
      <c r="T554" s="46"/>
      <c r="U554" s="46"/>
      <c r="V554" s="46"/>
      <c r="W554" s="46"/>
      <c r="X554" s="46"/>
      <c r="Y554" s="46"/>
      <c r="Z554" s="46"/>
      <c r="AA554" s="46"/>
      <c r="AB554" s="46"/>
      <c r="AC554" s="46"/>
      <c r="AD554" s="46"/>
    </row>
    <row r="555">
      <c r="A555" s="46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  <c r="M555" s="46"/>
      <c r="N555" s="46"/>
      <c r="O555" s="46"/>
      <c r="P555" s="46"/>
      <c r="Q555" s="46"/>
      <c r="R555" s="46"/>
      <c r="S555" s="46"/>
      <c r="T555" s="46"/>
      <c r="U555" s="46"/>
      <c r="V555" s="46"/>
      <c r="W555" s="46"/>
      <c r="X555" s="46"/>
      <c r="Y555" s="46"/>
      <c r="Z555" s="46"/>
      <c r="AA555" s="46"/>
      <c r="AB555" s="46"/>
      <c r="AC555" s="46"/>
      <c r="AD555" s="46"/>
    </row>
    <row r="556">
      <c r="A556" s="46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  <c r="S556" s="46"/>
      <c r="T556" s="46"/>
      <c r="U556" s="46"/>
      <c r="V556" s="46"/>
      <c r="W556" s="46"/>
      <c r="X556" s="46"/>
      <c r="Y556" s="46"/>
      <c r="Z556" s="46"/>
      <c r="AA556" s="46"/>
      <c r="AB556" s="46"/>
      <c r="AC556" s="46"/>
      <c r="AD556" s="46"/>
    </row>
    <row r="557">
      <c r="A557" s="46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  <c r="M557" s="46"/>
      <c r="N557" s="46"/>
      <c r="O557" s="46"/>
      <c r="P557" s="46"/>
      <c r="Q557" s="46"/>
      <c r="R557" s="46"/>
      <c r="S557" s="46"/>
      <c r="T557" s="46"/>
      <c r="U557" s="46"/>
      <c r="V557" s="46"/>
      <c r="W557" s="46"/>
      <c r="X557" s="46"/>
      <c r="Y557" s="46"/>
      <c r="Z557" s="46"/>
      <c r="AA557" s="46"/>
      <c r="AB557" s="46"/>
      <c r="AC557" s="46"/>
      <c r="AD557" s="46"/>
    </row>
    <row r="558">
      <c r="A558" s="46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  <c r="M558" s="46"/>
      <c r="N558" s="46"/>
      <c r="O558" s="46"/>
      <c r="P558" s="46"/>
      <c r="Q558" s="46"/>
      <c r="R558" s="46"/>
      <c r="S558" s="46"/>
      <c r="T558" s="46"/>
      <c r="U558" s="46"/>
      <c r="V558" s="46"/>
      <c r="W558" s="46"/>
      <c r="X558" s="46"/>
      <c r="Y558" s="46"/>
      <c r="Z558" s="46"/>
      <c r="AA558" s="46"/>
      <c r="AB558" s="46"/>
      <c r="AC558" s="46"/>
      <c r="AD558" s="46"/>
    </row>
    <row r="559">
      <c r="A559" s="46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  <c r="M559" s="46"/>
      <c r="N559" s="46"/>
      <c r="O559" s="46"/>
      <c r="P559" s="46"/>
      <c r="Q559" s="46"/>
      <c r="R559" s="46"/>
      <c r="S559" s="46"/>
      <c r="T559" s="46"/>
      <c r="U559" s="46"/>
      <c r="V559" s="46"/>
      <c r="W559" s="46"/>
      <c r="X559" s="46"/>
      <c r="Y559" s="46"/>
      <c r="Z559" s="46"/>
      <c r="AA559" s="46"/>
      <c r="AB559" s="46"/>
      <c r="AC559" s="46"/>
      <c r="AD559" s="46"/>
    </row>
    <row r="560">
      <c r="A560" s="46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  <c r="S560" s="46"/>
      <c r="T560" s="46"/>
      <c r="U560" s="46"/>
      <c r="V560" s="46"/>
      <c r="W560" s="46"/>
      <c r="X560" s="46"/>
      <c r="Y560" s="46"/>
      <c r="Z560" s="46"/>
      <c r="AA560" s="46"/>
      <c r="AB560" s="46"/>
      <c r="AC560" s="46"/>
      <c r="AD560" s="46"/>
    </row>
    <row r="561">
      <c r="A561" s="46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  <c r="M561" s="46"/>
      <c r="N561" s="46"/>
      <c r="O561" s="46"/>
      <c r="P561" s="46"/>
      <c r="Q561" s="46"/>
      <c r="R561" s="46"/>
      <c r="S561" s="46"/>
      <c r="T561" s="46"/>
      <c r="U561" s="46"/>
      <c r="V561" s="46"/>
      <c r="W561" s="46"/>
      <c r="X561" s="46"/>
      <c r="Y561" s="46"/>
      <c r="Z561" s="46"/>
      <c r="AA561" s="46"/>
      <c r="AB561" s="46"/>
      <c r="AC561" s="46"/>
      <c r="AD561" s="46"/>
    </row>
    <row r="562">
      <c r="A562" s="46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  <c r="M562" s="46"/>
      <c r="N562" s="46"/>
      <c r="O562" s="46"/>
      <c r="P562" s="46"/>
      <c r="Q562" s="46"/>
      <c r="R562" s="46"/>
      <c r="S562" s="46"/>
      <c r="T562" s="46"/>
      <c r="U562" s="46"/>
      <c r="V562" s="46"/>
      <c r="W562" s="46"/>
      <c r="X562" s="46"/>
      <c r="Y562" s="46"/>
      <c r="Z562" s="46"/>
      <c r="AA562" s="46"/>
      <c r="AB562" s="46"/>
      <c r="AC562" s="46"/>
      <c r="AD562" s="46"/>
    </row>
    <row r="563">
      <c r="A563" s="46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  <c r="M563" s="46"/>
      <c r="N563" s="46"/>
      <c r="O563" s="46"/>
      <c r="P563" s="46"/>
      <c r="Q563" s="46"/>
      <c r="R563" s="46"/>
      <c r="S563" s="46"/>
      <c r="T563" s="46"/>
      <c r="U563" s="46"/>
      <c r="V563" s="46"/>
      <c r="W563" s="46"/>
      <c r="X563" s="46"/>
      <c r="Y563" s="46"/>
      <c r="Z563" s="46"/>
      <c r="AA563" s="46"/>
      <c r="AB563" s="46"/>
      <c r="AC563" s="46"/>
      <c r="AD563" s="46"/>
    </row>
    <row r="564">
      <c r="A564" s="46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  <c r="S564" s="46"/>
      <c r="T564" s="46"/>
      <c r="U564" s="46"/>
      <c r="V564" s="46"/>
      <c r="W564" s="46"/>
      <c r="X564" s="46"/>
      <c r="Y564" s="46"/>
      <c r="Z564" s="46"/>
      <c r="AA564" s="46"/>
      <c r="AB564" s="46"/>
      <c r="AC564" s="46"/>
      <c r="AD564" s="46"/>
    </row>
    <row r="565">
      <c r="A565" s="46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  <c r="M565" s="46"/>
      <c r="N565" s="46"/>
      <c r="O565" s="46"/>
      <c r="P565" s="46"/>
      <c r="Q565" s="46"/>
      <c r="R565" s="46"/>
      <c r="S565" s="46"/>
      <c r="T565" s="46"/>
      <c r="U565" s="46"/>
      <c r="V565" s="46"/>
      <c r="W565" s="46"/>
      <c r="X565" s="46"/>
      <c r="Y565" s="46"/>
      <c r="Z565" s="46"/>
      <c r="AA565" s="46"/>
      <c r="AB565" s="46"/>
      <c r="AC565" s="46"/>
      <c r="AD565" s="46"/>
    </row>
    <row r="566">
      <c r="A566" s="46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  <c r="M566" s="46"/>
      <c r="N566" s="46"/>
      <c r="O566" s="46"/>
      <c r="P566" s="46"/>
      <c r="Q566" s="46"/>
      <c r="R566" s="46"/>
      <c r="S566" s="46"/>
      <c r="T566" s="46"/>
      <c r="U566" s="46"/>
      <c r="V566" s="46"/>
      <c r="W566" s="46"/>
      <c r="X566" s="46"/>
      <c r="Y566" s="46"/>
      <c r="Z566" s="46"/>
      <c r="AA566" s="46"/>
      <c r="AB566" s="46"/>
      <c r="AC566" s="46"/>
      <c r="AD566" s="46"/>
    </row>
    <row r="567">
      <c r="A567" s="46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  <c r="M567" s="46"/>
      <c r="N567" s="46"/>
      <c r="O567" s="46"/>
      <c r="P567" s="46"/>
      <c r="Q567" s="46"/>
      <c r="R567" s="46"/>
      <c r="S567" s="46"/>
      <c r="T567" s="46"/>
      <c r="U567" s="46"/>
      <c r="V567" s="46"/>
      <c r="W567" s="46"/>
      <c r="X567" s="46"/>
      <c r="Y567" s="46"/>
      <c r="Z567" s="46"/>
      <c r="AA567" s="46"/>
      <c r="AB567" s="46"/>
      <c r="AC567" s="46"/>
      <c r="AD567" s="46"/>
    </row>
    <row r="568">
      <c r="A568" s="46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  <c r="S568" s="46"/>
      <c r="T568" s="46"/>
      <c r="U568" s="46"/>
      <c r="V568" s="46"/>
      <c r="W568" s="46"/>
      <c r="X568" s="46"/>
      <c r="Y568" s="46"/>
      <c r="Z568" s="46"/>
      <c r="AA568" s="46"/>
      <c r="AB568" s="46"/>
      <c r="AC568" s="46"/>
      <c r="AD568" s="46"/>
    </row>
    <row r="569">
      <c r="A569" s="46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  <c r="M569" s="46"/>
      <c r="N569" s="46"/>
      <c r="O569" s="46"/>
      <c r="P569" s="46"/>
      <c r="Q569" s="46"/>
      <c r="R569" s="46"/>
      <c r="S569" s="46"/>
      <c r="T569" s="46"/>
      <c r="U569" s="46"/>
      <c r="V569" s="46"/>
      <c r="W569" s="46"/>
      <c r="X569" s="46"/>
      <c r="Y569" s="46"/>
      <c r="Z569" s="46"/>
      <c r="AA569" s="46"/>
      <c r="AB569" s="46"/>
      <c r="AC569" s="46"/>
      <c r="AD569" s="46"/>
    </row>
    <row r="570">
      <c r="A570" s="46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  <c r="M570" s="46"/>
      <c r="N570" s="46"/>
      <c r="O570" s="46"/>
      <c r="P570" s="46"/>
      <c r="Q570" s="46"/>
      <c r="R570" s="46"/>
      <c r="S570" s="46"/>
      <c r="T570" s="46"/>
      <c r="U570" s="46"/>
      <c r="V570" s="46"/>
      <c r="W570" s="46"/>
      <c r="X570" s="46"/>
      <c r="Y570" s="46"/>
      <c r="Z570" s="46"/>
      <c r="AA570" s="46"/>
      <c r="AB570" s="46"/>
      <c r="AC570" s="46"/>
      <c r="AD570" s="46"/>
    </row>
    <row r="571">
      <c r="A571" s="46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  <c r="M571" s="46"/>
      <c r="N571" s="46"/>
      <c r="O571" s="46"/>
      <c r="P571" s="46"/>
      <c r="Q571" s="46"/>
      <c r="R571" s="46"/>
      <c r="S571" s="46"/>
      <c r="T571" s="46"/>
      <c r="U571" s="46"/>
      <c r="V571" s="46"/>
      <c r="W571" s="46"/>
      <c r="X571" s="46"/>
      <c r="Y571" s="46"/>
      <c r="Z571" s="46"/>
      <c r="AA571" s="46"/>
      <c r="AB571" s="46"/>
      <c r="AC571" s="46"/>
      <c r="AD571" s="46"/>
    </row>
    <row r="572">
      <c r="A572" s="46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  <c r="S572" s="46"/>
      <c r="T572" s="46"/>
      <c r="U572" s="46"/>
      <c r="V572" s="46"/>
      <c r="W572" s="46"/>
      <c r="X572" s="46"/>
      <c r="Y572" s="46"/>
      <c r="Z572" s="46"/>
      <c r="AA572" s="46"/>
      <c r="AB572" s="46"/>
      <c r="AC572" s="46"/>
      <c r="AD572" s="46"/>
    </row>
    <row r="573">
      <c r="A573" s="46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  <c r="M573" s="46"/>
      <c r="N573" s="46"/>
      <c r="O573" s="46"/>
      <c r="P573" s="46"/>
      <c r="Q573" s="46"/>
      <c r="R573" s="46"/>
      <c r="S573" s="46"/>
      <c r="T573" s="46"/>
      <c r="U573" s="46"/>
      <c r="V573" s="46"/>
      <c r="W573" s="46"/>
      <c r="X573" s="46"/>
      <c r="Y573" s="46"/>
      <c r="Z573" s="46"/>
      <c r="AA573" s="46"/>
      <c r="AB573" s="46"/>
      <c r="AC573" s="46"/>
      <c r="AD573" s="46"/>
    </row>
    <row r="574">
      <c r="A574" s="46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46"/>
      <c r="N574" s="46"/>
      <c r="O574" s="46"/>
      <c r="P574" s="46"/>
      <c r="Q574" s="46"/>
      <c r="R574" s="46"/>
      <c r="S574" s="46"/>
      <c r="T574" s="46"/>
      <c r="U574" s="46"/>
      <c r="V574" s="46"/>
      <c r="W574" s="46"/>
      <c r="X574" s="46"/>
      <c r="Y574" s="46"/>
      <c r="Z574" s="46"/>
      <c r="AA574" s="46"/>
      <c r="AB574" s="46"/>
      <c r="AC574" s="46"/>
      <c r="AD574" s="46"/>
    </row>
    <row r="575">
      <c r="A575" s="46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M575" s="46"/>
      <c r="N575" s="46"/>
      <c r="O575" s="46"/>
      <c r="P575" s="46"/>
      <c r="Q575" s="46"/>
      <c r="R575" s="46"/>
      <c r="S575" s="46"/>
      <c r="T575" s="46"/>
      <c r="U575" s="46"/>
      <c r="V575" s="46"/>
      <c r="W575" s="46"/>
      <c r="X575" s="46"/>
      <c r="Y575" s="46"/>
      <c r="Z575" s="46"/>
      <c r="AA575" s="46"/>
      <c r="AB575" s="46"/>
      <c r="AC575" s="46"/>
      <c r="AD575" s="46"/>
    </row>
    <row r="576">
      <c r="A576" s="46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  <c r="S576" s="46"/>
      <c r="T576" s="46"/>
      <c r="U576" s="46"/>
      <c r="V576" s="46"/>
      <c r="W576" s="46"/>
      <c r="X576" s="46"/>
      <c r="Y576" s="46"/>
      <c r="Z576" s="46"/>
      <c r="AA576" s="46"/>
      <c r="AB576" s="46"/>
      <c r="AC576" s="46"/>
      <c r="AD576" s="46"/>
    </row>
    <row r="577">
      <c r="A577" s="46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M577" s="46"/>
      <c r="N577" s="46"/>
      <c r="O577" s="46"/>
      <c r="P577" s="46"/>
      <c r="Q577" s="46"/>
      <c r="R577" s="46"/>
      <c r="S577" s="46"/>
      <c r="T577" s="46"/>
      <c r="U577" s="46"/>
      <c r="V577" s="46"/>
      <c r="W577" s="46"/>
      <c r="X577" s="46"/>
      <c r="Y577" s="46"/>
      <c r="Z577" s="46"/>
      <c r="AA577" s="46"/>
      <c r="AB577" s="46"/>
      <c r="AC577" s="46"/>
      <c r="AD577" s="46"/>
    </row>
    <row r="578">
      <c r="A578" s="46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M578" s="46"/>
      <c r="N578" s="46"/>
      <c r="O578" s="46"/>
      <c r="P578" s="46"/>
      <c r="Q578" s="46"/>
      <c r="R578" s="46"/>
      <c r="S578" s="46"/>
      <c r="T578" s="46"/>
      <c r="U578" s="46"/>
      <c r="V578" s="46"/>
      <c r="W578" s="46"/>
      <c r="X578" s="46"/>
      <c r="Y578" s="46"/>
      <c r="Z578" s="46"/>
      <c r="AA578" s="46"/>
      <c r="AB578" s="46"/>
      <c r="AC578" s="46"/>
      <c r="AD578" s="46"/>
    </row>
    <row r="579">
      <c r="A579" s="46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M579" s="46"/>
      <c r="N579" s="46"/>
      <c r="O579" s="46"/>
      <c r="P579" s="46"/>
      <c r="Q579" s="46"/>
      <c r="R579" s="46"/>
      <c r="S579" s="46"/>
      <c r="T579" s="46"/>
      <c r="U579" s="46"/>
      <c r="V579" s="46"/>
      <c r="W579" s="46"/>
      <c r="X579" s="46"/>
      <c r="Y579" s="46"/>
      <c r="Z579" s="46"/>
      <c r="AA579" s="46"/>
      <c r="AB579" s="46"/>
      <c r="AC579" s="46"/>
      <c r="AD579" s="46"/>
    </row>
    <row r="580">
      <c r="A580" s="46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  <c r="S580" s="46"/>
      <c r="T580" s="46"/>
      <c r="U580" s="46"/>
      <c r="V580" s="46"/>
      <c r="W580" s="46"/>
      <c r="X580" s="46"/>
      <c r="Y580" s="46"/>
      <c r="Z580" s="46"/>
      <c r="AA580" s="46"/>
      <c r="AB580" s="46"/>
      <c r="AC580" s="46"/>
      <c r="AD580" s="46"/>
    </row>
    <row r="581">
      <c r="A581" s="46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M581" s="46"/>
      <c r="N581" s="46"/>
      <c r="O581" s="46"/>
      <c r="P581" s="46"/>
      <c r="Q581" s="46"/>
      <c r="R581" s="46"/>
      <c r="S581" s="46"/>
      <c r="T581" s="46"/>
      <c r="U581" s="46"/>
      <c r="V581" s="46"/>
      <c r="W581" s="46"/>
      <c r="X581" s="46"/>
      <c r="Y581" s="46"/>
      <c r="Z581" s="46"/>
      <c r="AA581" s="46"/>
      <c r="AB581" s="46"/>
      <c r="AC581" s="46"/>
      <c r="AD581" s="46"/>
    </row>
    <row r="582">
      <c r="A582" s="46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M582" s="46"/>
      <c r="N582" s="46"/>
      <c r="O582" s="46"/>
      <c r="P582" s="46"/>
      <c r="Q582" s="46"/>
      <c r="R582" s="46"/>
      <c r="S582" s="46"/>
      <c r="T582" s="46"/>
      <c r="U582" s="46"/>
      <c r="V582" s="46"/>
      <c r="W582" s="46"/>
      <c r="X582" s="46"/>
      <c r="Y582" s="46"/>
      <c r="Z582" s="46"/>
      <c r="AA582" s="46"/>
      <c r="AB582" s="46"/>
      <c r="AC582" s="46"/>
      <c r="AD582" s="46"/>
    </row>
    <row r="583">
      <c r="A583" s="46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M583" s="46"/>
      <c r="N583" s="46"/>
      <c r="O583" s="46"/>
      <c r="P583" s="46"/>
      <c r="Q583" s="46"/>
      <c r="R583" s="46"/>
      <c r="S583" s="46"/>
      <c r="T583" s="46"/>
      <c r="U583" s="46"/>
      <c r="V583" s="46"/>
      <c r="W583" s="46"/>
      <c r="X583" s="46"/>
      <c r="Y583" s="46"/>
      <c r="Z583" s="46"/>
      <c r="AA583" s="46"/>
      <c r="AB583" s="46"/>
      <c r="AC583" s="46"/>
      <c r="AD583" s="46"/>
    </row>
    <row r="584">
      <c r="A584" s="46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  <c r="S584" s="46"/>
      <c r="T584" s="46"/>
      <c r="U584" s="46"/>
      <c r="V584" s="46"/>
      <c r="W584" s="46"/>
      <c r="X584" s="46"/>
      <c r="Y584" s="46"/>
      <c r="Z584" s="46"/>
      <c r="AA584" s="46"/>
      <c r="AB584" s="46"/>
      <c r="AC584" s="46"/>
      <c r="AD584" s="46"/>
    </row>
    <row r="585">
      <c r="A585" s="46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46"/>
      <c r="N585" s="46"/>
      <c r="O585" s="46"/>
      <c r="P585" s="46"/>
      <c r="Q585" s="46"/>
      <c r="R585" s="46"/>
      <c r="S585" s="46"/>
      <c r="T585" s="46"/>
      <c r="U585" s="46"/>
      <c r="V585" s="46"/>
      <c r="W585" s="46"/>
      <c r="X585" s="46"/>
      <c r="Y585" s="46"/>
      <c r="Z585" s="46"/>
      <c r="AA585" s="46"/>
      <c r="AB585" s="46"/>
      <c r="AC585" s="46"/>
      <c r="AD585" s="46"/>
    </row>
    <row r="586">
      <c r="A586" s="46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46"/>
      <c r="N586" s="46"/>
      <c r="O586" s="46"/>
      <c r="P586" s="46"/>
      <c r="Q586" s="46"/>
      <c r="R586" s="46"/>
      <c r="S586" s="46"/>
      <c r="T586" s="46"/>
      <c r="U586" s="46"/>
      <c r="V586" s="46"/>
      <c r="W586" s="46"/>
      <c r="X586" s="46"/>
      <c r="Y586" s="46"/>
      <c r="Z586" s="46"/>
      <c r="AA586" s="46"/>
      <c r="AB586" s="46"/>
      <c r="AC586" s="46"/>
      <c r="AD586" s="46"/>
    </row>
    <row r="587">
      <c r="A587" s="46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46"/>
      <c r="N587" s="46"/>
      <c r="O587" s="46"/>
      <c r="P587" s="46"/>
      <c r="Q587" s="46"/>
      <c r="R587" s="46"/>
      <c r="S587" s="46"/>
      <c r="T587" s="46"/>
      <c r="U587" s="46"/>
      <c r="V587" s="46"/>
      <c r="W587" s="46"/>
      <c r="X587" s="46"/>
      <c r="Y587" s="46"/>
      <c r="Z587" s="46"/>
      <c r="AA587" s="46"/>
      <c r="AB587" s="46"/>
      <c r="AC587" s="46"/>
      <c r="AD587" s="46"/>
    </row>
    <row r="588">
      <c r="A588" s="46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  <c r="S588" s="46"/>
      <c r="T588" s="46"/>
      <c r="U588" s="46"/>
      <c r="V588" s="46"/>
      <c r="W588" s="46"/>
      <c r="X588" s="46"/>
      <c r="Y588" s="46"/>
      <c r="Z588" s="46"/>
      <c r="AA588" s="46"/>
      <c r="AB588" s="46"/>
      <c r="AC588" s="46"/>
      <c r="AD588" s="46"/>
    </row>
    <row r="589">
      <c r="A589" s="46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46"/>
      <c r="N589" s="46"/>
      <c r="O589" s="46"/>
      <c r="P589" s="46"/>
      <c r="Q589" s="46"/>
      <c r="R589" s="46"/>
      <c r="S589" s="46"/>
      <c r="T589" s="46"/>
      <c r="U589" s="46"/>
      <c r="V589" s="46"/>
      <c r="W589" s="46"/>
      <c r="X589" s="46"/>
      <c r="Y589" s="46"/>
      <c r="Z589" s="46"/>
      <c r="AA589" s="46"/>
      <c r="AB589" s="46"/>
      <c r="AC589" s="46"/>
      <c r="AD589" s="46"/>
    </row>
    <row r="590">
      <c r="A590" s="46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46"/>
      <c r="N590" s="46"/>
      <c r="O590" s="46"/>
      <c r="P590" s="46"/>
      <c r="Q590" s="46"/>
      <c r="R590" s="46"/>
      <c r="S590" s="46"/>
      <c r="T590" s="46"/>
      <c r="U590" s="46"/>
      <c r="V590" s="46"/>
      <c r="W590" s="46"/>
      <c r="X590" s="46"/>
      <c r="Y590" s="46"/>
      <c r="Z590" s="46"/>
      <c r="AA590" s="46"/>
      <c r="AB590" s="46"/>
      <c r="AC590" s="46"/>
      <c r="AD590" s="46"/>
    </row>
    <row r="591">
      <c r="A591" s="46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46"/>
      <c r="N591" s="46"/>
      <c r="O591" s="46"/>
      <c r="P591" s="46"/>
      <c r="Q591" s="46"/>
      <c r="R591" s="46"/>
      <c r="S591" s="46"/>
      <c r="T591" s="46"/>
      <c r="U591" s="46"/>
      <c r="V591" s="46"/>
      <c r="W591" s="46"/>
      <c r="X591" s="46"/>
      <c r="Y591" s="46"/>
      <c r="Z591" s="46"/>
      <c r="AA591" s="46"/>
      <c r="AB591" s="46"/>
      <c r="AC591" s="46"/>
      <c r="AD591" s="46"/>
    </row>
    <row r="592">
      <c r="A592" s="46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  <c r="X592" s="46"/>
      <c r="Y592" s="46"/>
      <c r="Z592" s="46"/>
      <c r="AA592" s="46"/>
      <c r="AB592" s="46"/>
      <c r="AC592" s="46"/>
      <c r="AD592" s="46"/>
    </row>
    <row r="593">
      <c r="A593" s="46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  <c r="X593" s="46"/>
      <c r="Y593" s="46"/>
      <c r="Z593" s="46"/>
      <c r="AA593" s="46"/>
      <c r="AB593" s="46"/>
      <c r="AC593" s="46"/>
      <c r="AD593" s="46"/>
    </row>
    <row r="594">
      <c r="A594" s="46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  <c r="X594" s="46"/>
      <c r="Y594" s="46"/>
      <c r="Z594" s="46"/>
      <c r="AA594" s="46"/>
      <c r="AB594" s="46"/>
      <c r="AC594" s="46"/>
      <c r="AD594" s="46"/>
    </row>
    <row r="595">
      <c r="A595" s="46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  <c r="M595" s="46"/>
      <c r="N595" s="46"/>
      <c r="O595" s="46"/>
      <c r="P595" s="46"/>
      <c r="Q595" s="46"/>
      <c r="R595" s="46"/>
      <c r="S595" s="46"/>
      <c r="T595" s="46"/>
      <c r="U595" s="46"/>
      <c r="V595" s="46"/>
      <c r="W595" s="46"/>
      <c r="X595" s="46"/>
      <c r="Y595" s="46"/>
      <c r="Z595" s="46"/>
      <c r="AA595" s="46"/>
      <c r="AB595" s="46"/>
      <c r="AC595" s="46"/>
      <c r="AD595" s="46"/>
    </row>
    <row r="596">
      <c r="A596" s="46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  <c r="S596" s="46"/>
      <c r="T596" s="46"/>
      <c r="U596" s="46"/>
      <c r="V596" s="46"/>
      <c r="W596" s="46"/>
      <c r="X596" s="46"/>
      <c r="Y596" s="46"/>
      <c r="Z596" s="46"/>
      <c r="AA596" s="46"/>
      <c r="AB596" s="46"/>
      <c r="AC596" s="46"/>
      <c r="AD596" s="46"/>
    </row>
    <row r="597">
      <c r="A597" s="46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  <c r="Z597" s="46"/>
      <c r="AA597" s="46"/>
      <c r="AB597" s="46"/>
      <c r="AC597" s="46"/>
      <c r="AD597" s="46"/>
    </row>
    <row r="598">
      <c r="A598" s="46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  <c r="M598" s="46"/>
      <c r="N598" s="46"/>
      <c r="O598" s="46"/>
      <c r="P598" s="46"/>
      <c r="Q598" s="46"/>
      <c r="R598" s="46"/>
      <c r="S598" s="46"/>
      <c r="T598" s="46"/>
      <c r="U598" s="46"/>
      <c r="V598" s="46"/>
      <c r="W598" s="46"/>
      <c r="X598" s="46"/>
      <c r="Y598" s="46"/>
      <c r="Z598" s="46"/>
      <c r="AA598" s="46"/>
      <c r="AB598" s="46"/>
      <c r="AC598" s="46"/>
      <c r="AD598" s="46"/>
    </row>
    <row r="599">
      <c r="A599" s="46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  <c r="M599" s="46"/>
      <c r="N599" s="46"/>
      <c r="O599" s="46"/>
      <c r="P599" s="46"/>
      <c r="Q599" s="46"/>
      <c r="R599" s="46"/>
      <c r="S599" s="46"/>
      <c r="T599" s="46"/>
      <c r="U599" s="46"/>
      <c r="V599" s="46"/>
      <c r="W599" s="46"/>
      <c r="X599" s="46"/>
      <c r="Y599" s="46"/>
      <c r="Z599" s="46"/>
      <c r="AA599" s="46"/>
      <c r="AB599" s="46"/>
      <c r="AC599" s="46"/>
      <c r="AD599" s="46"/>
    </row>
    <row r="600">
      <c r="A600" s="46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  <c r="S600" s="46"/>
      <c r="T600" s="46"/>
      <c r="U600" s="46"/>
      <c r="V600" s="46"/>
      <c r="W600" s="46"/>
      <c r="X600" s="46"/>
      <c r="Y600" s="46"/>
      <c r="Z600" s="46"/>
      <c r="AA600" s="46"/>
      <c r="AB600" s="46"/>
      <c r="AC600" s="46"/>
      <c r="AD600" s="46"/>
    </row>
    <row r="601">
      <c r="A601" s="46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  <c r="M601" s="46"/>
      <c r="N601" s="46"/>
      <c r="O601" s="46"/>
      <c r="P601" s="46"/>
      <c r="Q601" s="46"/>
      <c r="R601" s="46"/>
      <c r="S601" s="46"/>
      <c r="T601" s="46"/>
      <c r="U601" s="46"/>
      <c r="V601" s="46"/>
      <c r="W601" s="46"/>
      <c r="X601" s="46"/>
      <c r="Y601" s="46"/>
      <c r="Z601" s="46"/>
      <c r="AA601" s="46"/>
      <c r="AB601" s="46"/>
      <c r="AC601" s="46"/>
      <c r="AD601" s="46"/>
    </row>
    <row r="602">
      <c r="A602" s="46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  <c r="M602" s="46"/>
      <c r="N602" s="46"/>
      <c r="O602" s="46"/>
      <c r="P602" s="46"/>
      <c r="Q602" s="46"/>
      <c r="R602" s="46"/>
      <c r="S602" s="46"/>
      <c r="T602" s="46"/>
      <c r="U602" s="46"/>
      <c r="V602" s="46"/>
      <c r="W602" s="46"/>
      <c r="X602" s="46"/>
      <c r="Y602" s="46"/>
      <c r="Z602" s="46"/>
      <c r="AA602" s="46"/>
      <c r="AB602" s="46"/>
      <c r="AC602" s="46"/>
      <c r="AD602" s="46"/>
    </row>
    <row r="603">
      <c r="A603" s="46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  <c r="M603" s="46"/>
      <c r="N603" s="46"/>
      <c r="O603" s="46"/>
      <c r="P603" s="46"/>
      <c r="Q603" s="46"/>
      <c r="R603" s="46"/>
      <c r="S603" s="46"/>
      <c r="T603" s="46"/>
      <c r="U603" s="46"/>
      <c r="V603" s="46"/>
      <c r="W603" s="46"/>
      <c r="X603" s="46"/>
      <c r="Y603" s="46"/>
      <c r="Z603" s="46"/>
      <c r="AA603" s="46"/>
      <c r="AB603" s="46"/>
      <c r="AC603" s="46"/>
      <c r="AD603" s="46"/>
    </row>
    <row r="604">
      <c r="A604" s="46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  <c r="S604" s="46"/>
      <c r="T604" s="46"/>
      <c r="U604" s="46"/>
      <c r="V604" s="46"/>
      <c r="W604" s="46"/>
      <c r="X604" s="46"/>
      <c r="Y604" s="46"/>
      <c r="Z604" s="46"/>
      <c r="AA604" s="46"/>
      <c r="AB604" s="46"/>
      <c r="AC604" s="46"/>
      <c r="AD604" s="46"/>
    </row>
    <row r="605">
      <c r="A605" s="46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  <c r="M605" s="46"/>
      <c r="N605" s="46"/>
      <c r="O605" s="46"/>
      <c r="P605" s="46"/>
      <c r="Q605" s="46"/>
      <c r="R605" s="46"/>
      <c r="S605" s="46"/>
      <c r="T605" s="46"/>
      <c r="U605" s="46"/>
      <c r="V605" s="46"/>
      <c r="W605" s="46"/>
      <c r="X605" s="46"/>
      <c r="Y605" s="46"/>
      <c r="Z605" s="46"/>
      <c r="AA605" s="46"/>
      <c r="AB605" s="46"/>
      <c r="AC605" s="46"/>
      <c r="AD605" s="46"/>
    </row>
    <row r="606">
      <c r="A606" s="46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  <c r="M606" s="46"/>
      <c r="N606" s="46"/>
      <c r="O606" s="46"/>
      <c r="P606" s="46"/>
      <c r="Q606" s="46"/>
      <c r="R606" s="46"/>
      <c r="S606" s="46"/>
      <c r="T606" s="46"/>
      <c r="U606" s="46"/>
      <c r="V606" s="46"/>
      <c r="W606" s="46"/>
      <c r="X606" s="46"/>
      <c r="Y606" s="46"/>
      <c r="Z606" s="46"/>
      <c r="AA606" s="46"/>
      <c r="AB606" s="46"/>
      <c r="AC606" s="46"/>
      <c r="AD606" s="46"/>
    </row>
    <row r="607">
      <c r="A607" s="46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  <c r="M607" s="46"/>
      <c r="N607" s="46"/>
      <c r="O607" s="46"/>
      <c r="P607" s="46"/>
      <c r="Q607" s="46"/>
      <c r="R607" s="46"/>
      <c r="S607" s="46"/>
      <c r="T607" s="46"/>
      <c r="U607" s="46"/>
      <c r="V607" s="46"/>
      <c r="W607" s="46"/>
      <c r="X607" s="46"/>
      <c r="Y607" s="46"/>
      <c r="Z607" s="46"/>
      <c r="AA607" s="46"/>
      <c r="AB607" s="46"/>
      <c r="AC607" s="46"/>
      <c r="AD607" s="46"/>
    </row>
    <row r="608">
      <c r="A608" s="46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  <c r="S608" s="46"/>
      <c r="T608" s="46"/>
      <c r="U608" s="46"/>
      <c r="V608" s="46"/>
      <c r="W608" s="46"/>
      <c r="X608" s="46"/>
      <c r="Y608" s="46"/>
      <c r="Z608" s="46"/>
      <c r="AA608" s="46"/>
      <c r="AB608" s="46"/>
      <c r="AC608" s="46"/>
      <c r="AD608" s="46"/>
    </row>
    <row r="609">
      <c r="A609" s="46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  <c r="M609" s="46"/>
      <c r="N609" s="46"/>
      <c r="O609" s="46"/>
      <c r="P609" s="46"/>
      <c r="Q609" s="46"/>
      <c r="R609" s="46"/>
      <c r="S609" s="46"/>
      <c r="T609" s="46"/>
      <c r="U609" s="46"/>
      <c r="V609" s="46"/>
      <c r="W609" s="46"/>
      <c r="X609" s="46"/>
      <c r="Y609" s="46"/>
      <c r="Z609" s="46"/>
      <c r="AA609" s="46"/>
      <c r="AB609" s="46"/>
      <c r="AC609" s="46"/>
      <c r="AD609" s="46"/>
    </row>
    <row r="610">
      <c r="A610" s="46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  <c r="M610" s="46"/>
      <c r="N610" s="46"/>
      <c r="O610" s="46"/>
      <c r="P610" s="46"/>
      <c r="Q610" s="46"/>
      <c r="R610" s="46"/>
      <c r="S610" s="46"/>
      <c r="T610" s="46"/>
      <c r="U610" s="46"/>
      <c r="V610" s="46"/>
      <c r="W610" s="46"/>
      <c r="X610" s="46"/>
      <c r="Y610" s="46"/>
      <c r="Z610" s="46"/>
      <c r="AA610" s="46"/>
      <c r="AB610" s="46"/>
      <c r="AC610" s="46"/>
      <c r="AD610" s="46"/>
    </row>
    <row r="611">
      <c r="A611" s="46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  <c r="M611" s="46"/>
      <c r="N611" s="46"/>
      <c r="O611" s="46"/>
      <c r="P611" s="46"/>
      <c r="Q611" s="46"/>
      <c r="R611" s="46"/>
      <c r="S611" s="46"/>
      <c r="T611" s="46"/>
      <c r="U611" s="46"/>
      <c r="V611" s="46"/>
      <c r="W611" s="46"/>
      <c r="X611" s="46"/>
      <c r="Y611" s="46"/>
      <c r="Z611" s="46"/>
      <c r="AA611" s="46"/>
      <c r="AB611" s="46"/>
      <c r="AC611" s="46"/>
      <c r="AD611" s="46"/>
    </row>
    <row r="612">
      <c r="A612" s="46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  <c r="S612" s="46"/>
      <c r="T612" s="46"/>
      <c r="U612" s="46"/>
      <c r="V612" s="46"/>
      <c r="W612" s="46"/>
      <c r="X612" s="46"/>
      <c r="Y612" s="46"/>
      <c r="Z612" s="46"/>
      <c r="AA612" s="46"/>
      <c r="AB612" s="46"/>
      <c r="AC612" s="46"/>
      <c r="AD612" s="46"/>
    </row>
    <row r="613">
      <c r="A613" s="46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  <c r="M613" s="46"/>
      <c r="N613" s="46"/>
      <c r="O613" s="46"/>
      <c r="P613" s="46"/>
      <c r="Q613" s="46"/>
      <c r="R613" s="46"/>
      <c r="S613" s="46"/>
      <c r="T613" s="46"/>
      <c r="U613" s="46"/>
      <c r="V613" s="46"/>
      <c r="W613" s="46"/>
      <c r="X613" s="46"/>
      <c r="Y613" s="46"/>
      <c r="Z613" s="46"/>
      <c r="AA613" s="46"/>
      <c r="AB613" s="46"/>
      <c r="AC613" s="46"/>
      <c r="AD613" s="46"/>
    </row>
    <row r="614">
      <c r="A614" s="46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  <c r="M614" s="46"/>
      <c r="N614" s="46"/>
      <c r="O614" s="46"/>
      <c r="P614" s="46"/>
      <c r="Q614" s="46"/>
      <c r="R614" s="46"/>
      <c r="S614" s="46"/>
      <c r="T614" s="46"/>
      <c r="U614" s="46"/>
      <c r="V614" s="46"/>
      <c r="W614" s="46"/>
      <c r="X614" s="46"/>
      <c r="Y614" s="46"/>
      <c r="Z614" s="46"/>
      <c r="AA614" s="46"/>
      <c r="AB614" s="46"/>
      <c r="AC614" s="46"/>
      <c r="AD614" s="46"/>
    </row>
    <row r="615">
      <c r="A615" s="46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  <c r="M615" s="46"/>
      <c r="N615" s="46"/>
      <c r="O615" s="46"/>
      <c r="P615" s="46"/>
      <c r="Q615" s="46"/>
      <c r="R615" s="46"/>
      <c r="S615" s="46"/>
      <c r="T615" s="46"/>
      <c r="U615" s="46"/>
      <c r="V615" s="46"/>
      <c r="W615" s="46"/>
      <c r="X615" s="46"/>
      <c r="Y615" s="46"/>
      <c r="Z615" s="46"/>
      <c r="AA615" s="46"/>
      <c r="AB615" s="46"/>
      <c r="AC615" s="46"/>
      <c r="AD615" s="46"/>
    </row>
    <row r="616">
      <c r="A616" s="46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  <c r="S616" s="46"/>
      <c r="T616" s="46"/>
      <c r="U616" s="46"/>
      <c r="V616" s="46"/>
      <c r="W616" s="46"/>
      <c r="X616" s="46"/>
      <c r="Y616" s="46"/>
      <c r="Z616" s="46"/>
      <c r="AA616" s="46"/>
      <c r="AB616" s="46"/>
      <c r="AC616" s="46"/>
      <c r="AD616" s="46"/>
    </row>
    <row r="617">
      <c r="A617" s="46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  <c r="M617" s="46"/>
      <c r="N617" s="46"/>
      <c r="O617" s="46"/>
      <c r="P617" s="46"/>
      <c r="Q617" s="46"/>
      <c r="R617" s="46"/>
      <c r="S617" s="46"/>
      <c r="T617" s="46"/>
      <c r="U617" s="46"/>
      <c r="V617" s="46"/>
      <c r="W617" s="46"/>
      <c r="X617" s="46"/>
      <c r="Y617" s="46"/>
      <c r="Z617" s="46"/>
      <c r="AA617" s="46"/>
      <c r="AB617" s="46"/>
      <c r="AC617" s="46"/>
      <c r="AD617" s="46"/>
    </row>
    <row r="618">
      <c r="A618" s="46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  <c r="M618" s="46"/>
      <c r="N618" s="46"/>
      <c r="O618" s="46"/>
      <c r="P618" s="46"/>
      <c r="Q618" s="46"/>
      <c r="R618" s="46"/>
      <c r="S618" s="46"/>
      <c r="T618" s="46"/>
      <c r="U618" s="46"/>
      <c r="V618" s="46"/>
      <c r="W618" s="46"/>
      <c r="X618" s="46"/>
      <c r="Y618" s="46"/>
      <c r="Z618" s="46"/>
      <c r="AA618" s="46"/>
      <c r="AB618" s="46"/>
      <c r="AC618" s="46"/>
      <c r="AD618" s="46"/>
    </row>
    <row r="619">
      <c r="A619" s="46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  <c r="M619" s="46"/>
      <c r="N619" s="46"/>
      <c r="O619" s="46"/>
      <c r="P619" s="46"/>
      <c r="Q619" s="46"/>
      <c r="R619" s="46"/>
      <c r="S619" s="46"/>
      <c r="T619" s="46"/>
      <c r="U619" s="46"/>
      <c r="V619" s="46"/>
      <c r="W619" s="46"/>
      <c r="X619" s="46"/>
      <c r="Y619" s="46"/>
      <c r="Z619" s="46"/>
      <c r="AA619" s="46"/>
      <c r="AB619" s="46"/>
      <c r="AC619" s="46"/>
      <c r="AD619" s="46"/>
    </row>
    <row r="620">
      <c r="A620" s="46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  <c r="S620" s="46"/>
      <c r="T620" s="46"/>
      <c r="U620" s="46"/>
      <c r="V620" s="46"/>
      <c r="W620" s="46"/>
      <c r="X620" s="46"/>
      <c r="Y620" s="46"/>
      <c r="Z620" s="46"/>
      <c r="AA620" s="46"/>
      <c r="AB620" s="46"/>
      <c r="AC620" s="46"/>
      <c r="AD620" s="46"/>
    </row>
    <row r="621">
      <c r="A621" s="46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  <c r="M621" s="46"/>
      <c r="N621" s="46"/>
      <c r="O621" s="46"/>
      <c r="P621" s="46"/>
      <c r="Q621" s="46"/>
      <c r="R621" s="46"/>
      <c r="S621" s="46"/>
      <c r="T621" s="46"/>
      <c r="U621" s="46"/>
      <c r="V621" s="46"/>
      <c r="W621" s="46"/>
      <c r="X621" s="46"/>
      <c r="Y621" s="46"/>
      <c r="Z621" s="46"/>
      <c r="AA621" s="46"/>
      <c r="AB621" s="46"/>
      <c r="AC621" s="46"/>
      <c r="AD621" s="46"/>
    </row>
    <row r="622">
      <c r="A622" s="46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  <c r="M622" s="46"/>
      <c r="N622" s="46"/>
      <c r="O622" s="46"/>
      <c r="P622" s="46"/>
      <c r="Q622" s="46"/>
      <c r="R622" s="46"/>
      <c r="S622" s="46"/>
      <c r="T622" s="46"/>
      <c r="U622" s="46"/>
      <c r="V622" s="46"/>
      <c r="W622" s="46"/>
      <c r="X622" s="46"/>
      <c r="Y622" s="46"/>
      <c r="Z622" s="46"/>
      <c r="AA622" s="46"/>
      <c r="AB622" s="46"/>
      <c r="AC622" s="46"/>
      <c r="AD622" s="46"/>
    </row>
    <row r="623">
      <c r="A623" s="46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  <c r="M623" s="46"/>
      <c r="N623" s="46"/>
      <c r="O623" s="46"/>
      <c r="P623" s="46"/>
      <c r="Q623" s="46"/>
      <c r="R623" s="46"/>
      <c r="S623" s="46"/>
      <c r="T623" s="46"/>
      <c r="U623" s="46"/>
      <c r="V623" s="46"/>
      <c r="W623" s="46"/>
      <c r="X623" s="46"/>
      <c r="Y623" s="46"/>
      <c r="Z623" s="46"/>
      <c r="AA623" s="46"/>
      <c r="AB623" s="46"/>
      <c r="AC623" s="46"/>
      <c r="AD623" s="46"/>
    </row>
    <row r="624">
      <c r="A624" s="46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  <c r="S624" s="46"/>
      <c r="T624" s="46"/>
      <c r="U624" s="46"/>
      <c r="V624" s="46"/>
      <c r="W624" s="46"/>
      <c r="X624" s="46"/>
      <c r="Y624" s="46"/>
      <c r="Z624" s="46"/>
      <c r="AA624" s="46"/>
      <c r="AB624" s="46"/>
      <c r="AC624" s="46"/>
      <c r="AD624" s="46"/>
    </row>
    <row r="625">
      <c r="A625" s="46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  <c r="M625" s="46"/>
      <c r="N625" s="46"/>
      <c r="O625" s="46"/>
      <c r="P625" s="46"/>
      <c r="Q625" s="46"/>
      <c r="R625" s="46"/>
      <c r="S625" s="46"/>
      <c r="T625" s="46"/>
      <c r="U625" s="46"/>
      <c r="V625" s="46"/>
      <c r="W625" s="46"/>
      <c r="X625" s="46"/>
      <c r="Y625" s="46"/>
      <c r="Z625" s="46"/>
      <c r="AA625" s="46"/>
      <c r="AB625" s="46"/>
      <c r="AC625" s="46"/>
      <c r="AD625" s="46"/>
    </row>
    <row r="626">
      <c r="A626" s="46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  <c r="M626" s="46"/>
      <c r="N626" s="46"/>
      <c r="O626" s="46"/>
      <c r="P626" s="46"/>
      <c r="Q626" s="46"/>
      <c r="R626" s="46"/>
      <c r="S626" s="46"/>
      <c r="T626" s="46"/>
      <c r="U626" s="46"/>
      <c r="V626" s="46"/>
      <c r="W626" s="46"/>
      <c r="X626" s="46"/>
      <c r="Y626" s="46"/>
      <c r="Z626" s="46"/>
      <c r="AA626" s="46"/>
      <c r="AB626" s="46"/>
      <c r="AC626" s="46"/>
      <c r="AD626" s="46"/>
    </row>
    <row r="627">
      <c r="A627" s="46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  <c r="M627" s="46"/>
      <c r="N627" s="46"/>
      <c r="O627" s="46"/>
      <c r="P627" s="46"/>
      <c r="Q627" s="46"/>
      <c r="R627" s="46"/>
      <c r="S627" s="46"/>
      <c r="T627" s="46"/>
      <c r="U627" s="46"/>
      <c r="V627" s="46"/>
      <c r="W627" s="46"/>
      <c r="X627" s="46"/>
      <c r="Y627" s="46"/>
      <c r="Z627" s="46"/>
      <c r="AA627" s="46"/>
      <c r="AB627" s="46"/>
      <c r="AC627" s="46"/>
      <c r="AD627" s="46"/>
    </row>
    <row r="628">
      <c r="A628" s="46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  <c r="S628" s="46"/>
      <c r="T628" s="46"/>
      <c r="U628" s="46"/>
      <c r="V628" s="46"/>
      <c r="W628" s="46"/>
      <c r="X628" s="46"/>
      <c r="Y628" s="46"/>
      <c r="Z628" s="46"/>
      <c r="AA628" s="46"/>
      <c r="AB628" s="46"/>
      <c r="AC628" s="46"/>
      <c r="AD628" s="46"/>
    </row>
    <row r="629">
      <c r="A629" s="46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  <c r="M629" s="46"/>
      <c r="N629" s="46"/>
      <c r="O629" s="46"/>
      <c r="P629" s="46"/>
      <c r="Q629" s="46"/>
      <c r="R629" s="46"/>
      <c r="S629" s="46"/>
      <c r="T629" s="46"/>
      <c r="U629" s="46"/>
      <c r="V629" s="46"/>
      <c r="W629" s="46"/>
      <c r="X629" s="46"/>
      <c r="Y629" s="46"/>
      <c r="Z629" s="46"/>
      <c r="AA629" s="46"/>
      <c r="AB629" s="46"/>
      <c r="AC629" s="46"/>
      <c r="AD629" s="46"/>
    </row>
    <row r="630">
      <c r="A630" s="46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  <c r="M630" s="46"/>
      <c r="N630" s="46"/>
      <c r="O630" s="46"/>
      <c r="P630" s="46"/>
      <c r="Q630" s="46"/>
      <c r="R630" s="46"/>
      <c r="S630" s="46"/>
      <c r="T630" s="46"/>
      <c r="U630" s="46"/>
      <c r="V630" s="46"/>
      <c r="W630" s="46"/>
      <c r="X630" s="46"/>
      <c r="Y630" s="46"/>
      <c r="Z630" s="46"/>
      <c r="AA630" s="46"/>
      <c r="AB630" s="46"/>
      <c r="AC630" s="46"/>
      <c r="AD630" s="46"/>
    </row>
    <row r="631">
      <c r="A631" s="46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  <c r="M631" s="46"/>
      <c r="N631" s="46"/>
      <c r="O631" s="46"/>
      <c r="P631" s="46"/>
      <c r="Q631" s="46"/>
      <c r="R631" s="46"/>
      <c r="S631" s="46"/>
      <c r="T631" s="46"/>
      <c r="U631" s="46"/>
      <c r="V631" s="46"/>
      <c r="W631" s="46"/>
      <c r="X631" s="46"/>
      <c r="Y631" s="46"/>
      <c r="Z631" s="46"/>
      <c r="AA631" s="46"/>
      <c r="AB631" s="46"/>
      <c r="AC631" s="46"/>
      <c r="AD631" s="46"/>
    </row>
    <row r="632">
      <c r="A632" s="46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  <c r="S632" s="46"/>
      <c r="T632" s="46"/>
      <c r="U632" s="46"/>
      <c r="V632" s="46"/>
      <c r="W632" s="46"/>
      <c r="X632" s="46"/>
      <c r="Y632" s="46"/>
      <c r="Z632" s="46"/>
      <c r="AA632" s="46"/>
      <c r="AB632" s="46"/>
      <c r="AC632" s="46"/>
      <c r="AD632" s="46"/>
    </row>
    <row r="633">
      <c r="A633" s="46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  <c r="M633" s="46"/>
      <c r="N633" s="46"/>
      <c r="O633" s="46"/>
      <c r="P633" s="46"/>
      <c r="Q633" s="46"/>
      <c r="R633" s="46"/>
      <c r="S633" s="46"/>
      <c r="T633" s="46"/>
      <c r="U633" s="46"/>
      <c r="V633" s="46"/>
      <c r="W633" s="46"/>
      <c r="X633" s="46"/>
      <c r="Y633" s="46"/>
      <c r="Z633" s="46"/>
      <c r="AA633" s="46"/>
      <c r="AB633" s="46"/>
      <c r="AC633" s="46"/>
      <c r="AD633" s="46"/>
    </row>
    <row r="634">
      <c r="A634" s="46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  <c r="M634" s="46"/>
      <c r="N634" s="46"/>
      <c r="O634" s="46"/>
      <c r="P634" s="46"/>
      <c r="Q634" s="46"/>
      <c r="R634" s="46"/>
      <c r="S634" s="46"/>
      <c r="T634" s="46"/>
      <c r="U634" s="46"/>
      <c r="V634" s="46"/>
      <c r="W634" s="46"/>
      <c r="X634" s="46"/>
      <c r="Y634" s="46"/>
      <c r="Z634" s="46"/>
      <c r="AA634" s="46"/>
      <c r="AB634" s="46"/>
      <c r="AC634" s="46"/>
      <c r="AD634" s="46"/>
    </row>
    <row r="635">
      <c r="A635" s="46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  <c r="M635" s="46"/>
      <c r="N635" s="46"/>
      <c r="O635" s="46"/>
      <c r="P635" s="46"/>
      <c r="Q635" s="46"/>
      <c r="R635" s="46"/>
      <c r="S635" s="46"/>
      <c r="T635" s="46"/>
      <c r="U635" s="46"/>
      <c r="V635" s="46"/>
      <c r="W635" s="46"/>
      <c r="X635" s="46"/>
      <c r="Y635" s="46"/>
      <c r="Z635" s="46"/>
      <c r="AA635" s="46"/>
      <c r="AB635" s="46"/>
      <c r="AC635" s="46"/>
      <c r="AD635" s="46"/>
    </row>
    <row r="636">
      <c r="A636" s="46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  <c r="S636" s="46"/>
      <c r="T636" s="46"/>
      <c r="U636" s="46"/>
      <c r="V636" s="46"/>
      <c r="W636" s="46"/>
      <c r="X636" s="46"/>
      <c r="Y636" s="46"/>
      <c r="Z636" s="46"/>
      <c r="AA636" s="46"/>
      <c r="AB636" s="46"/>
      <c r="AC636" s="46"/>
      <c r="AD636" s="46"/>
    </row>
    <row r="637">
      <c r="A637" s="46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  <c r="M637" s="46"/>
      <c r="N637" s="46"/>
      <c r="O637" s="46"/>
      <c r="P637" s="46"/>
      <c r="Q637" s="46"/>
      <c r="R637" s="46"/>
      <c r="S637" s="46"/>
      <c r="T637" s="46"/>
      <c r="U637" s="46"/>
      <c r="V637" s="46"/>
      <c r="W637" s="46"/>
      <c r="X637" s="46"/>
      <c r="Y637" s="46"/>
      <c r="Z637" s="46"/>
      <c r="AA637" s="46"/>
      <c r="AB637" s="46"/>
      <c r="AC637" s="46"/>
      <c r="AD637" s="46"/>
    </row>
    <row r="638">
      <c r="A638" s="46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  <c r="M638" s="46"/>
      <c r="N638" s="46"/>
      <c r="O638" s="46"/>
      <c r="P638" s="46"/>
      <c r="Q638" s="46"/>
      <c r="R638" s="46"/>
      <c r="S638" s="46"/>
      <c r="T638" s="46"/>
      <c r="U638" s="46"/>
      <c r="V638" s="46"/>
      <c r="W638" s="46"/>
      <c r="X638" s="46"/>
      <c r="Y638" s="46"/>
      <c r="Z638" s="46"/>
      <c r="AA638" s="46"/>
      <c r="AB638" s="46"/>
      <c r="AC638" s="46"/>
      <c r="AD638" s="46"/>
    </row>
    <row r="639">
      <c r="A639" s="46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  <c r="M639" s="46"/>
      <c r="N639" s="46"/>
      <c r="O639" s="46"/>
      <c r="P639" s="46"/>
      <c r="Q639" s="46"/>
      <c r="R639" s="46"/>
      <c r="S639" s="46"/>
      <c r="T639" s="46"/>
      <c r="U639" s="46"/>
      <c r="V639" s="46"/>
      <c r="W639" s="46"/>
      <c r="X639" s="46"/>
      <c r="Y639" s="46"/>
      <c r="Z639" s="46"/>
      <c r="AA639" s="46"/>
      <c r="AB639" s="46"/>
      <c r="AC639" s="46"/>
      <c r="AD639" s="46"/>
    </row>
    <row r="640">
      <c r="A640" s="46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  <c r="S640" s="46"/>
      <c r="T640" s="46"/>
      <c r="U640" s="46"/>
      <c r="V640" s="46"/>
      <c r="W640" s="46"/>
      <c r="X640" s="46"/>
      <c r="Y640" s="46"/>
      <c r="Z640" s="46"/>
      <c r="AA640" s="46"/>
      <c r="AB640" s="46"/>
      <c r="AC640" s="46"/>
      <c r="AD640" s="46"/>
    </row>
    <row r="641">
      <c r="A641" s="46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  <c r="M641" s="46"/>
      <c r="N641" s="46"/>
      <c r="O641" s="46"/>
      <c r="P641" s="46"/>
      <c r="Q641" s="46"/>
      <c r="R641" s="46"/>
      <c r="S641" s="46"/>
      <c r="T641" s="46"/>
      <c r="U641" s="46"/>
      <c r="V641" s="46"/>
      <c r="W641" s="46"/>
      <c r="X641" s="46"/>
      <c r="Y641" s="46"/>
      <c r="Z641" s="46"/>
      <c r="AA641" s="46"/>
      <c r="AB641" s="46"/>
      <c r="AC641" s="46"/>
      <c r="AD641" s="46"/>
    </row>
    <row r="642">
      <c r="A642" s="46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  <c r="M642" s="46"/>
      <c r="N642" s="46"/>
      <c r="O642" s="46"/>
      <c r="P642" s="46"/>
      <c r="Q642" s="46"/>
      <c r="R642" s="46"/>
      <c r="S642" s="46"/>
      <c r="T642" s="46"/>
      <c r="U642" s="46"/>
      <c r="V642" s="46"/>
      <c r="W642" s="46"/>
      <c r="X642" s="46"/>
      <c r="Y642" s="46"/>
      <c r="Z642" s="46"/>
      <c r="AA642" s="46"/>
      <c r="AB642" s="46"/>
      <c r="AC642" s="46"/>
      <c r="AD642" s="46"/>
    </row>
    <row r="643">
      <c r="A643" s="46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  <c r="M643" s="46"/>
      <c r="N643" s="46"/>
      <c r="O643" s="46"/>
      <c r="P643" s="46"/>
      <c r="Q643" s="46"/>
      <c r="R643" s="46"/>
      <c r="S643" s="46"/>
      <c r="T643" s="46"/>
      <c r="U643" s="46"/>
      <c r="V643" s="46"/>
      <c r="W643" s="46"/>
      <c r="X643" s="46"/>
      <c r="Y643" s="46"/>
      <c r="Z643" s="46"/>
      <c r="AA643" s="46"/>
      <c r="AB643" s="46"/>
      <c r="AC643" s="46"/>
      <c r="AD643" s="46"/>
    </row>
    <row r="644">
      <c r="A644" s="46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  <c r="S644" s="46"/>
      <c r="T644" s="46"/>
      <c r="U644" s="46"/>
      <c r="V644" s="46"/>
      <c r="W644" s="46"/>
      <c r="X644" s="46"/>
      <c r="Y644" s="46"/>
      <c r="Z644" s="46"/>
      <c r="AA644" s="46"/>
      <c r="AB644" s="46"/>
      <c r="AC644" s="46"/>
      <c r="AD644" s="46"/>
    </row>
    <row r="645">
      <c r="A645" s="46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  <c r="M645" s="46"/>
      <c r="N645" s="46"/>
      <c r="O645" s="46"/>
      <c r="P645" s="46"/>
      <c r="Q645" s="46"/>
      <c r="R645" s="46"/>
      <c r="S645" s="46"/>
      <c r="T645" s="46"/>
      <c r="U645" s="46"/>
      <c r="V645" s="46"/>
      <c r="W645" s="46"/>
      <c r="X645" s="46"/>
      <c r="Y645" s="46"/>
      <c r="Z645" s="46"/>
      <c r="AA645" s="46"/>
      <c r="AB645" s="46"/>
      <c r="AC645" s="46"/>
      <c r="AD645" s="46"/>
    </row>
    <row r="646">
      <c r="A646" s="46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  <c r="M646" s="46"/>
      <c r="N646" s="46"/>
      <c r="O646" s="46"/>
      <c r="P646" s="46"/>
      <c r="Q646" s="46"/>
      <c r="R646" s="46"/>
      <c r="S646" s="46"/>
      <c r="T646" s="46"/>
      <c r="U646" s="46"/>
      <c r="V646" s="46"/>
      <c r="W646" s="46"/>
      <c r="X646" s="46"/>
      <c r="Y646" s="46"/>
      <c r="Z646" s="46"/>
      <c r="AA646" s="46"/>
      <c r="AB646" s="46"/>
      <c r="AC646" s="46"/>
      <c r="AD646" s="46"/>
    </row>
    <row r="647">
      <c r="A647" s="46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  <c r="M647" s="46"/>
      <c r="N647" s="46"/>
      <c r="O647" s="46"/>
      <c r="P647" s="46"/>
      <c r="Q647" s="46"/>
      <c r="R647" s="46"/>
      <c r="S647" s="46"/>
      <c r="T647" s="46"/>
      <c r="U647" s="46"/>
      <c r="V647" s="46"/>
      <c r="W647" s="46"/>
      <c r="X647" s="46"/>
      <c r="Y647" s="46"/>
      <c r="Z647" s="46"/>
      <c r="AA647" s="46"/>
      <c r="AB647" s="46"/>
      <c r="AC647" s="46"/>
      <c r="AD647" s="46"/>
    </row>
    <row r="648">
      <c r="A648" s="46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  <c r="S648" s="46"/>
      <c r="T648" s="46"/>
      <c r="U648" s="46"/>
      <c r="V648" s="46"/>
      <c r="W648" s="46"/>
      <c r="X648" s="46"/>
      <c r="Y648" s="46"/>
      <c r="Z648" s="46"/>
      <c r="AA648" s="46"/>
      <c r="AB648" s="46"/>
      <c r="AC648" s="46"/>
      <c r="AD648" s="46"/>
    </row>
    <row r="649">
      <c r="A649" s="46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  <c r="M649" s="46"/>
      <c r="N649" s="46"/>
      <c r="O649" s="46"/>
      <c r="P649" s="46"/>
      <c r="Q649" s="46"/>
      <c r="R649" s="46"/>
      <c r="S649" s="46"/>
      <c r="T649" s="46"/>
      <c r="U649" s="46"/>
      <c r="V649" s="46"/>
      <c r="W649" s="46"/>
      <c r="X649" s="46"/>
      <c r="Y649" s="46"/>
      <c r="Z649" s="46"/>
      <c r="AA649" s="46"/>
      <c r="AB649" s="46"/>
      <c r="AC649" s="46"/>
      <c r="AD649" s="46"/>
    </row>
    <row r="650">
      <c r="A650" s="46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  <c r="M650" s="46"/>
      <c r="N650" s="46"/>
      <c r="O650" s="46"/>
      <c r="P650" s="46"/>
      <c r="Q650" s="46"/>
      <c r="R650" s="46"/>
      <c r="S650" s="46"/>
      <c r="T650" s="46"/>
      <c r="U650" s="46"/>
      <c r="V650" s="46"/>
      <c r="W650" s="46"/>
      <c r="X650" s="46"/>
      <c r="Y650" s="46"/>
      <c r="Z650" s="46"/>
      <c r="AA650" s="46"/>
      <c r="AB650" s="46"/>
      <c r="AC650" s="46"/>
      <c r="AD650" s="46"/>
    </row>
    <row r="651">
      <c r="A651" s="46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  <c r="M651" s="46"/>
      <c r="N651" s="46"/>
      <c r="O651" s="46"/>
      <c r="P651" s="46"/>
      <c r="Q651" s="46"/>
      <c r="R651" s="46"/>
      <c r="S651" s="46"/>
      <c r="T651" s="46"/>
      <c r="U651" s="46"/>
      <c r="V651" s="46"/>
      <c r="W651" s="46"/>
      <c r="X651" s="46"/>
      <c r="Y651" s="46"/>
      <c r="Z651" s="46"/>
      <c r="AA651" s="46"/>
      <c r="AB651" s="46"/>
      <c r="AC651" s="46"/>
      <c r="AD651" s="46"/>
    </row>
    <row r="652">
      <c r="A652" s="46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  <c r="S652" s="46"/>
      <c r="T652" s="46"/>
      <c r="U652" s="46"/>
      <c r="V652" s="46"/>
      <c r="W652" s="46"/>
      <c r="X652" s="46"/>
      <c r="Y652" s="46"/>
      <c r="Z652" s="46"/>
      <c r="AA652" s="46"/>
      <c r="AB652" s="46"/>
      <c r="AC652" s="46"/>
      <c r="AD652" s="46"/>
    </row>
    <row r="653">
      <c r="A653" s="46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  <c r="M653" s="46"/>
      <c r="N653" s="46"/>
      <c r="O653" s="46"/>
      <c r="P653" s="46"/>
      <c r="Q653" s="46"/>
      <c r="R653" s="46"/>
      <c r="S653" s="46"/>
      <c r="T653" s="46"/>
      <c r="U653" s="46"/>
      <c r="V653" s="46"/>
      <c r="W653" s="46"/>
      <c r="X653" s="46"/>
      <c r="Y653" s="46"/>
      <c r="Z653" s="46"/>
      <c r="AA653" s="46"/>
      <c r="AB653" s="46"/>
      <c r="AC653" s="46"/>
      <c r="AD653" s="46"/>
    </row>
    <row r="654">
      <c r="A654" s="46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  <c r="M654" s="46"/>
      <c r="N654" s="46"/>
      <c r="O654" s="46"/>
      <c r="P654" s="46"/>
      <c r="Q654" s="46"/>
      <c r="R654" s="46"/>
      <c r="S654" s="46"/>
      <c r="T654" s="46"/>
      <c r="U654" s="46"/>
      <c r="V654" s="46"/>
      <c r="W654" s="46"/>
      <c r="X654" s="46"/>
      <c r="Y654" s="46"/>
      <c r="Z654" s="46"/>
      <c r="AA654" s="46"/>
      <c r="AB654" s="46"/>
      <c r="AC654" s="46"/>
      <c r="AD654" s="46"/>
    </row>
    <row r="655">
      <c r="A655" s="46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  <c r="M655" s="46"/>
      <c r="N655" s="46"/>
      <c r="O655" s="46"/>
      <c r="P655" s="46"/>
      <c r="Q655" s="46"/>
      <c r="R655" s="46"/>
      <c r="S655" s="46"/>
      <c r="T655" s="46"/>
      <c r="U655" s="46"/>
      <c r="V655" s="46"/>
      <c r="W655" s="46"/>
      <c r="X655" s="46"/>
      <c r="Y655" s="46"/>
      <c r="Z655" s="46"/>
      <c r="AA655" s="46"/>
      <c r="AB655" s="46"/>
      <c r="AC655" s="46"/>
      <c r="AD655" s="46"/>
    </row>
    <row r="656">
      <c r="A656" s="46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  <c r="S656" s="46"/>
      <c r="T656" s="46"/>
      <c r="U656" s="46"/>
      <c r="V656" s="46"/>
      <c r="W656" s="46"/>
      <c r="X656" s="46"/>
      <c r="Y656" s="46"/>
      <c r="Z656" s="46"/>
      <c r="AA656" s="46"/>
      <c r="AB656" s="46"/>
      <c r="AC656" s="46"/>
      <c r="AD656" s="46"/>
    </row>
    <row r="657">
      <c r="A657" s="46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  <c r="M657" s="46"/>
      <c r="N657" s="46"/>
      <c r="O657" s="46"/>
      <c r="P657" s="46"/>
      <c r="Q657" s="46"/>
      <c r="R657" s="46"/>
      <c r="S657" s="46"/>
      <c r="T657" s="46"/>
      <c r="U657" s="46"/>
      <c r="V657" s="46"/>
      <c r="W657" s="46"/>
      <c r="X657" s="46"/>
      <c r="Y657" s="46"/>
      <c r="Z657" s="46"/>
      <c r="AA657" s="46"/>
      <c r="AB657" s="46"/>
      <c r="AC657" s="46"/>
      <c r="AD657" s="46"/>
    </row>
    <row r="658">
      <c r="A658" s="46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  <c r="M658" s="46"/>
      <c r="N658" s="46"/>
      <c r="O658" s="46"/>
      <c r="P658" s="46"/>
      <c r="Q658" s="46"/>
      <c r="R658" s="46"/>
      <c r="S658" s="46"/>
      <c r="T658" s="46"/>
      <c r="U658" s="46"/>
      <c r="V658" s="46"/>
      <c r="W658" s="46"/>
      <c r="X658" s="46"/>
      <c r="Y658" s="46"/>
      <c r="Z658" s="46"/>
      <c r="AA658" s="46"/>
      <c r="AB658" s="46"/>
      <c r="AC658" s="46"/>
      <c r="AD658" s="46"/>
    </row>
    <row r="659">
      <c r="A659" s="46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  <c r="M659" s="46"/>
      <c r="N659" s="46"/>
      <c r="O659" s="46"/>
      <c r="P659" s="46"/>
      <c r="Q659" s="46"/>
      <c r="R659" s="46"/>
      <c r="S659" s="46"/>
      <c r="T659" s="46"/>
      <c r="U659" s="46"/>
      <c r="V659" s="46"/>
      <c r="W659" s="46"/>
      <c r="X659" s="46"/>
      <c r="Y659" s="46"/>
      <c r="Z659" s="46"/>
      <c r="AA659" s="46"/>
      <c r="AB659" s="46"/>
      <c r="AC659" s="46"/>
      <c r="AD659" s="46"/>
    </row>
    <row r="660">
      <c r="A660" s="46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  <c r="S660" s="46"/>
      <c r="T660" s="46"/>
      <c r="U660" s="46"/>
      <c r="V660" s="46"/>
      <c r="W660" s="46"/>
      <c r="X660" s="46"/>
      <c r="Y660" s="46"/>
      <c r="Z660" s="46"/>
      <c r="AA660" s="46"/>
      <c r="AB660" s="46"/>
      <c r="AC660" s="46"/>
      <c r="AD660" s="46"/>
    </row>
    <row r="661">
      <c r="A661" s="46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  <c r="M661" s="46"/>
      <c r="N661" s="46"/>
      <c r="O661" s="46"/>
      <c r="P661" s="46"/>
      <c r="Q661" s="46"/>
      <c r="R661" s="46"/>
      <c r="S661" s="46"/>
      <c r="T661" s="46"/>
      <c r="U661" s="46"/>
      <c r="V661" s="46"/>
      <c r="W661" s="46"/>
      <c r="X661" s="46"/>
      <c r="Y661" s="46"/>
      <c r="Z661" s="46"/>
      <c r="AA661" s="46"/>
      <c r="AB661" s="46"/>
      <c r="AC661" s="46"/>
      <c r="AD661" s="46"/>
    </row>
    <row r="662">
      <c r="A662" s="46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  <c r="M662" s="46"/>
      <c r="N662" s="46"/>
      <c r="O662" s="46"/>
      <c r="P662" s="46"/>
      <c r="Q662" s="46"/>
      <c r="R662" s="46"/>
      <c r="S662" s="46"/>
      <c r="T662" s="46"/>
      <c r="U662" s="46"/>
      <c r="V662" s="46"/>
      <c r="W662" s="46"/>
      <c r="X662" s="46"/>
      <c r="Y662" s="46"/>
      <c r="Z662" s="46"/>
      <c r="AA662" s="46"/>
      <c r="AB662" s="46"/>
      <c r="AC662" s="46"/>
      <c r="AD662" s="46"/>
    </row>
    <row r="663">
      <c r="A663" s="46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  <c r="M663" s="46"/>
      <c r="N663" s="46"/>
      <c r="O663" s="46"/>
      <c r="P663" s="46"/>
      <c r="Q663" s="46"/>
      <c r="R663" s="46"/>
      <c r="S663" s="46"/>
      <c r="T663" s="46"/>
      <c r="U663" s="46"/>
      <c r="V663" s="46"/>
      <c r="W663" s="46"/>
      <c r="X663" s="46"/>
      <c r="Y663" s="46"/>
      <c r="Z663" s="46"/>
      <c r="AA663" s="46"/>
      <c r="AB663" s="46"/>
      <c r="AC663" s="46"/>
      <c r="AD663" s="46"/>
    </row>
    <row r="664">
      <c r="A664" s="46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  <c r="S664" s="46"/>
      <c r="T664" s="46"/>
      <c r="U664" s="46"/>
      <c r="V664" s="46"/>
      <c r="W664" s="46"/>
      <c r="X664" s="46"/>
      <c r="Y664" s="46"/>
      <c r="Z664" s="46"/>
      <c r="AA664" s="46"/>
      <c r="AB664" s="46"/>
      <c r="AC664" s="46"/>
      <c r="AD664" s="46"/>
    </row>
    <row r="665">
      <c r="A665" s="46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  <c r="M665" s="46"/>
      <c r="N665" s="46"/>
      <c r="O665" s="46"/>
      <c r="P665" s="46"/>
      <c r="Q665" s="46"/>
      <c r="R665" s="46"/>
      <c r="S665" s="46"/>
      <c r="T665" s="46"/>
      <c r="U665" s="46"/>
      <c r="V665" s="46"/>
      <c r="W665" s="46"/>
      <c r="X665" s="46"/>
      <c r="Y665" s="46"/>
      <c r="Z665" s="46"/>
      <c r="AA665" s="46"/>
      <c r="AB665" s="46"/>
      <c r="AC665" s="46"/>
      <c r="AD665" s="46"/>
    </row>
    <row r="666">
      <c r="A666" s="46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  <c r="M666" s="46"/>
      <c r="N666" s="46"/>
      <c r="O666" s="46"/>
      <c r="P666" s="46"/>
      <c r="Q666" s="46"/>
      <c r="R666" s="46"/>
      <c r="S666" s="46"/>
      <c r="T666" s="46"/>
      <c r="U666" s="46"/>
      <c r="V666" s="46"/>
      <c r="W666" s="46"/>
      <c r="X666" s="46"/>
      <c r="Y666" s="46"/>
      <c r="Z666" s="46"/>
      <c r="AA666" s="46"/>
      <c r="AB666" s="46"/>
      <c r="AC666" s="46"/>
      <c r="AD666" s="46"/>
    </row>
    <row r="667">
      <c r="A667" s="46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  <c r="M667" s="46"/>
      <c r="N667" s="46"/>
      <c r="O667" s="46"/>
      <c r="P667" s="46"/>
      <c r="Q667" s="46"/>
      <c r="R667" s="46"/>
      <c r="S667" s="46"/>
      <c r="T667" s="46"/>
      <c r="U667" s="46"/>
      <c r="V667" s="46"/>
      <c r="W667" s="46"/>
      <c r="X667" s="46"/>
      <c r="Y667" s="46"/>
      <c r="Z667" s="46"/>
      <c r="AA667" s="46"/>
      <c r="AB667" s="46"/>
      <c r="AC667" s="46"/>
      <c r="AD667" s="46"/>
    </row>
    <row r="668">
      <c r="A668" s="46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  <c r="S668" s="46"/>
      <c r="T668" s="46"/>
      <c r="U668" s="46"/>
      <c r="V668" s="46"/>
      <c r="W668" s="46"/>
      <c r="X668" s="46"/>
      <c r="Y668" s="46"/>
      <c r="Z668" s="46"/>
      <c r="AA668" s="46"/>
      <c r="AB668" s="46"/>
      <c r="AC668" s="46"/>
      <c r="AD668" s="46"/>
    </row>
    <row r="669">
      <c r="A669" s="46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  <c r="M669" s="46"/>
      <c r="N669" s="46"/>
      <c r="O669" s="46"/>
      <c r="P669" s="46"/>
      <c r="Q669" s="46"/>
      <c r="R669" s="46"/>
      <c r="S669" s="46"/>
      <c r="T669" s="46"/>
      <c r="U669" s="46"/>
      <c r="V669" s="46"/>
      <c r="W669" s="46"/>
      <c r="X669" s="46"/>
      <c r="Y669" s="46"/>
      <c r="Z669" s="46"/>
      <c r="AA669" s="46"/>
      <c r="AB669" s="46"/>
      <c r="AC669" s="46"/>
      <c r="AD669" s="46"/>
    </row>
    <row r="670">
      <c r="A670" s="46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  <c r="M670" s="46"/>
      <c r="N670" s="46"/>
      <c r="O670" s="46"/>
      <c r="P670" s="46"/>
      <c r="Q670" s="46"/>
      <c r="R670" s="46"/>
      <c r="S670" s="46"/>
      <c r="T670" s="46"/>
      <c r="U670" s="46"/>
      <c r="V670" s="46"/>
      <c r="W670" s="46"/>
      <c r="X670" s="46"/>
      <c r="Y670" s="46"/>
      <c r="Z670" s="46"/>
      <c r="AA670" s="46"/>
      <c r="AB670" s="46"/>
      <c r="AC670" s="46"/>
      <c r="AD670" s="46"/>
    </row>
    <row r="671">
      <c r="A671" s="46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  <c r="M671" s="46"/>
      <c r="N671" s="46"/>
      <c r="O671" s="46"/>
      <c r="P671" s="46"/>
      <c r="Q671" s="46"/>
      <c r="R671" s="46"/>
      <c r="S671" s="46"/>
      <c r="T671" s="46"/>
      <c r="U671" s="46"/>
      <c r="V671" s="46"/>
      <c r="W671" s="46"/>
      <c r="X671" s="46"/>
      <c r="Y671" s="46"/>
      <c r="Z671" s="46"/>
      <c r="AA671" s="46"/>
      <c r="AB671" s="46"/>
      <c r="AC671" s="46"/>
      <c r="AD671" s="46"/>
    </row>
    <row r="672">
      <c r="A672" s="46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  <c r="S672" s="46"/>
      <c r="T672" s="46"/>
      <c r="U672" s="46"/>
      <c r="V672" s="46"/>
      <c r="W672" s="46"/>
      <c r="X672" s="46"/>
      <c r="Y672" s="46"/>
      <c r="Z672" s="46"/>
      <c r="AA672" s="46"/>
      <c r="AB672" s="46"/>
      <c r="AC672" s="46"/>
      <c r="AD672" s="46"/>
    </row>
    <row r="673">
      <c r="A673" s="46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  <c r="M673" s="46"/>
      <c r="N673" s="46"/>
      <c r="O673" s="46"/>
      <c r="P673" s="46"/>
      <c r="Q673" s="46"/>
      <c r="R673" s="46"/>
      <c r="S673" s="46"/>
      <c r="T673" s="46"/>
      <c r="U673" s="46"/>
      <c r="V673" s="46"/>
      <c r="W673" s="46"/>
      <c r="X673" s="46"/>
      <c r="Y673" s="46"/>
      <c r="Z673" s="46"/>
      <c r="AA673" s="46"/>
      <c r="AB673" s="46"/>
      <c r="AC673" s="46"/>
      <c r="AD673" s="46"/>
    </row>
    <row r="674">
      <c r="A674" s="46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  <c r="M674" s="46"/>
      <c r="N674" s="46"/>
      <c r="O674" s="46"/>
      <c r="P674" s="46"/>
      <c r="Q674" s="46"/>
      <c r="R674" s="46"/>
      <c r="S674" s="46"/>
      <c r="T674" s="46"/>
      <c r="U674" s="46"/>
      <c r="V674" s="46"/>
      <c r="W674" s="46"/>
      <c r="X674" s="46"/>
      <c r="Y674" s="46"/>
      <c r="Z674" s="46"/>
      <c r="AA674" s="46"/>
      <c r="AB674" s="46"/>
      <c r="AC674" s="46"/>
      <c r="AD674" s="46"/>
    </row>
    <row r="675">
      <c r="A675" s="46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  <c r="M675" s="46"/>
      <c r="N675" s="46"/>
      <c r="O675" s="46"/>
      <c r="P675" s="46"/>
      <c r="Q675" s="46"/>
      <c r="R675" s="46"/>
      <c r="S675" s="46"/>
      <c r="T675" s="46"/>
      <c r="U675" s="46"/>
      <c r="V675" s="46"/>
      <c r="W675" s="46"/>
      <c r="X675" s="46"/>
      <c r="Y675" s="46"/>
      <c r="Z675" s="46"/>
      <c r="AA675" s="46"/>
      <c r="AB675" s="46"/>
      <c r="AC675" s="46"/>
      <c r="AD675" s="46"/>
    </row>
    <row r="676">
      <c r="A676" s="46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  <c r="S676" s="46"/>
      <c r="T676" s="46"/>
      <c r="U676" s="46"/>
      <c r="V676" s="46"/>
      <c r="W676" s="46"/>
      <c r="X676" s="46"/>
      <c r="Y676" s="46"/>
      <c r="Z676" s="46"/>
      <c r="AA676" s="46"/>
      <c r="AB676" s="46"/>
      <c r="AC676" s="46"/>
      <c r="AD676" s="46"/>
    </row>
    <row r="677">
      <c r="A677" s="46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  <c r="M677" s="46"/>
      <c r="N677" s="46"/>
      <c r="O677" s="46"/>
      <c r="P677" s="46"/>
      <c r="Q677" s="46"/>
      <c r="R677" s="46"/>
      <c r="S677" s="46"/>
      <c r="T677" s="46"/>
      <c r="U677" s="46"/>
      <c r="V677" s="46"/>
      <c r="W677" s="46"/>
      <c r="X677" s="46"/>
      <c r="Y677" s="46"/>
      <c r="Z677" s="46"/>
      <c r="AA677" s="46"/>
      <c r="AB677" s="46"/>
      <c r="AC677" s="46"/>
      <c r="AD677" s="46"/>
    </row>
    <row r="678">
      <c r="A678" s="46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  <c r="M678" s="46"/>
      <c r="N678" s="46"/>
      <c r="O678" s="46"/>
      <c r="P678" s="46"/>
      <c r="Q678" s="46"/>
      <c r="R678" s="46"/>
      <c r="S678" s="46"/>
      <c r="T678" s="46"/>
      <c r="U678" s="46"/>
      <c r="V678" s="46"/>
      <c r="W678" s="46"/>
      <c r="X678" s="46"/>
      <c r="Y678" s="46"/>
      <c r="Z678" s="46"/>
      <c r="AA678" s="46"/>
      <c r="AB678" s="46"/>
      <c r="AC678" s="46"/>
      <c r="AD678" s="46"/>
    </row>
    <row r="679">
      <c r="A679" s="46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  <c r="M679" s="46"/>
      <c r="N679" s="46"/>
      <c r="O679" s="46"/>
      <c r="P679" s="46"/>
      <c r="Q679" s="46"/>
      <c r="R679" s="46"/>
      <c r="S679" s="46"/>
      <c r="T679" s="46"/>
      <c r="U679" s="46"/>
      <c r="V679" s="46"/>
      <c r="W679" s="46"/>
      <c r="X679" s="46"/>
      <c r="Y679" s="46"/>
      <c r="Z679" s="46"/>
      <c r="AA679" s="46"/>
      <c r="AB679" s="46"/>
      <c r="AC679" s="46"/>
      <c r="AD679" s="46"/>
    </row>
    <row r="680">
      <c r="A680" s="46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  <c r="S680" s="46"/>
      <c r="T680" s="46"/>
      <c r="U680" s="46"/>
      <c r="V680" s="46"/>
      <c r="W680" s="46"/>
      <c r="X680" s="46"/>
      <c r="Y680" s="46"/>
      <c r="Z680" s="46"/>
      <c r="AA680" s="46"/>
      <c r="AB680" s="46"/>
      <c r="AC680" s="46"/>
      <c r="AD680" s="46"/>
    </row>
    <row r="681">
      <c r="A681" s="46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  <c r="M681" s="46"/>
      <c r="N681" s="46"/>
      <c r="O681" s="46"/>
      <c r="P681" s="46"/>
      <c r="Q681" s="46"/>
      <c r="R681" s="46"/>
      <c r="S681" s="46"/>
      <c r="T681" s="46"/>
      <c r="U681" s="46"/>
      <c r="V681" s="46"/>
      <c r="W681" s="46"/>
      <c r="X681" s="46"/>
      <c r="Y681" s="46"/>
      <c r="Z681" s="46"/>
      <c r="AA681" s="46"/>
      <c r="AB681" s="46"/>
      <c r="AC681" s="46"/>
      <c r="AD681" s="46"/>
    </row>
    <row r="682">
      <c r="A682" s="46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  <c r="M682" s="46"/>
      <c r="N682" s="46"/>
      <c r="O682" s="46"/>
      <c r="P682" s="46"/>
      <c r="Q682" s="46"/>
      <c r="R682" s="46"/>
      <c r="S682" s="46"/>
      <c r="T682" s="46"/>
      <c r="U682" s="46"/>
      <c r="V682" s="46"/>
      <c r="W682" s="46"/>
      <c r="X682" s="46"/>
      <c r="Y682" s="46"/>
      <c r="Z682" s="46"/>
      <c r="AA682" s="46"/>
      <c r="AB682" s="46"/>
      <c r="AC682" s="46"/>
      <c r="AD682" s="46"/>
    </row>
    <row r="683">
      <c r="A683" s="46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  <c r="M683" s="46"/>
      <c r="N683" s="46"/>
      <c r="O683" s="46"/>
      <c r="P683" s="46"/>
      <c r="Q683" s="46"/>
      <c r="R683" s="46"/>
      <c r="S683" s="46"/>
      <c r="T683" s="46"/>
      <c r="U683" s="46"/>
      <c r="V683" s="46"/>
      <c r="W683" s="46"/>
      <c r="X683" s="46"/>
      <c r="Y683" s="46"/>
      <c r="Z683" s="46"/>
      <c r="AA683" s="46"/>
      <c r="AB683" s="46"/>
      <c r="AC683" s="46"/>
      <c r="AD683" s="46"/>
    </row>
    <row r="684">
      <c r="A684" s="46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  <c r="S684" s="46"/>
      <c r="T684" s="46"/>
      <c r="U684" s="46"/>
      <c r="V684" s="46"/>
      <c r="W684" s="46"/>
      <c r="X684" s="46"/>
      <c r="Y684" s="46"/>
      <c r="Z684" s="46"/>
      <c r="AA684" s="46"/>
      <c r="AB684" s="46"/>
      <c r="AC684" s="46"/>
      <c r="AD684" s="46"/>
    </row>
    <row r="685">
      <c r="A685" s="46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  <c r="M685" s="46"/>
      <c r="N685" s="46"/>
      <c r="O685" s="46"/>
      <c r="P685" s="46"/>
      <c r="Q685" s="46"/>
      <c r="R685" s="46"/>
      <c r="S685" s="46"/>
      <c r="T685" s="46"/>
      <c r="U685" s="46"/>
      <c r="V685" s="46"/>
      <c r="W685" s="46"/>
      <c r="X685" s="46"/>
      <c r="Y685" s="46"/>
      <c r="Z685" s="46"/>
      <c r="AA685" s="46"/>
      <c r="AB685" s="46"/>
      <c r="AC685" s="46"/>
      <c r="AD685" s="46"/>
    </row>
    <row r="686">
      <c r="A686" s="46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  <c r="M686" s="46"/>
      <c r="N686" s="46"/>
      <c r="O686" s="46"/>
      <c r="P686" s="46"/>
      <c r="Q686" s="46"/>
      <c r="R686" s="46"/>
      <c r="S686" s="46"/>
      <c r="T686" s="46"/>
      <c r="U686" s="46"/>
      <c r="V686" s="46"/>
      <c r="W686" s="46"/>
      <c r="X686" s="46"/>
      <c r="Y686" s="46"/>
      <c r="Z686" s="46"/>
      <c r="AA686" s="46"/>
      <c r="AB686" s="46"/>
      <c r="AC686" s="46"/>
      <c r="AD686" s="46"/>
    </row>
    <row r="687">
      <c r="A687" s="46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  <c r="M687" s="46"/>
      <c r="N687" s="46"/>
      <c r="O687" s="46"/>
      <c r="P687" s="46"/>
      <c r="Q687" s="46"/>
      <c r="R687" s="46"/>
      <c r="S687" s="46"/>
      <c r="T687" s="46"/>
      <c r="U687" s="46"/>
      <c r="V687" s="46"/>
      <c r="W687" s="46"/>
      <c r="X687" s="46"/>
      <c r="Y687" s="46"/>
      <c r="Z687" s="46"/>
      <c r="AA687" s="46"/>
      <c r="AB687" s="46"/>
      <c r="AC687" s="46"/>
      <c r="AD687" s="46"/>
    </row>
    <row r="688">
      <c r="A688" s="46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  <c r="S688" s="46"/>
      <c r="T688" s="46"/>
      <c r="U688" s="46"/>
      <c r="V688" s="46"/>
      <c r="W688" s="46"/>
      <c r="X688" s="46"/>
      <c r="Y688" s="46"/>
      <c r="Z688" s="46"/>
      <c r="AA688" s="46"/>
      <c r="AB688" s="46"/>
      <c r="AC688" s="46"/>
      <c r="AD688" s="46"/>
    </row>
    <row r="689">
      <c r="A689" s="46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  <c r="M689" s="46"/>
      <c r="N689" s="46"/>
      <c r="O689" s="46"/>
      <c r="P689" s="46"/>
      <c r="Q689" s="46"/>
      <c r="R689" s="46"/>
      <c r="S689" s="46"/>
      <c r="T689" s="46"/>
      <c r="U689" s="46"/>
      <c r="V689" s="46"/>
      <c r="W689" s="46"/>
      <c r="X689" s="46"/>
      <c r="Y689" s="46"/>
      <c r="Z689" s="46"/>
      <c r="AA689" s="46"/>
      <c r="AB689" s="46"/>
      <c r="AC689" s="46"/>
      <c r="AD689" s="46"/>
    </row>
    <row r="690">
      <c r="A690" s="46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  <c r="M690" s="46"/>
      <c r="N690" s="46"/>
      <c r="O690" s="46"/>
      <c r="P690" s="46"/>
      <c r="Q690" s="46"/>
      <c r="R690" s="46"/>
      <c r="S690" s="46"/>
      <c r="T690" s="46"/>
      <c r="U690" s="46"/>
      <c r="V690" s="46"/>
      <c r="W690" s="46"/>
      <c r="X690" s="46"/>
      <c r="Y690" s="46"/>
      <c r="Z690" s="46"/>
      <c r="AA690" s="46"/>
      <c r="AB690" s="46"/>
      <c r="AC690" s="46"/>
      <c r="AD690" s="46"/>
    </row>
    <row r="691">
      <c r="A691" s="46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  <c r="M691" s="46"/>
      <c r="N691" s="46"/>
      <c r="O691" s="46"/>
      <c r="P691" s="46"/>
      <c r="Q691" s="46"/>
      <c r="R691" s="46"/>
      <c r="S691" s="46"/>
      <c r="T691" s="46"/>
      <c r="U691" s="46"/>
      <c r="V691" s="46"/>
      <c r="W691" s="46"/>
      <c r="X691" s="46"/>
      <c r="Y691" s="46"/>
      <c r="Z691" s="46"/>
      <c r="AA691" s="46"/>
      <c r="AB691" s="46"/>
      <c r="AC691" s="46"/>
      <c r="AD691" s="46"/>
    </row>
    <row r="692">
      <c r="A692" s="46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  <c r="S692" s="46"/>
      <c r="T692" s="46"/>
      <c r="U692" s="46"/>
      <c r="V692" s="46"/>
      <c r="W692" s="46"/>
      <c r="X692" s="46"/>
      <c r="Y692" s="46"/>
      <c r="Z692" s="46"/>
      <c r="AA692" s="46"/>
      <c r="AB692" s="46"/>
      <c r="AC692" s="46"/>
      <c r="AD692" s="46"/>
    </row>
    <row r="693">
      <c r="A693" s="46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  <c r="M693" s="46"/>
      <c r="N693" s="46"/>
      <c r="O693" s="46"/>
      <c r="P693" s="46"/>
      <c r="Q693" s="46"/>
      <c r="R693" s="46"/>
      <c r="S693" s="46"/>
      <c r="T693" s="46"/>
      <c r="U693" s="46"/>
      <c r="V693" s="46"/>
      <c r="W693" s="46"/>
      <c r="X693" s="46"/>
      <c r="Y693" s="46"/>
      <c r="Z693" s="46"/>
      <c r="AA693" s="46"/>
      <c r="AB693" s="46"/>
      <c r="AC693" s="46"/>
      <c r="AD693" s="46"/>
    </row>
    <row r="694">
      <c r="A694" s="46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  <c r="M694" s="46"/>
      <c r="N694" s="46"/>
      <c r="O694" s="46"/>
      <c r="P694" s="46"/>
      <c r="Q694" s="46"/>
      <c r="R694" s="46"/>
      <c r="S694" s="46"/>
      <c r="T694" s="46"/>
      <c r="U694" s="46"/>
      <c r="V694" s="46"/>
      <c r="W694" s="46"/>
      <c r="X694" s="46"/>
      <c r="Y694" s="46"/>
      <c r="Z694" s="46"/>
      <c r="AA694" s="46"/>
      <c r="AB694" s="46"/>
      <c r="AC694" s="46"/>
      <c r="AD694" s="46"/>
    </row>
    <row r="695">
      <c r="A695" s="46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  <c r="M695" s="46"/>
      <c r="N695" s="46"/>
      <c r="O695" s="46"/>
      <c r="P695" s="46"/>
      <c r="Q695" s="46"/>
      <c r="R695" s="46"/>
      <c r="S695" s="46"/>
      <c r="T695" s="46"/>
      <c r="U695" s="46"/>
      <c r="V695" s="46"/>
      <c r="W695" s="46"/>
      <c r="X695" s="46"/>
      <c r="Y695" s="46"/>
      <c r="Z695" s="46"/>
      <c r="AA695" s="46"/>
      <c r="AB695" s="46"/>
      <c r="AC695" s="46"/>
      <c r="AD695" s="46"/>
    </row>
    <row r="696">
      <c r="A696" s="46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  <c r="S696" s="46"/>
      <c r="T696" s="46"/>
      <c r="U696" s="46"/>
      <c r="V696" s="46"/>
      <c r="W696" s="46"/>
      <c r="X696" s="46"/>
      <c r="Y696" s="46"/>
      <c r="Z696" s="46"/>
      <c r="AA696" s="46"/>
      <c r="AB696" s="46"/>
      <c r="AC696" s="46"/>
      <c r="AD696" s="46"/>
    </row>
    <row r="697">
      <c r="A697" s="46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  <c r="M697" s="46"/>
      <c r="N697" s="46"/>
      <c r="O697" s="46"/>
      <c r="P697" s="46"/>
      <c r="Q697" s="46"/>
      <c r="R697" s="46"/>
      <c r="S697" s="46"/>
      <c r="T697" s="46"/>
      <c r="U697" s="46"/>
      <c r="V697" s="46"/>
      <c r="W697" s="46"/>
      <c r="X697" s="46"/>
      <c r="Y697" s="46"/>
      <c r="Z697" s="46"/>
      <c r="AA697" s="46"/>
      <c r="AB697" s="46"/>
      <c r="AC697" s="46"/>
      <c r="AD697" s="46"/>
    </row>
    <row r="698">
      <c r="A698" s="46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  <c r="M698" s="46"/>
      <c r="N698" s="46"/>
      <c r="O698" s="46"/>
      <c r="P698" s="46"/>
      <c r="Q698" s="46"/>
      <c r="R698" s="46"/>
      <c r="S698" s="46"/>
      <c r="T698" s="46"/>
      <c r="U698" s="46"/>
      <c r="V698" s="46"/>
      <c r="W698" s="46"/>
      <c r="X698" s="46"/>
      <c r="Y698" s="46"/>
      <c r="Z698" s="46"/>
      <c r="AA698" s="46"/>
      <c r="AB698" s="46"/>
      <c r="AC698" s="46"/>
      <c r="AD698" s="46"/>
    </row>
    <row r="699">
      <c r="A699" s="46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  <c r="M699" s="46"/>
      <c r="N699" s="46"/>
      <c r="O699" s="46"/>
      <c r="P699" s="46"/>
      <c r="Q699" s="46"/>
      <c r="R699" s="46"/>
      <c r="S699" s="46"/>
      <c r="T699" s="46"/>
      <c r="U699" s="46"/>
      <c r="V699" s="46"/>
      <c r="W699" s="46"/>
      <c r="X699" s="46"/>
      <c r="Y699" s="46"/>
      <c r="Z699" s="46"/>
      <c r="AA699" s="46"/>
      <c r="AB699" s="46"/>
      <c r="AC699" s="46"/>
      <c r="AD699" s="46"/>
    </row>
    <row r="700">
      <c r="A700" s="46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  <c r="S700" s="46"/>
      <c r="T700" s="46"/>
      <c r="U700" s="46"/>
      <c r="V700" s="46"/>
      <c r="W700" s="46"/>
      <c r="X700" s="46"/>
      <c r="Y700" s="46"/>
      <c r="Z700" s="46"/>
      <c r="AA700" s="46"/>
      <c r="AB700" s="46"/>
      <c r="AC700" s="46"/>
      <c r="AD700" s="46"/>
    </row>
    <row r="701">
      <c r="A701" s="46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  <c r="M701" s="46"/>
      <c r="N701" s="46"/>
      <c r="O701" s="46"/>
      <c r="P701" s="46"/>
      <c r="Q701" s="46"/>
      <c r="R701" s="46"/>
      <c r="S701" s="46"/>
      <c r="T701" s="46"/>
      <c r="U701" s="46"/>
      <c r="V701" s="46"/>
      <c r="W701" s="46"/>
      <c r="X701" s="46"/>
      <c r="Y701" s="46"/>
      <c r="Z701" s="46"/>
      <c r="AA701" s="46"/>
      <c r="AB701" s="46"/>
      <c r="AC701" s="46"/>
      <c r="AD701" s="46"/>
    </row>
    <row r="702">
      <c r="A702" s="46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  <c r="M702" s="46"/>
      <c r="N702" s="46"/>
      <c r="O702" s="46"/>
      <c r="P702" s="46"/>
      <c r="Q702" s="46"/>
      <c r="R702" s="46"/>
      <c r="S702" s="46"/>
      <c r="T702" s="46"/>
      <c r="U702" s="46"/>
      <c r="V702" s="46"/>
      <c r="W702" s="46"/>
      <c r="X702" s="46"/>
      <c r="Y702" s="46"/>
      <c r="Z702" s="46"/>
      <c r="AA702" s="46"/>
      <c r="AB702" s="46"/>
      <c r="AC702" s="46"/>
      <c r="AD702" s="46"/>
    </row>
    <row r="703">
      <c r="A703" s="46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  <c r="M703" s="46"/>
      <c r="N703" s="46"/>
      <c r="O703" s="46"/>
      <c r="P703" s="46"/>
      <c r="Q703" s="46"/>
      <c r="R703" s="46"/>
      <c r="S703" s="46"/>
      <c r="T703" s="46"/>
      <c r="U703" s="46"/>
      <c r="V703" s="46"/>
      <c r="W703" s="46"/>
      <c r="X703" s="46"/>
      <c r="Y703" s="46"/>
      <c r="Z703" s="46"/>
      <c r="AA703" s="46"/>
      <c r="AB703" s="46"/>
      <c r="AC703" s="46"/>
      <c r="AD703" s="46"/>
    </row>
    <row r="704">
      <c r="A704" s="46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  <c r="S704" s="46"/>
      <c r="T704" s="46"/>
      <c r="U704" s="46"/>
      <c r="V704" s="46"/>
      <c r="W704" s="46"/>
      <c r="X704" s="46"/>
      <c r="Y704" s="46"/>
      <c r="Z704" s="46"/>
      <c r="AA704" s="46"/>
      <c r="AB704" s="46"/>
      <c r="AC704" s="46"/>
      <c r="AD704" s="46"/>
    </row>
    <row r="705">
      <c r="A705" s="46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  <c r="M705" s="46"/>
      <c r="N705" s="46"/>
      <c r="O705" s="46"/>
      <c r="P705" s="46"/>
      <c r="Q705" s="46"/>
      <c r="R705" s="46"/>
      <c r="S705" s="46"/>
      <c r="T705" s="46"/>
      <c r="U705" s="46"/>
      <c r="V705" s="46"/>
      <c r="W705" s="46"/>
      <c r="X705" s="46"/>
      <c r="Y705" s="46"/>
      <c r="Z705" s="46"/>
      <c r="AA705" s="46"/>
      <c r="AB705" s="46"/>
      <c r="AC705" s="46"/>
      <c r="AD705" s="46"/>
    </row>
    <row r="706">
      <c r="A706" s="46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  <c r="M706" s="46"/>
      <c r="N706" s="46"/>
      <c r="O706" s="46"/>
      <c r="P706" s="46"/>
      <c r="Q706" s="46"/>
      <c r="R706" s="46"/>
      <c r="S706" s="46"/>
      <c r="T706" s="46"/>
      <c r="U706" s="46"/>
      <c r="V706" s="46"/>
      <c r="W706" s="46"/>
      <c r="X706" s="46"/>
      <c r="Y706" s="46"/>
      <c r="Z706" s="46"/>
      <c r="AA706" s="46"/>
      <c r="AB706" s="46"/>
      <c r="AC706" s="46"/>
      <c r="AD706" s="46"/>
    </row>
    <row r="707">
      <c r="A707" s="46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  <c r="M707" s="46"/>
      <c r="N707" s="46"/>
      <c r="O707" s="46"/>
      <c r="P707" s="46"/>
      <c r="Q707" s="46"/>
      <c r="R707" s="46"/>
      <c r="S707" s="46"/>
      <c r="T707" s="46"/>
      <c r="U707" s="46"/>
      <c r="V707" s="46"/>
      <c r="W707" s="46"/>
      <c r="X707" s="46"/>
      <c r="Y707" s="46"/>
      <c r="Z707" s="46"/>
      <c r="AA707" s="46"/>
      <c r="AB707" s="46"/>
      <c r="AC707" s="46"/>
      <c r="AD707" s="46"/>
    </row>
    <row r="708">
      <c r="A708" s="46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  <c r="S708" s="46"/>
      <c r="T708" s="46"/>
      <c r="U708" s="46"/>
      <c r="V708" s="46"/>
      <c r="W708" s="46"/>
      <c r="X708" s="46"/>
      <c r="Y708" s="46"/>
      <c r="Z708" s="46"/>
      <c r="AA708" s="46"/>
      <c r="AB708" s="46"/>
      <c r="AC708" s="46"/>
      <c r="AD708" s="46"/>
    </row>
    <row r="709">
      <c r="A709" s="46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  <c r="M709" s="46"/>
      <c r="N709" s="46"/>
      <c r="O709" s="46"/>
      <c r="P709" s="46"/>
      <c r="Q709" s="46"/>
      <c r="R709" s="46"/>
      <c r="S709" s="46"/>
      <c r="T709" s="46"/>
      <c r="U709" s="46"/>
      <c r="V709" s="46"/>
      <c r="W709" s="46"/>
      <c r="X709" s="46"/>
      <c r="Y709" s="46"/>
      <c r="Z709" s="46"/>
      <c r="AA709" s="46"/>
      <c r="AB709" s="46"/>
      <c r="AC709" s="46"/>
      <c r="AD709" s="46"/>
    </row>
    <row r="710">
      <c r="A710" s="46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  <c r="M710" s="46"/>
      <c r="N710" s="46"/>
      <c r="O710" s="46"/>
      <c r="P710" s="46"/>
      <c r="Q710" s="46"/>
      <c r="R710" s="46"/>
      <c r="S710" s="46"/>
      <c r="T710" s="46"/>
      <c r="U710" s="46"/>
      <c r="V710" s="46"/>
      <c r="W710" s="46"/>
      <c r="X710" s="46"/>
      <c r="Y710" s="46"/>
      <c r="Z710" s="46"/>
      <c r="AA710" s="46"/>
      <c r="AB710" s="46"/>
      <c r="AC710" s="46"/>
      <c r="AD710" s="46"/>
    </row>
    <row r="711">
      <c r="A711" s="46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  <c r="M711" s="46"/>
      <c r="N711" s="46"/>
      <c r="O711" s="46"/>
      <c r="P711" s="46"/>
      <c r="Q711" s="46"/>
      <c r="R711" s="46"/>
      <c r="S711" s="46"/>
      <c r="T711" s="46"/>
      <c r="U711" s="46"/>
      <c r="V711" s="46"/>
      <c r="W711" s="46"/>
      <c r="X711" s="46"/>
      <c r="Y711" s="46"/>
      <c r="Z711" s="46"/>
      <c r="AA711" s="46"/>
      <c r="AB711" s="46"/>
      <c r="AC711" s="46"/>
      <c r="AD711" s="46"/>
    </row>
    <row r="712">
      <c r="A712" s="46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  <c r="Z712" s="46"/>
      <c r="AA712" s="46"/>
      <c r="AB712" s="46"/>
      <c r="AC712" s="46"/>
      <c r="AD712" s="46"/>
    </row>
    <row r="713">
      <c r="A713" s="46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  <c r="M713" s="46"/>
      <c r="N713" s="46"/>
      <c r="O713" s="46"/>
      <c r="P713" s="46"/>
      <c r="Q713" s="46"/>
      <c r="R713" s="46"/>
      <c r="S713" s="46"/>
      <c r="T713" s="46"/>
      <c r="U713" s="46"/>
      <c r="V713" s="46"/>
      <c r="W713" s="46"/>
      <c r="X713" s="46"/>
      <c r="Y713" s="46"/>
      <c r="Z713" s="46"/>
      <c r="AA713" s="46"/>
      <c r="AB713" s="46"/>
      <c r="AC713" s="46"/>
      <c r="AD713" s="46"/>
    </row>
    <row r="714">
      <c r="A714" s="46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  <c r="M714" s="46"/>
      <c r="N714" s="46"/>
      <c r="O714" s="46"/>
      <c r="P714" s="46"/>
      <c r="Q714" s="46"/>
      <c r="R714" s="46"/>
      <c r="S714" s="46"/>
      <c r="T714" s="46"/>
      <c r="U714" s="46"/>
      <c r="V714" s="46"/>
      <c r="W714" s="46"/>
      <c r="X714" s="46"/>
      <c r="Y714" s="46"/>
      <c r="Z714" s="46"/>
      <c r="AA714" s="46"/>
      <c r="AB714" s="46"/>
      <c r="AC714" s="46"/>
      <c r="AD714" s="46"/>
    </row>
    <row r="715">
      <c r="A715" s="46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  <c r="M715" s="46"/>
      <c r="N715" s="46"/>
      <c r="O715" s="46"/>
      <c r="P715" s="46"/>
      <c r="Q715" s="46"/>
      <c r="R715" s="46"/>
      <c r="S715" s="46"/>
      <c r="T715" s="46"/>
      <c r="U715" s="46"/>
      <c r="V715" s="46"/>
      <c r="W715" s="46"/>
      <c r="X715" s="46"/>
      <c r="Y715" s="46"/>
      <c r="Z715" s="46"/>
      <c r="AA715" s="46"/>
      <c r="AB715" s="46"/>
      <c r="AC715" s="46"/>
      <c r="AD715" s="46"/>
    </row>
    <row r="716">
      <c r="A716" s="46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  <c r="S716" s="46"/>
      <c r="T716" s="46"/>
      <c r="U716" s="46"/>
      <c r="V716" s="46"/>
      <c r="W716" s="46"/>
      <c r="X716" s="46"/>
      <c r="Y716" s="46"/>
      <c r="Z716" s="46"/>
      <c r="AA716" s="46"/>
      <c r="AB716" s="46"/>
      <c r="AC716" s="46"/>
      <c r="AD716" s="46"/>
    </row>
    <row r="717">
      <c r="A717" s="46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6"/>
      <c r="S717" s="46"/>
      <c r="T717" s="46"/>
      <c r="U717" s="46"/>
      <c r="V717" s="46"/>
      <c r="W717" s="46"/>
      <c r="X717" s="46"/>
      <c r="Y717" s="46"/>
      <c r="Z717" s="46"/>
      <c r="AA717" s="46"/>
      <c r="AB717" s="46"/>
      <c r="AC717" s="46"/>
      <c r="AD717" s="46"/>
    </row>
    <row r="718">
      <c r="A718" s="46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6"/>
      <c r="S718" s="46"/>
      <c r="T718" s="46"/>
      <c r="U718" s="46"/>
      <c r="V718" s="46"/>
      <c r="W718" s="46"/>
      <c r="X718" s="46"/>
      <c r="Y718" s="46"/>
      <c r="Z718" s="46"/>
      <c r="AA718" s="46"/>
      <c r="AB718" s="46"/>
      <c r="AC718" s="46"/>
      <c r="AD718" s="46"/>
    </row>
    <row r="719">
      <c r="A719" s="46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  <c r="M719" s="46"/>
      <c r="N719" s="46"/>
      <c r="O719" s="46"/>
      <c r="P719" s="46"/>
      <c r="Q719" s="46"/>
      <c r="R719" s="46"/>
      <c r="S719" s="46"/>
      <c r="T719" s="46"/>
      <c r="U719" s="46"/>
      <c r="V719" s="46"/>
      <c r="W719" s="46"/>
      <c r="X719" s="46"/>
      <c r="Y719" s="46"/>
      <c r="Z719" s="46"/>
      <c r="AA719" s="46"/>
      <c r="AB719" s="46"/>
      <c r="AC719" s="46"/>
      <c r="AD719" s="46"/>
    </row>
    <row r="720">
      <c r="A720" s="46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  <c r="S720" s="46"/>
      <c r="T720" s="46"/>
      <c r="U720" s="46"/>
      <c r="V720" s="46"/>
      <c r="W720" s="46"/>
      <c r="X720" s="46"/>
      <c r="Y720" s="46"/>
      <c r="Z720" s="46"/>
      <c r="AA720" s="46"/>
      <c r="AB720" s="46"/>
      <c r="AC720" s="46"/>
      <c r="AD720" s="46"/>
    </row>
    <row r="721">
      <c r="A721" s="46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  <c r="M721" s="46"/>
      <c r="N721" s="46"/>
      <c r="O721" s="46"/>
      <c r="P721" s="46"/>
      <c r="Q721" s="46"/>
      <c r="R721" s="46"/>
      <c r="S721" s="46"/>
      <c r="T721" s="46"/>
      <c r="U721" s="46"/>
      <c r="V721" s="46"/>
      <c r="W721" s="46"/>
      <c r="X721" s="46"/>
      <c r="Y721" s="46"/>
      <c r="Z721" s="46"/>
      <c r="AA721" s="46"/>
      <c r="AB721" s="46"/>
      <c r="AC721" s="46"/>
      <c r="AD721" s="46"/>
    </row>
    <row r="722">
      <c r="A722" s="46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  <c r="M722" s="46"/>
      <c r="N722" s="46"/>
      <c r="O722" s="46"/>
      <c r="P722" s="46"/>
      <c r="Q722" s="46"/>
      <c r="R722" s="46"/>
      <c r="S722" s="46"/>
      <c r="T722" s="46"/>
      <c r="U722" s="46"/>
      <c r="V722" s="46"/>
      <c r="W722" s="46"/>
      <c r="X722" s="46"/>
      <c r="Y722" s="46"/>
      <c r="Z722" s="46"/>
      <c r="AA722" s="46"/>
      <c r="AB722" s="46"/>
      <c r="AC722" s="46"/>
      <c r="AD722" s="46"/>
    </row>
    <row r="723">
      <c r="A723" s="46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  <c r="M723" s="46"/>
      <c r="N723" s="46"/>
      <c r="O723" s="46"/>
      <c r="P723" s="46"/>
      <c r="Q723" s="46"/>
      <c r="R723" s="46"/>
      <c r="S723" s="46"/>
      <c r="T723" s="46"/>
      <c r="U723" s="46"/>
      <c r="V723" s="46"/>
      <c r="W723" s="46"/>
      <c r="X723" s="46"/>
      <c r="Y723" s="46"/>
      <c r="Z723" s="46"/>
      <c r="AA723" s="46"/>
      <c r="AB723" s="46"/>
      <c r="AC723" s="46"/>
      <c r="AD723" s="46"/>
    </row>
    <row r="724">
      <c r="A724" s="46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  <c r="S724" s="46"/>
      <c r="T724" s="46"/>
      <c r="U724" s="46"/>
      <c r="V724" s="46"/>
      <c r="W724" s="46"/>
      <c r="X724" s="46"/>
      <c r="Y724" s="46"/>
      <c r="Z724" s="46"/>
      <c r="AA724" s="46"/>
      <c r="AB724" s="46"/>
      <c r="AC724" s="46"/>
      <c r="AD724" s="46"/>
    </row>
    <row r="725">
      <c r="A725" s="46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  <c r="M725" s="46"/>
      <c r="N725" s="46"/>
      <c r="O725" s="46"/>
      <c r="P725" s="46"/>
      <c r="Q725" s="46"/>
      <c r="R725" s="46"/>
      <c r="S725" s="46"/>
      <c r="T725" s="46"/>
      <c r="U725" s="46"/>
      <c r="V725" s="46"/>
      <c r="W725" s="46"/>
      <c r="X725" s="46"/>
      <c r="Y725" s="46"/>
      <c r="Z725" s="46"/>
      <c r="AA725" s="46"/>
      <c r="AB725" s="46"/>
      <c r="AC725" s="46"/>
      <c r="AD725" s="46"/>
    </row>
    <row r="726">
      <c r="A726" s="46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  <c r="M726" s="46"/>
      <c r="N726" s="46"/>
      <c r="O726" s="46"/>
      <c r="P726" s="46"/>
      <c r="Q726" s="46"/>
      <c r="R726" s="46"/>
      <c r="S726" s="46"/>
      <c r="T726" s="46"/>
      <c r="U726" s="46"/>
      <c r="V726" s="46"/>
      <c r="W726" s="46"/>
      <c r="X726" s="46"/>
      <c r="Y726" s="46"/>
      <c r="Z726" s="46"/>
      <c r="AA726" s="46"/>
      <c r="AB726" s="46"/>
      <c r="AC726" s="46"/>
      <c r="AD726" s="46"/>
    </row>
    <row r="727">
      <c r="A727" s="46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  <c r="M727" s="46"/>
      <c r="N727" s="46"/>
      <c r="O727" s="46"/>
      <c r="P727" s="46"/>
      <c r="Q727" s="46"/>
      <c r="R727" s="46"/>
      <c r="S727" s="46"/>
      <c r="T727" s="46"/>
      <c r="U727" s="46"/>
      <c r="V727" s="46"/>
      <c r="W727" s="46"/>
      <c r="X727" s="46"/>
      <c r="Y727" s="46"/>
      <c r="Z727" s="46"/>
      <c r="AA727" s="46"/>
      <c r="AB727" s="46"/>
      <c r="AC727" s="46"/>
      <c r="AD727" s="46"/>
    </row>
    <row r="728">
      <c r="A728" s="46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  <c r="S728" s="46"/>
      <c r="T728" s="46"/>
      <c r="U728" s="46"/>
      <c r="V728" s="46"/>
      <c r="W728" s="46"/>
      <c r="X728" s="46"/>
      <c r="Y728" s="46"/>
      <c r="Z728" s="46"/>
      <c r="AA728" s="46"/>
      <c r="AB728" s="46"/>
      <c r="AC728" s="46"/>
      <c r="AD728" s="46"/>
    </row>
    <row r="729">
      <c r="A729" s="46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  <c r="M729" s="46"/>
      <c r="N729" s="46"/>
      <c r="O729" s="46"/>
      <c r="P729" s="46"/>
      <c r="Q729" s="46"/>
      <c r="R729" s="46"/>
      <c r="S729" s="46"/>
      <c r="T729" s="46"/>
      <c r="U729" s="46"/>
      <c r="V729" s="46"/>
      <c r="W729" s="46"/>
      <c r="X729" s="46"/>
      <c r="Y729" s="46"/>
      <c r="Z729" s="46"/>
      <c r="AA729" s="46"/>
      <c r="AB729" s="46"/>
      <c r="AC729" s="46"/>
      <c r="AD729" s="46"/>
    </row>
    <row r="730">
      <c r="A730" s="46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  <c r="M730" s="46"/>
      <c r="N730" s="46"/>
      <c r="O730" s="46"/>
      <c r="P730" s="46"/>
      <c r="Q730" s="46"/>
      <c r="R730" s="46"/>
      <c r="S730" s="46"/>
      <c r="T730" s="46"/>
      <c r="U730" s="46"/>
      <c r="V730" s="46"/>
      <c r="W730" s="46"/>
      <c r="X730" s="46"/>
      <c r="Y730" s="46"/>
      <c r="Z730" s="46"/>
      <c r="AA730" s="46"/>
      <c r="AB730" s="46"/>
      <c r="AC730" s="46"/>
      <c r="AD730" s="46"/>
    </row>
    <row r="731">
      <c r="A731" s="46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  <c r="M731" s="46"/>
      <c r="N731" s="46"/>
      <c r="O731" s="46"/>
      <c r="P731" s="46"/>
      <c r="Q731" s="46"/>
      <c r="R731" s="46"/>
      <c r="S731" s="46"/>
      <c r="T731" s="46"/>
      <c r="U731" s="46"/>
      <c r="V731" s="46"/>
      <c r="W731" s="46"/>
      <c r="X731" s="46"/>
      <c r="Y731" s="46"/>
      <c r="Z731" s="46"/>
      <c r="AA731" s="46"/>
      <c r="AB731" s="46"/>
      <c r="AC731" s="46"/>
      <c r="AD731" s="46"/>
    </row>
    <row r="732">
      <c r="A732" s="46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  <c r="S732" s="46"/>
      <c r="T732" s="46"/>
      <c r="U732" s="46"/>
      <c r="V732" s="46"/>
      <c r="W732" s="46"/>
      <c r="X732" s="46"/>
      <c r="Y732" s="46"/>
      <c r="Z732" s="46"/>
      <c r="AA732" s="46"/>
      <c r="AB732" s="46"/>
      <c r="AC732" s="46"/>
      <c r="AD732" s="46"/>
    </row>
    <row r="733">
      <c r="A733" s="46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  <c r="M733" s="46"/>
      <c r="N733" s="46"/>
      <c r="O733" s="46"/>
      <c r="P733" s="46"/>
      <c r="Q733" s="46"/>
      <c r="R733" s="46"/>
      <c r="S733" s="46"/>
      <c r="T733" s="46"/>
      <c r="U733" s="46"/>
      <c r="V733" s="46"/>
      <c r="W733" s="46"/>
      <c r="X733" s="46"/>
      <c r="Y733" s="46"/>
      <c r="Z733" s="46"/>
      <c r="AA733" s="46"/>
      <c r="AB733" s="46"/>
      <c r="AC733" s="46"/>
      <c r="AD733" s="46"/>
    </row>
    <row r="734">
      <c r="A734" s="46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  <c r="M734" s="46"/>
      <c r="N734" s="46"/>
      <c r="O734" s="46"/>
      <c r="P734" s="46"/>
      <c r="Q734" s="46"/>
      <c r="R734" s="46"/>
      <c r="S734" s="46"/>
      <c r="T734" s="46"/>
      <c r="U734" s="46"/>
      <c r="V734" s="46"/>
      <c r="W734" s="46"/>
      <c r="X734" s="46"/>
      <c r="Y734" s="46"/>
      <c r="Z734" s="46"/>
      <c r="AA734" s="46"/>
      <c r="AB734" s="46"/>
      <c r="AC734" s="46"/>
      <c r="AD734" s="46"/>
    </row>
    <row r="735">
      <c r="A735" s="46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  <c r="M735" s="46"/>
      <c r="N735" s="46"/>
      <c r="O735" s="46"/>
      <c r="P735" s="46"/>
      <c r="Q735" s="46"/>
      <c r="R735" s="46"/>
      <c r="S735" s="46"/>
      <c r="T735" s="46"/>
      <c r="U735" s="46"/>
      <c r="V735" s="46"/>
      <c r="W735" s="46"/>
      <c r="X735" s="46"/>
      <c r="Y735" s="46"/>
      <c r="Z735" s="46"/>
      <c r="AA735" s="46"/>
      <c r="AB735" s="46"/>
      <c r="AC735" s="46"/>
      <c r="AD735" s="46"/>
    </row>
    <row r="736">
      <c r="A736" s="46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  <c r="S736" s="46"/>
      <c r="T736" s="46"/>
      <c r="U736" s="46"/>
      <c r="V736" s="46"/>
      <c r="W736" s="46"/>
      <c r="X736" s="46"/>
      <c r="Y736" s="46"/>
      <c r="Z736" s="46"/>
      <c r="AA736" s="46"/>
      <c r="AB736" s="46"/>
      <c r="AC736" s="46"/>
      <c r="AD736" s="46"/>
    </row>
    <row r="737">
      <c r="A737" s="46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  <c r="M737" s="46"/>
      <c r="N737" s="46"/>
      <c r="O737" s="46"/>
      <c r="P737" s="46"/>
      <c r="Q737" s="46"/>
      <c r="R737" s="46"/>
      <c r="S737" s="46"/>
      <c r="T737" s="46"/>
      <c r="U737" s="46"/>
      <c r="V737" s="46"/>
      <c r="W737" s="46"/>
      <c r="X737" s="46"/>
      <c r="Y737" s="46"/>
      <c r="Z737" s="46"/>
      <c r="AA737" s="46"/>
      <c r="AB737" s="46"/>
      <c r="AC737" s="46"/>
      <c r="AD737" s="46"/>
    </row>
    <row r="738">
      <c r="A738" s="46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  <c r="M738" s="46"/>
      <c r="N738" s="46"/>
      <c r="O738" s="46"/>
      <c r="P738" s="46"/>
      <c r="Q738" s="46"/>
      <c r="R738" s="46"/>
      <c r="S738" s="46"/>
      <c r="T738" s="46"/>
      <c r="U738" s="46"/>
      <c r="V738" s="46"/>
      <c r="W738" s="46"/>
      <c r="X738" s="46"/>
      <c r="Y738" s="46"/>
      <c r="Z738" s="46"/>
      <c r="AA738" s="46"/>
      <c r="AB738" s="46"/>
      <c r="AC738" s="46"/>
      <c r="AD738" s="46"/>
    </row>
    <row r="739">
      <c r="A739" s="46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  <c r="M739" s="46"/>
      <c r="N739" s="46"/>
      <c r="O739" s="46"/>
      <c r="P739" s="46"/>
      <c r="Q739" s="46"/>
      <c r="R739" s="46"/>
      <c r="S739" s="46"/>
      <c r="T739" s="46"/>
      <c r="U739" s="46"/>
      <c r="V739" s="46"/>
      <c r="W739" s="46"/>
      <c r="X739" s="46"/>
      <c r="Y739" s="46"/>
      <c r="Z739" s="46"/>
      <c r="AA739" s="46"/>
      <c r="AB739" s="46"/>
      <c r="AC739" s="46"/>
      <c r="AD739" s="46"/>
    </row>
    <row r="740">
      <c r="A740" s="46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  <c r="S740" s="46"/>
      <c r="T740" s="46"/>
      <c r="U740" s="46"/>
      <c r="V740" s="46"/>
      <c r="W740" s="46"/>
      <c r="X740" s="46"/>
      <c r="Y740" s="46"/>
      <c r="Z740" s="46"/>
      <c r="AA740" s="46"/>
      <c r="AB740" s="46"/>
      <c r="AC740" s="46"/>
      <c r="AD740" s="46"/>
    </row>
    <row r="741">
      <c r="A741" s="46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  <c r="M741" s="46"/>
      <c r="N741" s="46"/>
      <c r="O741" s="46"/>
      <c r="P741" s="46"/>
      <c r="Q741" s="46"/>
      <c r="R741" s="46"/>
      <c r="S741" s="46"/>
      <c r="T741" s="46"/>
      <c r="U741" s="46"/>
      <c r="V741" s="46"/>
      <c r="W741" s="46"/>
      <c r="X741" s="46"/>
      <c r="Y741" s="46"/>
      <c r="Z741" s="46"/>
      <c r="AA741" s="46"/>
      <c r="AB741" s="46"/>
      <c r="AC741" s="46"/>
      <c r="AD741" s="46"/>
    </row>
    <row r="742">
      <c r="A742" s="46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  <c r="M742" s="46"/>
      <c r="N742" s="46"/>
      <c r="O742" s="46"/>
      <c r="P742" s="46"/>
      <c r="Q742" s="46"/>
      <c r="R742" s="46"/>
      <c r="S742" s="46"/>
      <c r="T742" s="46"/>
      <c r="U742" s="46"/>
      <c r="V742" s="46"/>
      <c r="W742" s="46"/>
      <c r="X742" s="46"/>
      <c r="Y742" s="46"/>
      <c r="Z742" s="46"/>
      <c r="AA742" s="46"/>
      <c r="AB742" s="46"/>
      <c r="AC742" s="46"/>
      <c r="AD742" s="46"/>
    </row>
    <row r="743">
      <c r="A743" s="46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  <c r="M743" s="46"/>
      <c r="N743" s="46"/>
      <c r="O743" s="46"/>
      <c r="P743" s="46"/>
      <c r="Q743" s="46"/>
      <c r="R743" s="46"/>
      <c r="S743" s="46"/>
      <c r="T743" s="46"/>
      <c r="U743" s="46"/>
      <c r="V743" s="46"/>
      <c r="W743" s="46"/>
      <c r="X743" s="46"/>
      <c r="Y743" s="46"/>
      <c r="Z743" s="46"/>
      <c r="AA743" s="46"/>
      <c r="AB743" s="46"/>
      <c r="AC743" s="46"/>
      <c r="AD743" s="46"/>
    </row>
    <row r="744">
      <c r="A744" s="46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  <c r="S744" s="46"/>
      <c r="T744" s="46"/>
      <c r="U744" s="46"/>
      <c r="V744" s="46"/>
      <c r="W744" s="46"/>
      <c r="X744" s="46"/>
      <c r="Y744" s="46"/>
      <c r="Z744" s="46"/>
      <c r="AA744" s="46"/>
      <c r="AB744" s="46"/>
      <c r="AC744" s="46"/>
      <c r="AD744" s="46"/>
    </row>
    <row r="745">
      <c r="A745" s="46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  <c r="M745" s="46"/>
      <c r="N745" s="46"/>
      <c r="O745" s="46"/>
      <c r="P745" s="46"/>
      <c r="Q745" s="46"/>
      <c r="R745" s="46"/>
      <c r="S745" s="46"/>
      <c r="T745" s="46"/>
      <c r="U745" s="46"/>
      <c r="V745" s="46"/>
      <c r="W745" s="46"/>
      <c r="X745" s="46"/>
      <c r="Y745" s="46"/>
      <c r="Z745" s="46"/>
      <c r="AA745" s="46"/>
      <c r="AB745" s="46"/>
      <c r="AC745" s="46"/>
      <c r="AD745" s="46"/>
    </row>
    <row r="746">
      <c r="A746" s="46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  <c r="M746" s="46"/>
      <c r="N746" s="46"/>
      <c r="O746" s="46"/>
      <c r="P746" s="46"/>
      <c r="Q746" s="46"/>
      <c r="R746" s="46"/>
      <c r="S746" s="46"/>
      <c r="T746" s="46"/>
      <c r="U746" s="46"/>
      <c r="V746" s="46"/>
      <c r="W746" s="46"/>
      <c r="X746" s="46"/>
      <c r="Y746" s="46"/>
      <c r="Z746" s="46"/>
      <c r="AA746" s="46"/>
      <c r="AB746" s="46"/>
      <c r="AC746" s="46"/>
      <c r="AD746" s="46"/>
    </row>
    <row r="747">
      <c r="A747" s="46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  <c r="M747" s="46"/>
      <c r="N747" s="46"/>
      <c r="O747" s="46"/>
      <c r="P747" s="46"/>
      <c r="Q747" s="46"/>
      <c r="R747" s="46"/>
      <c r="S747" s="46"/>
      <c r="T747" s="46"/>
      <c r="U747" s="46"/>
      <c r="V747" s="46"/>
      <c r="W747" s="46"/>
      <c r="X747" s="46"/>
      <c r="Y747" s="46"/>
      <c r="Z747" s="46"/>
      <c r="AA747" s="46"/>
      <c r="AB747" s="46"/>
      <c r="AC747" s="46"/>
      <c r="AD747" s="46"/>
    </row>
    <row r="748">
      <c r="A748" s="46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  <c r="S748" s="46"/>
      <c r="T748" s="46"/>
      <c r="U748" s="46"/>
      <c r="V748" s="46"/>
      <c r="W748" s="46"/>
      <c r="X748" s="46"/>
      <c r="Y748" s="46"/>
      <c r="Z748" s="46"/>
      <c r="AA748" s="46"/>
      <c r="AB748" s="46"/>
      <c r="AC748" s="46"/>
      <c r="AD748" s="46"/>
    </row>
    <row r="749">
      <c r="A749" s="46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  <c r="M749" s="46"/>
      <c r="N749" s="46"/>
      <c r="O749" s="46"/>
      <c r="P749" s="46"/>
      <c r="Q749" s="46"/>
      <c r="R749" s="46"/>
      <c r="S749" s="46"/>
      <c r="T749" s="46"/>
      <c r="U749" s="46"/>
      <c r="V749" s="46"/>
      <c r="W749" s="46"/>
      <c r="X749" s="46"/>
      <c r="Y749" s="46"/>
      <c r="Z749" s="46"/>
      <c r="AA749" s="46"/>
      <c r="AB749" s="46"/>
      <c r="AC749" s="46"/>
      <c r="AD749" s="46"/>
    </row>
    <row r="750">
      <c r="A750" s="46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  <c r="M750" s="46"/>
      <c r="N750" s="46"/>
      <c r="O750" s="46"/>
      <c r="P750" s="46"/>
      <c r="Q750" s="46"/>
      <c r="R750" s="46"/>
      <c r="S750" s="46"/>
      <c r="T750" s="46"/>
      <c r="U750" s="46"/>
      <c r="V750" s="46"/>
      <c r="W750" s="46"/>
      <c r="X750" s="46"/>
      <c r="Y750" s="46"/>
      <c r="Z750" s="46"/>
      <c r="AA750" s="46"/>
      <c r="AB750" s="46"/>
      <c r="AC750" s="46"/>
      <c r="AD750" s="46"/>
    </row>
    <row r="751">
      <c r="A751" s="46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  <c r="M751" s="46"/>
      <c r="N751" s="46"/>
      <c r="O751" s="46"/>
      <c r="P751" s="46"/>
      <c r="Q751" s="46"/>
      <c r="R751" s="46"/>
      <c r="S751" s="46"/>
      <c r="T751" s="46"/>
      <c r="U751" s="46"/>
      <c r="V751" s="46"/>
      <c r="W751" s="46"/>
      <c r="X751" s="46"/>
      <c r="Y751" s="46"/>
      <c r="Z751" s="46"/>
      <c r="AA751" s="46"/>
      <c r="AB751" s="46"/>
      <c r="AC751" s="46"/>
      <c r="AD751" s="46"/>
    </row>
    <row r="752">
      <c r="A752" s="46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  <c r="S752" s="46"/>
      <c r="T752" s="46"/>
      <c r="U752" s="46"/>
      <c r="V752" s="46"/>
      <c r="W752" s="46"/>
      <c r="X752" s="46"/>
      <c r="Y752" s="46"/>
      <c r="Z752" s="46"/>
      <c r="AA752" s="46"/>
      <c r="AB752" s="46"/>
      <c r="AC752" s="46"/>
      <c r="AD752" s="46"/>
    </row>
    <row r="753">
      <c r="A753" s="46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  <c r="M753" s="46"/>
      <c r="N753" s="46"/>
      <c r="O753" s="46"/>
      <c r="P753" s="46"/>
      <c r="Q753" s="46"/>
      <c r="R753" s="46"/>
      <c r="S753" s="46"/>
      <c r="T753" s="46"/>
      <c r="U753" s="46"/>
      <c r="V753" s="46"/>
      <c r="W753" s="46"/>
      <c r="X753" s="46"/>
      <c r="Y753" s="46"/>
      <c r="Z753" s="46"/>
      <c r="AA753" s="46"/>
      <c r="AB753" s="46"/>
      <c r="AC753" s="46"/>
      <c r="AD753" s="46"/>
    </row>
    <row r="754">
      <c r="A754" s="46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  <c r="M754" s="46"/>
      <c r="N754" s="46"/>
      <c r="O754" s="46"/>
      <c r="P754" s="46"/>
      <c r="Q754" s="46"/>
      <c r="R754" s="46"/>
      <c r="S754" s="46"/>
      <c r="T754" s="46"/>
      <c r="U754" s="46"/>
      <c r="V754" s="46"/>
      <c r="W754" s="46"/>
      <c r="X754" s="46"/>
      <c r="Y754" s="46"/>
      <c r="Z754" s="46"/>
      <c r="AA754" s="46"/>
      <c r="AB754" s="46"/>
      <c r="AC754" s="46"/>
      <c r="AD754" s="46"/>
    </row>
    <row r="755">
      <c r="A755" s="46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  <c r="M755" s="46"/>
      <c r="N755" s="46"/>
      <c r="O755" s="46"/>
      <c r="P755" s="46"/>
      <c r="Q755" s="46"/>
      <c r="R755" s="46"/>
      <c r="S755" s="46"/>
      <c r="T755" s="46"/>
      <c r="U755" s="46"/>
      <c r="V755" s="46"/>
      <c r="W755" s="46"/>
      <c r="X755" s="46"/>
      <c r="Y755" s="46"/>
      <c r="Z755" s="46"/>
      <c r="AA755" s="46"/>
      <c r="AB755" s="46"/>
      <c r="AC755" s="46"/>
      <c r="AD755" s="46"/>
    </row>
    <row r="756">
      <c r="A756" s="46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  <c r="S756" s="46"/>
      <c r="T756" s="46"/>
      <c r="U756" s="46"/>
      <c r="V756" s="46"/>
      <c r="W756" s="46"/>
      <c r="X756" s="46"/>
      <c r="Y756" s="46"/>
      <c r="Z756" s="46"/>
      <c r="AA756" s="46"/>
      <c r="AB756" s="46"/>
      <c r="AC756" s="46"/>
      <c r="AD756" s="46"/>
    </row>
    <row r="757">
      <c r="A757" s="46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  <c r="M757" s="46"/>
      <c r="N757" s="46"/>
      <c r="O757" s="46"/>
      <c r="P757" s="46"/>
      <c r="Q757" s="46"/>
      <c r="R757" s="46"/>
      <c r="S757" s="46"/>
      <c r="T757" s="46"/>
      <c r="U757" s="46"/>
      <c r="V757" s="46"/>
      <c r="W757" s="46"/>
      <c r="X757" s="46"/>
      <c r="Y757" s="46"/>
      <c r="Z757" s="46"/>
      <c r="AA757" s="46"/>
      <c r="AB757" s="46"/>
      <c r="AC757" s="46"/>
      <c r="AD757" s="46"/>
    </row>
    <row r="758">
      <c r="A758" s="46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  <c r="M758" s="46"/>
      <c r="N758" s="46"/>
      <c r="O758" s="46"/>
      <c r="P758" s="46"/>
      <c r="Q758" s="46"/>
      <c r="R758" s="46"/>
      <c r="S758" s="46"/>
      <c r="T758" s="46"/>
      <c r="U758" s="46"/>
      <c r="V758" s="46"/>
      <c r="W758" s="46"/>
      <c r="X758" s="46"/>
      <c r="Y758" s="46"/>
      <c r="Z758" s="46"/>
      <c r="AA758" s="46"/>
      <c r="AB758" s="46"/>
      <c r="AC758" s="46"/>
      <c r="AD758" s="46"/>
    </row>
    <row r="759">
      <c r="A759" s="46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  <c r="M759" s="46"/>
      <c r="N759" s="46"/>
      <c r="O759" s="46"/>
      <c r="P759" s="46"/>
      <c r="Q759" s="46"/>
      <c r="R759" s="46"/>
      <c r="S759" s="46"/>
      <c r="T759" s="46"/>
      <c r="U759" s="46"/>
      <c r="V759" s="46"/>
      <c r="W759" s="46"/>
      <c r="X759" s="46"/>
      <c r="Y759" s="46"/>
      <c r="Z759" s="46"/>
      <c r="AA759" s="46"/>
      <c r="AB759" s="46"/>
      <c r="AC759" s="46"/>
      <c r="AD759" s="46"/>
    </row>
    <row r="760">
      <c r="A760" s="46"/>
      <c r="B760" s="46"/>
      <c r="C760" s="4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  <c r="S760" s="46"/>
      <c r="T760" s="46"/>
      <c r="U760" s="46"/>
      <c r="V760" s="46"/>
      <c r="W760" s="46"/>
      <c r="X760" s="46"/>
      <c r="Y760" s="46"/>
      <c r="Z760" s="46"/>
      <c r="AA760" s="46"/>
      <c r="AB760" s="46"/>
      <c r="AC760" s="46"/>
      <c r="AD760" s="46"/>
    </row>
    <row r="761">
      <c r="A761" s="46"/>
      <c r="B761" s="46"/>
      <c r="C761" s="46"/>
      <c r="D761" s="46"/>
      <c r="E761" s="46"/>
      <c r="F761" s="46"/>
      <c r="G761" s="46"/>
      <c r="H761" s="46"/>
      <c r="I761" s="46"/>
      <c r="J761" s="46"/>
      <c r="K761" s="46"/>
      <c r="L761" s="46"/>
      <c r="M761" s="46"/>
      <c r="N761" s="46"/>
      <c r="O761" s="46"/>
      <c r="P761" s="46"/>
      <c r="Q761" s="46"/>
      <c r="R761" s="46"/>
      <c r="S761" s="46"/>
      <c r="T761" s="46"/>
      <c r="U761" s="46"/>
      <c r="V761" s="46"/>
      <c r="W761" s="46"/>
      <c r="X761" s="46"/>
      <c r="Y761" s="46"/>
      <c r="Z761" s="46"/>
      <c r="AA761" s="46"/>
      <c r="AB761" s="46"/>
      <c r="AC761" s="46"/>
      <c r="AD761" s="46"/>
    </row>
    <row r="762">
      <c r="A762" s="46"/>
      <c r="B762" s="46"/>
      <c r="C762" s="46"/>
      <c r="D762" s="46"/>
      <c r="E762" s="46"/>
      <c r="F762" s="46"/>
      <c r="G762" s="46"/>
      <c r="H762" s="46"/>
      <c r="I762" s="46"/>
      <c r="J762" s="46"/>
      <c r="K762" s="46"/>
      <c r="L762" s="46"/>
      <c r="M762" s="46"/>
      <c r="N762" s="46"/>
      <c r="O762" s="46"/>
      <c r="P762" s="46"/>
      <c r="Q762" s="46"/>
      <c r="R762" s="46"/>
      <c r="S762" s="46"/>
      <c r="T762" s="46"/>
      <c r="U762" s="46"/>
      <c r="V762" s="46"/>
      <c r="W762" s="46"/>
      <c r="X762" s="46"/>
      <c r="Y762" s="46"/>
      <c r="Z762" s="46"/>
      <c r="AA762" s="46"/>
      <c r="AB762" s="46"/>
      <c r="AC762" s="46"/>
      <c r="AD762" s="46"/>
    </row>
    <row r="763">
      <c r="A763" s="46"/>
      <c r="B763" s="46"/>
      <c r="C763" s="46"/>
      <c r="D763" s="46"/>
      <c r="E763" s="46"/>
      <c r="F763" s="46"/>
      <c r="G763" s="46"/>
      <c r="H763" s="46"/>
      <c r="I763" s="46"/>
      <c r="J763" s="46"/>
      <c r="K763" s="46"/>
      <c r="L763" s="46"/>
      <c r="M763" s="46"/>
      <c r="N763" s="46"/>
      <c r="O763" s="46"/>
      <c r="P763" s="46"/>
      <c r="Q763" s="46"/>
      <c r="R763" s="46"/>
      <c r="S763" s="46"/>
      <c r="T763" s="46"/>
      <c r="U763" s="46"/>
      <c r="V763" s="46"/>
      <c r="W763" s="46"/>
      <c r="X763" s="46"/>
      <c r="Y763" s="46"/>
      <c r="Z763" s="46"/>
      <c r="AA763" s="46"/>
      <c r="AB763" s="46"/>
      <c r="AC763" s="46"/>
      <c r="AD763" s="46"/>
    </row>
    <row r="764">
      <c r="A764" s="46"/>
      <c r="B764" s="46"/>
      <c r="C764" s="4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  <c r="S764" s="46"/>
      <c r="T764" s="46"/>
      <c r="U764" s="46"/>
      <c r="V764" s="46"/>
      <c r="W764" s="46"/>
      <c r="X764" s="46"/>
      <c r="Y764" s="46"/>
      <c r="Z764" s="46"/>
      <c r="AA764" s="46"/>
      <c r="AB764" s="46"/>
      <c r="AC764" s="46"/>
      <c r="AD764" s="46"/>
    </row>
    <row r="765">
      <c r="A765" s="46"/>
      <c r="B765" s="46"/>
      <c r="C765" s="46"/>
      <c r="D765" s="46"/>
      <c r="E765" s="46"/>
      <c r="F765" s="46"/>
      <c r="G765" s="46"/>
      <c r="H765" s="46"/>
      <c r="I765" s="46"/>
      <c r="J765" s="46"/>
      <c r="K765" s="46"/>
      <c r="L765" s="46"/>
      <c r="M765" s="46"/>
      <c r="N765" s="46"/>
      <c r="O765" s="46"/>
      <c r="P765" s="46"/>
      <c r="Q765" s="46"/>
      <c r="R765" s="46"/>
      <c r="S765" s="46"/>
      <c r="T765" s="46"/>
      <c r="U765" s="46"/>
      <c r="V765" s="46"/>
      <c r="W765" s="46"/>
      <c r="X765" s="46"/>
      <c r="Y765" s="46"/>
      <c r="Z765" s="46"/>
      <c r="AA765" s="46"/>
      <c r="AB765" s="46"/>
      <c r="AC765" s="46"/>
      <c r="AD765" s="46"/>
    </row>
    <row r="766">
      <c r="A766" s="46"/>
      <c r="B766" s="46"/>
      <c r="C766" s="46"/>
      <c r="D766" s="46"/>
      <c r="E766" s="46"/>
      <c r="F766" s="46"/>
      <c r="G766" s="46"/>
      <c r="H766" s="46"/>
      <c r="I766" s="46"/>
      <c r="J766" s="46"/>
      <c r="K766" s="46"/>
      <c r="L766" s="46"/>
      <c r="M766" s="46"/>
      <c r="N766" s="46"/>
      <c r="O766" s="46"/>
      <c r="P766" s="46"/>
      <c r="Q766" s="46"/>
      <c r="R766" s="46"/>
      <c r="S766" s="46"/>
      <c r="T766" s="46"/>
      <c r="U766" s="46"/>
      <c r="V766" s="46"/>
      <c r="W766" s="46"/>
      <c r="X766" s="46"/>
      <c r="Y766" s="46"/>
      <c r="Z766" s="46"/>
      <c r="AA766" s="46"/>
      <c r="AB766" s="46"/>
      <c r="AC766" s="46"/>
      <c r="AD766" s="46"/>
    </row>
    <row r="767">
      <c r="A767" s="46"/>
      <c r="B767" s="46"/>
      <c r="C767" s="46"/>
      <c r="D767" s="46"/>
      <c r="E767" s="46"/>
      <c r="F767" s="46"/>
      <c r="G767" s="46"/>
      <c r="H767" s="46"/>
      <c r="I767" s="46"/>
      <c r="J767" s="46"/>
      <c r="K767" s="46"/>
      <c r="L767" s="46"/>
      <c r="M767" s="46"/>
      <c r="N767" s="46"/>
      <c r="O767" s="46"/>
      <c r="P767" s="46"/>
      <c r="Q767" s="46"/>
      <c r="R767" s="46"/>
      <c r="S767" s="46"/>
      <c r="T767" s="46"/>
      <c r="U767" s="46"/>
      <c r="V767" s="46"/>
      <c r="W767" s="46"/>
      <c r="X767" s="46"/>
      <c r="Y767" s="46"/>
      <c r="Z767" s="46"/>
      <c r="AA767" s="46"/>
      <c r="AB767" s="46"/>
      <c r="AC767" s="46"/>
      <c r="AD767" s="46"/>
    </row>
    <row r="768">
      <c r="A768" s="46"/>
      <c r="B768" s="46"/>
      <c r="C768" s="4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  <c r="S768" s="46"/>
      <c r="T768" s="46"/>
      <c r="U768" s="46"/>
      <c r="V768" s="46"/>
      <c r="W768" s="46"/>
      <c r="X768" s="46"/>
      <c r="Y768" s="46"/>
      <c r="Z768" s="46"/>
      <c r="AA768" s="46"/>
      <c r="AB768" s="46"/>
      <c r="AC768" s="46"/>
      <c r="AD768" s="46"/>
    </row>
    <row r="769">
      <c r="A769" s="46"/>
      <c r="B769" s="46"/>
      <c r="C769" s="46"/>
      <c r="D769" s="46"/>
      <c r="E769" s="46"/>
      <c r="F769" s="46"/>
      <c r="G769" s="46"/>
      <c r="H769" s="46"/>
      <c r="I769" s="46"/>
      <c r="J769" s="46"/>
      <c r="K769" s="46"/>
      <c r="L769" s="46"/>
      <c r="M769" s="46"/>
      <c r="N769" s="46"/>
      <c r="O769" s="46"/>
      <c r="P769" s="46"/>
      <c r="Q769" s="46"/>
      <c r="R769" s="46"/>
      <c r="S769" s="46"/>
      <c r="T769" s="46"/>
      <c r="U769" s="46"/>
      <c r="V769" s="46"/>
      <c r="W769" s="46"/>
      <c r="X769" s="46"/>
      <c r="Y769" s="46"/>
      <c r="Z769" s="46"/>
      <c r="AA769" s="46"/>
      <c r="AB769" s="46"/>
      <c r="AC769" s="46"/>
      <c r="AD769" s="46"/>
    </row>
    <row r="770">
      <c r="A770" s="46"/>
      <c r="B770" s="46"/>
      <c r="C770" s="46"/>
      <c r="D770" s="46"/>
      <c r="E770" s="46"/>
      <c r="F770" s="46"/>
      <c r="G770" s="46"/>
      <c r="H770" s="46"/>
      <c r="I770" s="46"/>
      <c r="J770" s="46"/>
      <c r="K770" s="46"/>
      <c r="L770" s="46"/>
      <c r="M770" s="46"/>
      <c r="N770" s="46"/>
      <c r="O770" s="46"/>
      <c r="P770" s="46"/>
      <c r="Q770" s="46"/>
      <c r="R770" s="46"/>
      <c r="S770" s="46"/>
      <c r="T770" s="46"/>
      <c r="U770" s="46"/>
      <c r="V770" s="46"/>
      <c r="W770" s="46"/>
      <c r="X770" s="46"/>
      <c r="Y770" s="46"/>
      <c r="Z770" s="46"/>
      <c r="AA770" s="46"/>
      <c r="AB770" s="46"/>
      <c r="AC770" s="46"/>
      <c r="AD770" s="46"/>
    </row>
    <row r="771">
      <c r="A771" s="46"/>
      <c r="B771" s="46"/>
      <c r="C771" s="46"/>
      <c r="D771" s="46"/>
      <c r="E771" s="46"/>
      <c r="F771" s="46"/>
      <c r="G771" s="46"/>
      <c r="H771" s="46"/>
      <c r="I771" s="46"/>
      <c r="J771" s="46"/>
      <c r="K771" s="46"/>
      <c r="L771" s="46"/>
      <c r="M771" s="46"/>
      <c r="N771" s="46"/>
      <c r="O771" s="46"/>
      <c r="P771" s="46"/>
      <c r="Q771" s="46"/>
      <c r="R771" s="46"/>
      <c r="S771" s="46"/>
      <c r="T771" s="46"/>
      <c r="U771" s="46"/>
      <c r="V771" s="46"/>
      <c r="W771" s="46"/>
      <c r="X771" s="46"/>
      <c r="Y771" s="46"/>
      <c r="Z771" s="46"/>
      <c r="AA771" s="46"/>
      <c r="AB771" s="46"/>
      <c r="AC771" s="46"/>
      <c r="AD771" s="46"/>
    </row>
    <row r="772">
      <c r="A772" s="46"/>
      <c r="B772" s="46"/>
      <c r="C772" s="4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  <c r="S772" s="46"/>
      <c r="T772" s="46"/>
      <c r="U772" s="46"/>
      <c r="V772" s="46"/>
      <c r="W772" s="46"/>
      <c r="X772" s="46"/>
      <c r="Y772" s="46"/>
      <c r="Z772" s="46"/>
      <c r="AA772" s="46"/>
      <c r="AB772" s="46"/>
      <c r="AC772" s="46"/>
      <c r="AD772" s="46"/>
    </row>
    <row r="773">
      <c r="A773" s="46"/>
      <c r="B773" s="46"/>
      <c r="C773" s="46"/>
      <c r="D773" s="46"/>
      <c r="E773" s="46"/>
      <c r="F773" s="46"/>
      <c r="G773" s="46"/>
      <c r="H773" s="46"/>
      <c r="I773" s="46"/>
      <c r="J773" s="46"/>
      <c r="K773" s="46"/>
      <c r="L773" s="46"/>
      <c r="M773" s="46"/>
      <c r="N773" s="46"/>
      <c r="O773" s="46"/>
      <c r="P773" s="46"/>
      <c r="Q773" s="46"/>
      <c r="R773" s="46"/>
      <c r="S773" s="46"/>
      <c r="T773" s="46"/>
      <c r="U773" s="46"/>
      <c r="V773" s="46"/>
      <c r="W773" s="46"/>
      <c r="X773" s="46"/>
      <c r="Y773" s="46"/>
      <c r="Z773" s="46"/>
      <c r="AA773" s="46"/>
      <c r="AB773" s="46"/>
      <c r="AC773" s="46"/>
      <c r="AD773" s="46"/>
    </row>
    <row r="774">
      <c r="A774" s="46"/>
      <c r="B774" s="46"/>
      <c r="C774" s="46"/>
      <c r="D774" s="46"/>
      <c r="E774" s="46"/>
      <c r="F774" s="46"/>
      <c r="G774" s="46"/>
      <c r="H774" s="46"/>
      <c r="I774" s="46"/>
      <c r="J774" s="46"/>
      <c r="K774" s="46"/>
      <c r="L774" s="46"/>
      <c r="M774" s="46"/>
      <c r="N774" s="46"/>
      <c r="O774" s="46"/>
      <c r="P774" s="46"/>
      <c r="Q774" s="46"/>
      <c r="R774" s="46"/>
      <c r="S774" s="46"/>
      <c r="T774" s="46"/>
      <c r="U774" s="46"/>
      <c r="V774" s="46"/>
      <c r="W774" s="46"/>
      <c r="X774" s="46"/>
      <c r="Y774" s="46"/>
      <c r="Z774" s="46"/>
      <c r="AA774" s="46"/>
      <c r="AB774" s="46"/>
      <c r="AC774" s="46"/>
      <c r="AD774" s="46"/>
    </row>
    <row r="775">
      <c r="A775" s="46"/>
      <c r="B775" s="46"/>
      <c r="C775" s="46"/>
      <c r="D775" s="46"/>
      <c r="E775" s="46"/>
      <c r="F775" s="46"/>
      <c r="G775" s="46"/>
      <c r="H775" s="46"/>
      <c r="I775" s="46"/>
      <c r="J775" s="46"/>
      <c r="K775" s="46"/>
      <c r="L775" s="46"/>
      <c r="M775" s="46"/>
      <c r="N775" s="46"/>
      <c r="O775" s="46"/>
      <c r="P775" s="46"/>
      <c r="Q775" s="46"/>
      <c r="R775" s="46"/>
      <c r="S775" s="46"/>
      <c r="T775" s="46"/>
      <c r="U775" s="46"/>
      <c r="V775" s="46"/>
      <c r="W775" s="46"/>
      <c r="X775" s="46"/>
      <c r="Y775" s="46"/>
      <c r="Z775" s="46"/>
      <c r="AA775" s="46"/>
      <c r="AB775" s="46"/>
      <c r="AC775" s="46"/>
      <c r="AD775" s="46"/>
    </row>
    <row r="776">
      <c r="A776" s="46"/>
      <c r="B776" s="46"/>
      <c r="C776" s="4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  <c r="S776" s="46"/>
      <c r="T776" s="46"/>
      <c r="U776" s="46"/>
      <c r="V776" s="46"/>
      <c r="W776" s="46"/>
      <c r="X776" s="46"/>
      <c r="Y776" s="46"/>
      <c r="Z776" s="46"/>
      <c r="AA776" s="46"/>
      <c r="AB776" s="46"/>
      <c r="AC776" s="46"/>
      <c r="AD776" s="46"/>
    </row>
    <row r="777">
      <c r="A777" s="46"/>
      <c r="B777" s="46"/>
      <c r="C777" s="46"/>
      <c r="D777" s="46"/>
      <c r="E777" s="46"/>
      <c r="F777" s="46"/>
      <c r="G777" s="46"/>
      <c r="H777" s="46"/>
      <c r="I777" s="46"/>
      <c r="J777" s="46"/>
      <c r="K777" s="46"/>
      <c r="L777" s="46"/>
      <c r="M777" s="46"/>
      <c r="N777" s="46"/>
      <c r="O777" s="46"/>
      <c r="P777" s="46"/>
      <c r="Q777" s="46"/>
      <c r="R777" s="46"/>
      <c r="S777" s="46"/>
      <c r="T777" s="46"/>
      <c r="U777" s="46"/>
      <c r="V777" s="46"/>
      <c r="W777" s="46"/>
      <c r="X777" s="46"/>
      <c r="Y777" s="46"/>
      <c r="Z777" s="46"/>
      <c r="AA777" s="46"/>
      <c r="AB777" s="46"/>
      <c r="AC777" s="46"/>
      <c r="AD777" s="46"/>
    </row>
    <row r="778">
      <c r="A778" s="46"/>
      <c r="B778" s="46"/>
      <c r="C778" s="46"/>
      <c r="D778" s="46"/>
      <c r="E778" s="46"/>
      <c r="F778" s="46"/>
      <c r="G778" s="46"/>
      <c r="H778" s="46"/>
      <c r="I778" s="46"/>
      <c r="J778" s="46"/>
      <c r="K778" s="46"/>
      <c r="L778" s="46"/>
      <c r="M778" s="46"/>
      <c r="N778" s="46"/>
      <c r="O778" s="46"/>
      <c r="P778" s="46"/>
      <c r="Q778" s="46"/>
      <c r="R778" s="46"/>
      <c r="S778" s="46"/>
      <c r="T778" s="46"/>
      <c r="U778" s="46"/>
      <c r="V778" s="46"/>
      <c r="W778" s="46"/>
      <c r="X778" s="46"/>
      <c r="Y778" s="46"/>
      <c r="Z778" s="46"/>
      <c r="AA778" s="46"/>
      <c r="AB778" s="46"/>
      <c r="AC778" s="46"/>
      <c r="AD778" s="46"/>
    </row>
    <row r="779">
      <c r="A779" s="46"/>
      <c r="B779" s="46"/>
      <c r="C779" s="46"/>
      <c r="D779" s="46"/>
      <c r="E779" s="46"/>
      <c r="F779" s="46"/>
      <c r="G779" s="46"/>
      <c r="H779" s="46"/>
      <c r="I779" s="46"/>
      <c r="J779" s="46"/>
      <c r="K779" s="46"/>
      <c r="L779" s="46"/>
      <c r="M779" s="46"/>
      <c r="N779" s="46"/>
      <c r="O779" s="46"/>
      <c r="P779" s="46"/>
      <c r="Q779" s="46"/>
      <c r="R779" s="46"/>
      <c r="S779" s="46"/>
      <c r="T779" s="46"/>
      <c r="U779" s="46"/>
      <c r="V779" s="46"/>
      <c r="W779" s="46"/>
      <c r="X779" s="46"/>
      <c r="Y779" s="46"/>
      <c r="Z779" s="46"/>
      <c r="AA779" s="46"/>
      <c r="AB779" s="46"/>
      <c r="AC779" s="46"/>
      <c r="AD779" s="46"/>
    </row>
    <row r="780">
      <c r="A780" s="46"/>
      <c r="B780" s="46"/>
      <c r="C780" s="4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  <c r="S780" s="46"/>
      <c r="T780" s="46"/>
      <c r="U780" s="46"/>
      <c r="V780" s="46"/>
      <c r="W780" s="46"/>
      <c r="X780" s="46"/>
      <c r="Y780" s="46"/>
      <c r="Z780" s="46"/>
      <c r="AA780" s="46"/>
      <c r="AB780" s="46"/>
      <c r="AC780" s="46"/>
      <c r="AD780" s="46"/>
    </row>
    <row r="781">
      <c r="A781" s="46"/>
      <c r="B781" s="46"/>
      <c r="C781" s="46"/>
      <c r="D781" s="46"/>
      <c r="E781" s="46"/>
      <c r="F781" s="46"/>
      <c r="G781" s="46"/>
      <c r="H781" s="46"/>
      <c r="I781" s="46"/>
      <c r="J781" s="46"/>
      <c r="K781" s="46"/>
      <c r="L781" s="46"/>
      <c r="M781" s="46"/>
      <c r="N781" s="46"/>
      <c r="O781" s="46"/>
      <c r="P781" s="46"/>
      <c r="Q781" s="46"/>
      <c r="R781" s="46"/>
      <c r="S781" s="46"/>
      <c r="T781" s="46"/>
      <c r="U781" s="46"/>
      <c r="V781" s="46"/>
      <c r="W781" s="46"/>
      <c r="X781" s="46"/>
      <c r="Y781" s="46"/>
      <c r="Z781" s="46"/>
      <c r="AA781" s="46"/>
      <c r="AB781" s="46"/>
      <c r="AC781" s="46"/>
      <c r="AD781" s="46"/>
    </row>
    <row r="782">
      <c r="A782" s="46"/>
      <c r="B782" s="46"/>
      <c r="C782" s="46"/>
      <c r="D782" s="46"/>
      <c r="E782" s="46"/>
      <c r="F782" s="46"/>
      <c r="G782" s="46"/>
      <c r="H782" s="46"/>
      <c r="I782" s="46"/>
      <c r="J782" s="46"/>
      <c r="K782" s="46"/>
      <c r="L782" s="46"/>
      <c r="M782" s="46"/>
      <c r="N782" s="46"/>
      <c r="O782" s="46"/>
      <c r="P782" s="46"/>
      <c r="Q782" s="46"/>
      <c r="R782" s="46"/>
      <c r="S782" s="46"/>
      <c r="T782" s="46"/>
      <c r="U782" s="46"/>
      <c r="V782" s="46"/>
      <c r="W782" s="46"/>
      <c r="X782" s="46"/>
      <c r="Y782" s="46"/>
      <c r="Z782" s="46"/>
      <c r="AA782" s="46"/>
      <c r="AB782" s="46"/>
      <c r="AC782" s="46"/>
      <c r="AD782" s="46"/>
    </row>
    <row r="783">
      <c r="A783" s="46"/>
      <c r="B783" s="46"/>
      <c r="C783" s="46"/>
      <c r="D783" s="46"/>
      <c r="E783" s="46"/>
      <c r="F783" s="46"/>
      <c r="G783" s="46"/>
      <c r="H783" s="46"/>
      <c r="I783" s="46"/>
      <c r="J783" s="46"/>
      <c r="K783" s="46"/>
      <c r="L783" s="46"/>
      <c r="M783" s="46"/>
      <c r="N783" s="46"/>
      <c r="O783" s="46"/>
      <c r="P783" s="46"/>
      <c r="Q783" s="46"/>
      <c r="R783" s="46"/>
      <c r="S783" s="46"/>
      <c r="T783" s="46"/>
      <c r="U783" s="46"/>
      <c r="V783" s="46"/>
      <c r="W783" s="46"/>
      <c r="X783" s="46"/>
      <c r="Y783" s="46"/>
      <c r="Z783" s="46"/>
      <c r="AA783" s="46"/>
      <c r="AB783" s="46"/>
      <c r="AC783" s="46"/>
      <c r="AD783" s="46"/>
    </row>
    <row r="784">
      <c r="A784" s="46"/>
      <c r="B784" s="46"/>
      <c r="C784" s="4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  <c r="S784" s="46"/>
      <c r="T784" s="46"/>
      <c r="U784" s="46"/>
      <c r="V784" s="46"/>
      <c r="W784" s="46"/>
      <c r="X784" s="46"/>
      <c r="Y784" s="46"/>
      <c r="Z784" s="46"/>
      <c r="AA784" s="46"/>
      <c r="AB784" s="46"/>
      <c r="AC784" s="46"/>
      <c r="AD784" s="46"/>
    </row>
    <row r="785">
      <c r="A785" s="46"/>
      <c r="B785" s="46"/>
      <c r="C785" s="46"/>
      <c r="D785" s="46"/>
      <c r="E785" s="46"/>
      <c r="F785" s="46"/>
      <c r="G785" s="46"/>
      <c r="H785" s="46"/>
      <c r="I785" s="46"/>
      <c r="J785" s="46"/>
      <c r="K785" s="46"/>
      <c r="L785" s="46"/>
      <c r="M785" s="46"/>
      <c r="N785" s="46"/>
      <c r="O785" s="46"/>
      <c r="P785" s="46"/>
      <c r="Q785" s="46"/>
      <c r="R785" s="46"/>
      <c r="S785" s="46"/>
      <c r="T785" s="46"/>
      <c r="U785" s="46"/>
      <c r="V785" s="46"/>
      <c r="W785" s="46"/>
      <c r="X785" s="46"/>
      <c r="Y785" s="46"/>
      <c r="Z785" s="46"/>
      <c r="AA785" s="46"/>
      <c r="AB785" s="46"/>
      <c r="AC785" s="46"/>
      <c r="AD785" s="46"/>
    </row>
    <row r="786">
      <c r="A786" s="46"/>
      <c r="B786" s="46"/>
      <c r="C786" s="46"/>
      <c r="D786" s="46"/>
      <c r="E786" s="46"/>
      <c r="F786" s="46"/>
      <c r="G786" s="46"/>
      <c r="H786" s="46"/>
      <c r="I786" s="46"/>
      <c r="J786" s="46"/>
      <c r="K786" s="46"/>
      <c r="L786" s="46"/>
      <c r="M786" s="46"/>
      <c r="N786" s="46"/>
      <c r="O786" s="46"/>
      <c r="P786" s="46"/>
      <c r="Q786" s="46"/>
      <c r="R786" s="46"/>
      <c r="S786" s="46"/>
      <c r="T786" s="46"/>
      <c r="U786" s="46"/>
      <c r="V786" s="46"/>
      <c r="W786" s="46"/>
      <c r="X786" s="46"/>
      <c r="Y786" s="46"/>
      <c r="Z786" s="46"/>
      <c r="AA786" s="46"/>
      <c r="AB786" s="46"/>
      <c r="AC786" s="46"/>
      <c r="AD786" s="46"/>
    </row>
    <row r="787">
      <c r="A787" s="46"/>
      <c r="B787" s="46"/>
      <c r="C787" s="46"/>
      <c r="D787" s="46"/>
      <c r="E787" s="46"/>
      <c r="F787" s="46"/>
      <c r="G787" s="46"/>
      <c r="H787" s="46"/>
      <c r="I787" s="46"/>
      <c r="J787" s="46"/>
      <c r="K787" s="46"/>
      <c r="L787" s="46"/>
      <c r="M787" s="46"/>
      <c r="N787" s="46"/>
      <c r="O787" s="46"/>
      <c r="P787" s="46"/>
      <c r="Q787" s="46"/>
      <c r="R787" s="46"/>
      <c r="S787" s="46"/>
      <c r="T787" s="46"/>
      <c r="U787" s="46"/>
      <c r="V787" s="46"/>
      <c r="W787" s="46"/>
      <c r="X787" s="46"/>
      <c r="Y787" s="46"/>
      <c r="Z787" s="46"/>
      <c r="AA787" s="46"/>
      <c r="AB787" s="46"/>
      <c r="AC787" s="46"/>
      <c r="AD787" s="46"/>
    </row>
    <row r="788">
      <c r="A788" s="46"/>
      <c r="B788" s="46"/>
      <c r="C788" s="4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  <c r="S788" s="46"/>
      <c r="T788" s="46"/>
      <c r="U788" s="46"/>
      <c r="V788" s="46"/>
      <c r="W788" s="46"/>
      <c r="X788" s="46"/>
      <c r="Y788" s="46"/>
      <c r="Z788" s="46"/>
      <c r="AA788" s="46"/>
      <c r="AB788" s="46"/>
      <c r="AC788" s="46"/>
      <c r="AD788" s="46"/>
    </row>
    <row r="789">
      <c r="A789" s="46"/>
      <c r="B789" s="46"/>
      <c r="C789" s="46"/>
      <c r="D789" s="46"/>
      <c r="E789" s="46"/>
      <c r="F789" s="46"/>
      <c r="G789" s="46"/>
      <c r="H789" s="46"/>
      <c r="I789" s="46"/>
      <c r="J789" s="46"/>
      <c r="K789" s="46"/>
      <c r="L789" s="46"/>
      <c r="M789" s="46"/>
      <c r="N789" s="46"/>
      <c r="O789" s="46"/>
      <c r="P789" s="46"/>
      <c r="Q789" s="46"/>
      <c r="R789" s="46"/>
      <c r="S789" s="46"/>
      <c r="T789" s="46"/>
      <c r="U789" s="46"/>
      <c r="V789" s="46"/>
      <c r="W789" s="46"/>
      <c r="X789" s="46"/>
      <c r="Y789" s="46"/>
      <c r="Z789" s="46"/>
      <c r="AA789" s="46"/>
      <c r="AB789" s="46"/>
      <c r="AC789" s="46"/>
      <c r="AD789" s="46"/>
    </row>
    <row r="790">
      <c r="A790" s="46"/>
      <c r="B790" s="46"/>
      <c r="C790" s="46"/>
      <c r="D790" s="46"/>
      <c r="E790" s="46"/>
      <c r="F790" s="46"/>
      <c r="G790" s="46"/>
      <c r="H790" s="46"/>
      <c r="I790" s="46"/>
      <c r="J790" s="46"/>
      <c r="K790" s="46"/>
      <c r="L790" s="46"/>
      <c r="M790" s="46"/>
      <c r="N790" s="46"/>
      <c r="O790" s="46"/>
      <c r="P790" s="46"/>
      <c r="Q790" s="46"/>
      <c r="R790" s="46"/>
      <c r="S790" s="46"/>
      <c r="T790" s="46"/>
      <c r="U790" s="46"/>
      <c r="V790" s="46"/>
      <c r="W790" s="46"/>
      <c r="X790" s="46"/>
      <c r="Y790" s="46"/>
      <c r="Z790" s="46"/>
      <c r="AA790" s="46"/>
      <c r="AB790" s="46"/>
      <c r="AC790" s="46"/>
      <c r="AD790" s="46"/>
    </row>
    <row r="791">
      <c r="A791" s="46"/>
      <c r="B791" s="46"/>
      <c r="C791" s="46"/>
      <c r="D791" s="46"/>
      <c r="E791" s="46"/>
      <c r="F791" s="46"/>
      <c r="G791" s="46"/>
      <c r="H791" s="46"/>
      <c r="I791" s="46"/>
      <c r="J791" s="46"/>
      <c r="K791" s="46"/>
      <c r="L791" s="46"/>
      <c r="M791" s="46"/>
      <c r="N791" s="46"/>
      <c r="O791" s="46"/>
      <c r="P791" s="46"/>
      <c r="Q791" s="46"/>
      <c r="R791" s="46"/>
      <c r="S791" s="46"/>
      <c r="T791" s="46"/>
      <c r="U791" s="46"/>
      <c r="V791" s="46"/>
      <c r="W791" s="46"/>
      <c r="X791" s="46"/>
      <c r="Y791" s="46"/>
      <c r="Z791" s="46"/>
      <c r="AA791" s="46"/>
      <c r="AB791" s="46"/>
      <c r="AC791" s="46"/>
      <c r="AD791" s="46"/>
    </row>
    <row r="792">
      <c r="A792" s="46"/>
      <c r="B792" s="46"/>
      <c r="C792" s="4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  <c r="S792" s="46"/>
      <c r="T792" s="46"/>
      <c r="U792" s="46"/>
      <c r="V792" s="46"/>
      <c r="W792" s="46"/>
      <c r="X792" s="46"/>
      <c r="Y792" s="46"/>
      <c r="Z792" s="46"/>
      <c r="AA792" s="46"/>
      <c r="AB792" s="46"/>
      <c r="AC792" s="46"/>
      <c r="AD792" s="46"/>
    </row>
    <row r="793">
      <c r="A793" s="46"/>
      <c r="B793" s="46"/>
      <c r="C793" s="46"/>
      <c r="D793" s="46"/>
      <c r="E793" s="46"/>
      <c r="F793" s="46"/>
      <c r="G793" s="46"/>
      <c r="H793" s="46"/>
      <c r="I793" s="46"/>
      <c r="J793" s="46"/>
      <c r="K793" s="46"/>
      <c r="L793" s="46"/>
      <c r="M793" s="46"/>
      <c r="N793" s="46"/>
      <c r="O793" s="46"/>
      <c r="P793" s="46"/>
      <c r="Q793" s="46"/>
      <c r="R793" s="46"/>
      <c r="S793" s="46"/>
      <c r="T793" s="46"/>
      <c r="U793" s="46"/>
      <c r="V793" s="46"/>
      <c r="W793" s="46"/>
      <c r="X793" s="46"/>
      <c r="Y793" s="46"/>
      <c r="Z793" s="46"/>
      <c r="AA793" s="46"/>
      <c r="AB793" s="46"/>
      <c r="AC793" s="46"/>
      <c r="AD793" s="46"/>
    </row>
    <row r="794">
      <c r="A794" s="46"/>
      <c r="B794" s="46"/>
      <c r="C794" s="46"/>
      <c r="D794" s="46"/>
      <c r="E794" s="46"/>
      <c r="F794" s="46"/>
      <c r="G794" s="46"/>
      <c r="H794" s="46"/>
      <c r="I794" s="46"/>
      <c r="J794" s="46"/>
      <c r="K794" s="46"/>
      <c r="L794" s="46"/>
      <c r="M794" s="46"/>
      <c r="N794" s="46"/>
      <c r="O794" s="46"/>
      <c r="P794" s="46"/>
      <c r="Q794" s="46"/>
      <c r="R794" s="46"/>
      <c r="S794" s="46"/>
      <c r="T794" s="46"/>
      <c r="U794" s="46"/>
      <c r="V794" s="46"/>
      <c r="W794" s="46"/>
      <c r="X794" s="46"/>
      <c r="Y794" s="46"/>
      <c r="Z794" s="46"/>
      <c r="AA794" s="46"/>
      <c r="AB794" s="46"/>
      <c r="AC794" s="46"/>
      <c r="AD794" s="46"/>
    </row>
    <row r="795">
      <c r="A795" s="46"/>
      <c r="B795" s="46"/>
      <c r="C795" s="46"/>
      <c r="D795" s="46"/>
      <c r="E795" s="46"/>
      <c r="F795" s="46"/>
      <c r="G795" s="46"/>
      <c r="H795" s="46"/>
      <c r="I795" s="46"/>
      <c r="J795" s="46"/>
      <c r="K795" s="46"/>
      <c r="L795" s="46"/>
      <c r="M795" s="46"/>
      <c r="N795" s="46"/>
      <c r="O795" s="46"/>
      <c r="P795" s="46"/>
      <c r="Q795" s="46"/>
      <c r="R795" s="46"/>
      <c r="S795" s="46"/>
      <c r="T795" s="46"/>
      <c r="U795" s="46"/>
      <c r="V795" s="46"/>
      <c r="W795" s="46"/>
      <c r="X795" s="46"/>
      <c r="Y795" s="46"/>
      <c r="Z795" s="46"/>
      <c r="AA795" s="46"/>
      <c r="AB795" s="46"/>
      <c r="AC795" s="46"/>
      <c r="AD795" s="46"/>
    </row>
    <row r="796">
      <c r="A796" s="46"/>
      <c r="B796" s="46"/>
      <c r="C796" s="4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  <c r="S796" s="46"/>
      <c r="T796" s="46"/>
      <c r="U796" s="46"/>
      <c r="V796" s="46"/>
      <c r="W796" s="46"/>
      <c r="X796" s="46"/>
      <c r="Y796" s="46"/>
      <c r="Z796" s="46"/>
      <c r="AA796" s="46"/>
      <c r="AB796" s="46"/>
      <c r="AC796" s="46"/>
      <c r="AD796" s="46"/>
    </row>
    <row r="797">
      <c r="A797" s="46"/>
      <c r="B797" s="46"/>
      <c r="C797" s="46"/>
      <c r="D797" s="46"/>
      <c r="E797" s="46"/>
      <c r="F797" s="46"/>
      <c r="G797" s="46"/>
      <c r="H797" s="46"/>
      <c r="I797" s="46"/>
      <c r="J797" s="46"/>
      <c r="K797" s="46"/>
      <c r="L797" s="46"/>
      <c r="M797" s="46"/>
      <c r="N797" s="46"/>
      <c r="O797" s="46"/>
      <c r="P797" s="46"/>
      <c r="Q797" s="46"/>
      <c r="R797" s="46"/>
      <c r="S797" s="46"/>
      <c r="T797" s="46"/>
      <c r="U797" s="46"/>
      <c r="V797" s="46"/>
      <c r="W797" s="46"/>
      <c r="X797" s="46"/>
      <c r="Y797" s="46"/>
      <c r="Z797" s="46"/>
      <c r="AA797" s="46"/>
      <c r="AB797" s="46"/>
      <c r="AC797" s="46"/>
      <c r="AD797" s="46"/>
    </row>
    <row r="798">
      <c r="A798" s="46"/>
      <c r="B798" s="46"/>
      <c r="C798" s="46"/>
      <c r="D798" s="46"/>
      <c r="E798" s="46"/>
      <c r="F798" s="46"/>
      <c r="G798" s="46"/>
      <c r="H798" s="46"/>
      <c r="I798" s="46"/>
      <c r="J798" s="46"/>
      <c r="K798" s="46"/>
      <c r="L798" s="46"/>
      <c r="M798" s="46"/>
      <c r="N798" s="46"/>
      <c r="O798" s="46"/>
      <c r="P798" s="46"/>
      <c r="Q798" s="46"/>
      <c r="R798" s="46"/>
      <c r="S798" s="46"/>
      <c r="T798" s="46"/>
      <c r="U798" s="46"/>
      <c r="V798" s="46"/>
      <c r="W798" s="46"/>
      <c r="X798" s="46"/>
      <c r="Y798" s="46"/>
      <c r="Z798" s="46"/>
      <c r="AA798" s="46"/>
      <c r="AB798" s="46"/>
      <c r="AC798" s="46"/>
      <c r="AD798" s="46"/>
    </row>
    <row r="799">
      <c r="A799" s="46"/>
      <c r="B799" s="46"/>
      <c r="C799" s="46"/>
      <c r="D799" s="46"/>
      <c r="E799" s="46"/>
      <c r="F799" s="46"/>
      <c r="G799" s="46"/>
      <c r="H799" s="46"/>
      <c r="I799" s="46"/>
      <c r="J799" s="46"/>
      <c r="K799" s="46"/>
      <c r="L799" s="46"/>
      <c r="M799" s="46"/>
      <c r="N799" s="46"/>
      <c r="O799" s="46"/>
      <c r="P799" s="46"/>
      <c r="Q799" s="46"/>
      <c r="R799" s="46"/>
      <c r="S799" s="46"/>
      <c r="T799" s="46"/>
      <c r="U799" s="46"/>
      <c r="V799" s="46"/>
      <c r="W799" s="46"/>
      <c r="X799" s="46"/>
      <c r="Y799" s="46"/>
      <c r="Z799" s="46"/>
      <c r="AA799" s="46"/>
      <c r="AB799" s="46"/>
      <c r="AC799" s="46"/>
      <c r="AD799" s="46"/>
    </row>
    <row r="800">
      <c r="A800" s="46"/>
      <c r="B800" s="46"/>
      <c r="C800" s="4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  <c r="S800" s="46"/>
      <c r="T800" s="46"/>
      <c r="U800" s="46"/>
      <c r="V800" s="46"/>
      <c r="W800" s="46"/>
      <c r="X800" s="46"/>
      <c r="Y800" s="46"/>
      <c r="Z800" s="46"/>
      <c r="AA800" s="46"/>
      <c r="AB800" s="46"/>
      <c r="AC800" s="46"/>
      <c r="AD800" s="46"/>
    </row>
    <row r="801">
      <c r="A801" s="46"/>
      <c r="B801" s="46"/>
      <c r="C801" s="46"/>
      <c r="D801" s="46"/>
      <c r="E801" s="46"/>
      <c r="F801" s="46"/>
      <c r="G801" s="46"/>
      <c r="H801" s="46"/>
      <c r="I801" s="46"/>
      <c r="J801" s="46"/>
      <c r="K801" s="46"/>
      <c r="L801" s="46"/>
      <c r="M801" s="46"/>
      <c r="N801" s="46"/>
      <c r="O801" s="46"/>
      <c r="P801" s="46"/>
      <c r="Q801" s="46"/>
      <c r="R801" s="46"/>
      <c r="S801" s="46"/>
      <c r="T801" s="46"/>
      <c r="U801" s="46"/>
      <c r="V801" s="46"/>
      <c r="W801" s="46"/>
      <c r="X801" s="46"/>
      <c r="Y801" s="46"/>
      <c r="Z801" s="46"/>
      <c r="AA801" s="46"/>
      <c r="AB801" s="46"/>
      <c r="AC801" s="46"/>
      <c r="AD801" s="46"/>
    </row>
    <row r="802">
      <c r="A802" s="46"/>
      <c r="B802" s="46"/>
      <c r="C802" s="46"/>
      <c r="D802" s="46"/>
      <c r="E802" s="46"/>
      <c r="F802" s="46"/>
      <c r="G802" s="46"/>
      <c r="H802" s="46"/>
      <c r="I802" s="46"/>
      <c r="J802" s="46"/>
      <c r="K802" s="46"/>
      <c r="L802" s="46"/>
      <c r="M802" s="46"/>
      <c r="N802" s="46"/>
      <c r="O802" s="46"/>
      <c r="P802" s="46"/>
      <c r="Q802" s="46"/>
      <c r="R802" s="46"/>
      <c r="S802" s="46"/>
      <c r="T802" s="46"/>
      <c r="U802" s="46"/>
      <c r="V802" s="46"/>
      <c r="W802" s="46"/>
      <c r="X802" s="46"/>
      <c r="Y802" s="46"/>
      <c r="Z802" s="46"/>
      <c r="AA802" s="46"/>
      <c r="AB802" s="46"/>
      <c r="AC802" s="46"/>
      <c r="AD802" s="46"/>
    </row>
    <row r="803">
      <c r="A803" s="46"/>
      <c r="B803" s="46"/>
      <c r="C803" s="46"/>
      <c r="D803" s="46"/>
      <c r="E803" s="46"/>
      <c r="F803" s="46"/>
      <c r="G803" s="46"/>
      <c r="H803" s="46"/>
      <c r="I803" s="46"/>
      <c r="J803" s="46"/>
      <c r="K803" s="46"/>
      <c r="L803" s="46"/>
      <c r="M803" s="46"/>
      <c r="N803" s="46"/>
      <c r="O803" s="46"/>
      <c r="P803" s="46"/>
      <c r="Q803" s="46"/>
      <c r="R803" s="46"/>
      <c r="S803" s="46"/>
      <c r="T803" s="46"/>
      <c r="U803" s="46"/>
      <c r="V803" s="46"/>
      <c r="W803" s="46"/>
      <c r="X803" s="46"/>
      <c r="Y803" s="46"/>
      <c r="Z803" s="46"/>
      <c r="AA803" s="46"/>
      <c r="AB803" s="46"/>
      <c r="AC803" s="46"/>
      <c r="AD803" s="46"/>
    </row>
    <row r="804">
      <c r="A804" s="46"/>
      <c r="B804" s="46"/>
      <c r="C804" s="4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  <c r="S804" s="46"/>
      <c r="T804" s="46"/>
      <c r="U804" s="46"/>
      <c r="V804" s="46"/>
      <c r="W804" s="46"/>
      <c r="X804" s="46"/>
      <c r="Y804" s="46"/>
      <c r="Z804" s="46"/>
      <c r="AA804" s="46"/>
      <c r="AB804" s="46"/>
      <c r="AC804" s="46"/>
      <c r="AD804" s="46"/>
    </row>
    <row r="805">
      <c r="A805" s="46"/>
      <c r="B805" s="46"/>
      <c r="C805" s="46"/>
      <c r="D805" s="46"/>
      <c r="E805" s="46"/>
      <c r="F805" s="46"/>
      <c r="G805" s="46"/>
      <c r="H805" s="46"/>
      <c r="I805" s="46"/>
      <c r="J805" s="46"/>
      <c r="K805" s="46"/>
      <c r="L805" s="46"/>
      <c r="M805" s="46"/>
      <c r="N805" s="46"/>
      <c r="O805" s="46"/>
      <c r="P805" s="46"/>
      <c r="Q805" s="46"/>
      <c r="R805" s="46"/>
      <c r="S805" s="46"/>
      <c r="T805" s="46"/>
      <c r="U805" s="46"/>
      <c r="V805" s="46"/>
      <c r="W805" s="46"/>
      <c r="X805" s="46"/>
      <c r="Y805" s="46"/>
      <c r="Z805" s="46"/>
      <c r="AA805" s="46"/>
      <c r="AB805" s="46"/>
      <c r="AC805" s="46"/>
      <c r="AD805" s="46"/>
    </row>
    <row r="806">
      <c r="A806" s="46"/>
      <c r="B806" s="46"/>
      <c r="C806" s="46"/>
      <c r="D806" s="46"/>
      <c r="E806" s="46"/>
      <c r="F806" s="46"/>
      <c r="G806" s="46"/>
      <c r="H806" s="46"/>
      <c r="I806" s="46"/>
      <c r="J806" s="46"/>
      <c r="K806" s="46"/>
      <c r="L806" s="46"/>
      <c r="M806" s="46"/>
      <c r="N806" s="46"/>
      <c r="O806" s="46"/>
      <c r="P806" s="46"/>
      <c r="Q806" s="46"/>
      <c r="R806" s="46"/>
      <c r="S806" s="46"/>
      <c r="T806" s="46"/>
      <c r="U806" s="46"/>
      <c r="V806" s="46"/>
      <c r="W806" s="46"/>
      <c r="X806" s="46"/>
      <c r="Y806" s="46"/>
      <c r="Z806" s="46"/>
      <c r="AA806" s="46"/>
      <c r="AB806" s="46"/>
      <c r="AC806" s="46"/>
      <c r="AD806" s="46"/>
    </row>
    <row r="807">
      <c r="A807" s="46"/>
      <c r="B807" s="46"/>
      <c r="C807" s="46"/>
      <c r="D807" s="46"/>
      <c r="E807" s="46"/>
      <c r="F807" s="46"/>
      <c r="G807" s="46"/>
      <c r="H807" s="46"/>
      <c r="I807" s="46"/>
      <c r="J807" s="46"/>
      <c r="K807" s="46"/>
      <c r="L807" s="46"/>
      <c r="M807" s="46"/>
      <c r="N807" s="46"/>
      <c r="O807" s="46"/>
      <c r="P807" s="46"/>
      <c r="Q807" s="46"/>
      <c r="R807" s="46"/>
      <c r="S807" s="46"/>
      <c r="T807" s="46"/>
      <c r="U807" s="46"/>
      <c r="V807" s="46"/>
      <c r="W807" s="46"/>
      <c r="X807" s="46"/>
      <c r="Y807" s="46"/>
      <c r="Z807" s="46"/>
      <c r="AA807" s="46"/>
      <c r="AB807" s="46"/>
      <c r="AC807" s="46"/>
      <c r="AD807" s="46"/>
    </row>
    <row r="808">
      <c r="A808" s="46"/>
      <c r="B808" s="46"/>
      <c r="C808" s="4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  <c r="S808" s="46"/>
      <c r="T808" s="46"/>
      <c r="U808" s="46"/>
      <c r="V808" s="46"/>
      <c r="W808" s="46"/>
      <c r="X808" s="46"/>
      <c r="Y808" s="46"/>
      <c r="Z808" s="46"/>
      <c r="AA808" s="46"/>
      <c r="AB808" s="46"/>
      <c r="AC808" s="46"/>
      <c r="AD808" s="46"/>
    </row>
    <row r="809">
      <c r="A809" s="46"/>
      <c r="B809" s="46"/>
      <c r="C809" s="46"/>
      <c r="D809" s="46"/>
      <c r="E809" s="46"/>
      <c r="F809" s="46"/>
      <c r="G809" s="46"/>
      <c r="H809" s="46"/>
      <c r="I809" s="46"/>
      <c r="J809" s="46"/>
      <c r="K809" s="46"/>
      <c r="L809" s="46"/>
      <c r="M809" s="46"/>
      <c r="N809" s="46"/>
      <c r="O809" s="46"/>
      <c r="P809" s="46"/>
      <c r="Q809" s="46"/>
      <c r="R809" s="46"/>
      <c r="S809" s="46"/>
      <c r="T809" s="46"/>
      <c r="U809" s="46"/>
      <c r="V809" s="46"/>
      <c r="W809" s="46"/>
      <c r="X809" s="46"/>
      <c r="Y809" s="46"/>
      <c r="Z809" s="46"/>
      <c r="AA809" s="46"/>
      <c r="AB809" s="46"/>
      <c r="AC809" s="46"/>
      <c r="AD809" s="46"/>
    </row>
    <row r="810">
      <c r="A810" s="46"/>
      <c r="B810" s="46"/>
      <c r="C810" s="46"/>
      <c r="D810" s="46"/>
      <c r="E810" s="46"/>
      <c r="F810" s="46"/>
      <c r="G810" s="46"/>
      <c r="H810" s="46"/>
      <c r="I810" s="46"/>
      <c r="J810" s="46"/>
      <c r="K810" s="46"/>
      <c r="L810" s="46"/>
      <c r="M810" s="46"/>
      <c r="N810" s="46"/>
      <c r="O810" s="46"/>
      <c r="P810" s="46"/>
      <c r="Q810" s="46"/>
      <c r="R810" s="46"/>
      <c r="S810" s="46"/>
      <c r="T810" s="46"/>
      <c r="U810" s="46"/>
      <c r="V810" s="46"/>
      <c r="W810" s="46"/>
      <c r="X810" s="46"/>
      <c r="Y810" s="46"/>
      <c r="Z810" s="46"/>
      <c r="AA810" s="46"/>
      <c r="AB810" s="46"/>
      <c r="AC810" s="46"/>
      <c r="AD810" s="46"/>
    </row>
    <row r="811">
      <c r="A811" s="46"/>
      <c r="B811" s="46"/>
      <c r="C811" s="46"/>
      <c r="D811" s="46"/>
      <c r="E811" s="46"/>
      <c r="F811" s="46"/>
      <c r="G811" s="46"/>
      <c r="H811" s="46"/>
      <c r="I811" s="46"/>
      <c r="J811" s="46"/>
      <c r="K811" s="46"/>
      <c r="L811" s="46"/>
      <c r="M811" s="46"/>
      <c r="N811" s="46"/>
      <c r="O811" s="46"/>
      <c r="P811" s="46"/>
      <c r="Q811" s="46"/>
      <c r="R811" s="46"/>
      <c r="S811" s="46"/>
      <c r="T811" s="46"/>
      <c r="U811" s="46"/>
      <c r="V811" s="46"/>
      <c r="W811" s="46"/>
      <c r="X811" s="46"/>
      <c r="Y811" s="46"/>
      <c r="Z811" s="46"/>
      <c r="AA811" s="46"/>
      <c r="AB811" s="46"/>
      <c r="AC811" s="46"/>
      <c r="AD811" s="46"/>
    </row>
    <row r="812">
      <c r="A812" s="46"/>
      <c r="B812" s="46"/>
      <c r="C812" s="4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  <c r="S812" s="46"/>
      <c r="T812" s="46"/>
      <c r="U812" s="46"/>
      <c r="V812" s="46"/>
      <c r="W812" s="46"/>
      <c r="X812" s="46"/>
      <c r="Y812" s="46"/>
      <c r="Z812" s="46"/>
      <c r="AA812" s="46"/>
      <c r="AB812" s="46"/>
      <c r="AC812" s="46"/>
      <c r="AD812" s="46"/>
    </row>
    <row r="813">
      <c r="A813" s="46"/>
      <c r="B813" s="46"/>
      <c r="C813" s="46"/>
      <c r="D813" s="46"/>
      <c r="E813" s="46"/>
      <c r="F813" s="46"/>
      <c r="G813" s="46"/>
      <c r="H813" s="46"/>
      <c r="I813" s="46"/>
      <c r="J813" s="46"/>
      <c r="K813" s="46"/>
      <c r="L813" s="46"/>
      <c r="M813" s="46"/>
      <c r="N813" s="46"/>
      <c r="O813" s="46"/>
      <c r="P813" s="46"/>
      <c r="Q813" s="46"/>
      <c r="R813" s="46"/>
      <c r="S813" s="46"/>
      <c r="T813" s="46"/>
      <c r="U813" s="46"/>
      <c r="V813" s="46"/>
      <c r="W813" s="46"/>
      <c r="X813" s="46"/>
      <c r="Y813" s="46"/>
      <c r="Z813" s="46"/>
      <c r="AA813" s="46"/>
      <c r="AB813" s="46"/>
      <c r="AC813" s="46"/>
      <c r="AD813" s="46"/>
    </row>
    <row r="814">
      <c r="A814" s="46"/>
      <c r="B814" s="46"/>
      <c r="C814" s="46"/>
      <c r="D814" s="46"/>
      <c r="E814" s="46"/>
      <c r="F814" s="46"/>
      <c r="G814" s="46"/>
      <c r="H814" s="46"/>
      <c r="I814" s="46"/>
      <c r="J814" s="46"/>
      <c r="K814" s="46"/>
      <c r="L814" s="46"/>
      <c r="M814" s="46"/>
      <c r="N814" s="46"/>
      <c r="O814" s="46"/>
      <c r="P814" s="46"/>
      <c r="Q814" s="46"/>
      <c r="R814" s="46"/>
      <c r="S814" s="46"/>
      <c r="T814" s="46"/>
      <c r="U814" s="46"/>
      <c r="V814" s="46"/>
      <c r="W814" s="46"/>
      <c r="X814" s="46"/>
      <c r="Y814" s="46"/>
      <c r="Z814" s="46"/>
      <c r="AA814" s="46"/>
      <c r="AB814" s="46"/>
      <c r="AC814" s="46"/>
      <c r="AD814" s="46"/>
    </row>
    <row r="815">
      <c r="A815" s="46"/>
      <c r="B815" s="46"/>
      <c r="C815" s="46"/>
      <c r="D815" s="46"/>
      <c r="E815" s="46"/>
      <c r="F815" s="46"/>
      <c r="G815" s="46"/>
      <c r="H815" s="46"/>
      <c r="I815" s="46"/>
      <c r="J815" s="46"/>
      <c r="K815" s="46"/>
      <c r="L815" s="46"/>
      <c r="M815" s="46"/>
      <c r="N815" s="46"/>
      <c r="O815" s="46"/>
      <c r="P815" s="46"/>
      <c r="Q815" s="46"/>
      <c r="R815" s="46"/>
      <c r="S815" s="46"/>
      <c r="T815" s="46"/>
      <c r="U815" s="46"/>
      <c r="V815" s="46"/>
      <c r="W815" s="46"/>
      <c r="X815" s="46"/>
      <c r="Y815" s="46"/>
      <c r="Z815" s="46"/>
      <c r="AA815" s="46"/>
      <c r="AB815" s="46"/>
      <c r="AC815" s="46"/>
      <c r="AD815" s="46"/>
    </row>
    <row r="816">
      <c r="A816" s="46"/>
      <c r="B816" s="46"/>
      <c r="C816" s="4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  <c r="S816" s="46"/>
      <c r="T816" s="46"/>
      <c r="U816" s="46"/>
      <c r="V816" s="46"/>
      <c r="W816" s="46"/>
      <c r="X816" s="46"/>
      <c r="Y816" s="46"/>
      <c r="Z816" s="46"/>
      <c r="AA816" s="46"/>
      <c r="AB816" s="46"/>
      <c r="AC816" s="46"/>
      <c r="AD816" s="46"/>
    </row>
    <row r="817">
      <c r="A817" s="46"/>
      <c r="B817" s="46"/>
      <c r="C817" s="46"/>
      <c r="D817" s="46"/>
      <c r="E817" s="46"/>
      <c r="F817" s="46"/>
      <c r="G817" s="46"/>
      <c r="H817" s="46"/>
      <c r="I817" s="46"/>
      <c r="J817" s="46"/>
      <c r="K817" s="46"/>
      <c r="L817" s="46"/>
      <c r="M817" s="46"/>
      <c r="N817" s="46"/>
      <c r="O817" s="46"/>
      <c r="P817" s="46"/>
      <c r="Q817" s="46"/>
      <c r="R817" s="46"/>
      <c r="S817" s="46"/>
      <c r="T817" s="46"/>
      <c r="U817" s="46"/>
      <c r="V817" s="46"/>
      <c r="W817" s="46"/>
      <c r="X817" s="46"/>
      <c r="Y817" s="46"/>
      <c r="Z817" s="46"/>
      <c r="AA817" s="46"/>
      <c r="AB817" s="46"/>
      <c r="AC817" s="46"/>
      <c r="AD817" s="46"/>
    </row>
    <row r="818">
      <c r="A818" s="46"/>
      <c r="B818" s="46"/>
      <c r="C818" s="46"/>
      <c r="D818" s="46"/>
      <c r="E818" s="46"/>
      <c r="F818" s="46"/>
      <c r="G818" s="46"/>
      <c r="H818" s="46"/>
      <c r="I818" s="46"/>
      <c r="J818" s="46"/>
      <c r="K818" s="46"/>
      <c r="L818" s="46"/>
      <c r="M818" s="46"/>
      <c r="N818" s="46"/>
      <c r="O818" s="46"/>
      <c r="P818" s="46"/>
      <c r="Q818" s="46"/>
      <c r="R818" s="46"/>
      <c r="S818" s="46"/>
      <c r="T818" s="46"/>
      <c r="U818" s="46"/>
      <c r="V818" s="46"/>
      <c r="W818" s="46"/>
      <c r="X818" s="46"/>
      <c r="Y818" s="46"/>
      <c r="Z818" s="46"/>
      <c r="AA818" s="46"/>
      <c r="AB818" s="46"/>
      <c r="AC818" s="46"/>
      <c r="AD818" s="46"/>
    </row>
    <row r="819">
      <c r="A819" s="46"/>
      <c r="B819" s="46"/>
      <c r="C819" s="46"/>
      <c r="D819" s="46"/>
      <c r="E819" s="46"/>
      <c r="F819" s="46"/>
      <c r="G819" s="46"/>
      <c r="H819" s="46"/>
      <c r="I819" s="46"/>
      <c r="J819" s="46"/>
      <c r="K819" s="46"/>
      <c r="L819" s="46"/>
      <c r="M819" s="46"/>
      <c r="N819" s="46"/>
      <c r="O819" s="46"/>
      <c r="P819" s="46"/>
      <c r="Q819" s="46"/>
      <c r="R819" s="46"/>
      <c r="S819" s="46"/>
      <c r="T819" s="46"/>
      <c r="U819" s="46"/>
      <c r="V819" s="46"/>
      <c r="W819" s="46"/>
      <c r="X819" s="46"/>
      <c r="Y819" s="46"/>
      <c r="Z819" s="46"/>
      <c r="AA819" s="46"/>
      <c r="AB819" s="46"/>
      <c r="AC819" s="46"/>
      <c r="AD819" s="46"/>
    </row>
    <row r="820">
      <c r="A820" s="46"/>
      <c r="B820" s="46"/>
      <c r="C820" s="4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  <c r="S820" s="46"/>
      <c r="T820" s="46"/>
      <c r="U820" s="46"/>
      <c r="V820" s="46"/>
      <c r="W820" s="46"/>
      <c r="X820" s="46"/>
      <c r="Y820" s="46"/>
      <c r="Z820" s="46"/>
      <c r="AA820" s="46"/>
      <c r="AB820" s="46"/>
      <c r="AC820" s="46"/>
      <c r="AD820" s="46"/>
    </row>
    <row r="821">
      <c r="A821" s="46"/>
      <c r="B821" s="46"/>
      <c r="C821" s="46"/>
      <c r="D821" s="46"/>
      <c r="E821" s="46"/>
      <c r="F821" s="46"/>
      <c r="G821" s="46"/>
      <c r="H821" s="46"/>
      <c r="I821" s="46"/>
      <c r="J821" s="46"/>
      <c r="K821" s="46"/>
      <c r="L821" s="46"/>
      <c r="M821" s="46"/>
      <c r="N821" s="46"/>
      <c r="O821" s="46"/>
      <c r="P821" s="46"/>
      <c r="Q821" s="46"/>
      <c r="R821" s="46"/>
      <c r="S821" s="46"/>
      <c r="T821" s="46"/>
      <c r="U821" s="46"/>
      <c r="V821" s="46"/>
      <c r="W821" s="46"/>
      <c r="X821" s="46"/>
      <c r="Y821" s="46"/>
      <c r="Z821" s="46"/>
      <c r="AA821" s="46"/>
      <c r="AB821" s="46"/>
      <c r="AC821" s="46"/>
      <c r="AD821" s="46"/>
    </row>
    <row r="822">
      <c r="A822" s="46"/>
      <c r="B822" s="46"/>
      <c r="C822" s="46"/>
      <c r="D822" s="46"/>
      <c r="E822" s="46"/>
      <c r="F822" s="46"/>
      <c r="G822" s="46"/>
      <c r="H822" s="46"/>
      <c r="I822" s="46"/>
      <c r="J822" s="46"/>
      <c r="K822" s="46"/>
      <c r="L822" s="46"/>
      <c r="M822" s="46"/>
      <c r="N822" s="46"/>
      <c r="O822" s="46"/>
      <c r="P822" s="46"/>
      <c r="Q822" s="46"/>
      <c r="R822" s="46"/>
      <c r="S822" s="46"/>
      <c r="T822" s="46"/>
      <c r="U822" s="46"/>
      <c r="V822" s="46"/>
      <c r="W822" s="46"/>
      <c r="X822" s="46"/>
      <c r="Y822" s="46"/>
      <c r="Z822" s="46"/>
      <c r="AA822" s="46"/>
      <c r="AB822" s="46"/>
      <c r="AC822" s="46"/>
      <c r="AD822" s="46"/>
    </row>
    <row r="823">
      <c r="A823" s="46"/>
      <c r="B823" s="46"/>
      <c r="C823" s="46"/>
      <c r="D823" s="46"/>
      <c r="E823" s="46"/>
      <c r="F823" s="46"/>
      <c r="G823" s="46"/>
      <c r="H823" s="46"/>
      <c r="I823" s="46"/>
      <c r="J823" s="46"/>
      <c r="K823" s="46"/>
      <c r="L823" s="46"/>
      <c r="M823" s="46"/>
      <c r="N823" s="46"/>
      <c r="O823" s="46"/>
      <c r="P823" s="46"/>
      <c r="Q823" s="46"/>
      <c r="R823" s="46"/>
      <c r="S823" s="46"/>
      <c r="T823" s="46"/>
      <c r="U823" s="46"/>
      <c r="V823" s="46"/>
      <c r="W823" s="46"/>
      <c r="X823" s="46"/>
      <c r="Y823" s="46"/>
      <c r="Z823" s="46"/>
      <c r="AA823" s="46"/>
      <c r="AB823" s="46"/>
      <c r="AC823" s="46"/>
      <c r="AD823" s="46"/>
    </row>
    <row r="824">
      <c r="A824" s="46"/>
      <c r="B824" s="46"/>
      <c r="C824" s="4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  <c r="S824" s="46"/>
      <c r="T824" s="46"/>
      <c r="U824" s="46"/>
      <c r="V824" s="46"/>
      <c r="W824" s="46"/>
      <c r="X824" s="46"/>
      <c r="Y824" s="46"/>
      <c r="Z824" s="46"/>
      <c r="AA824" s="46"/>
      <c r="AB824" s="46"/>
      <c r="AC824" s="46"/>
      <c r="AD824" s="46"/>
    </row>
    <row r="825">
      <c r="A825" s="46"/>
      <c r="B825" s="46"/>
      <c r="C825" s="46"/>
      <c r="D825" s="46"/>
      <c r="E825" s="46"/>
      <c r="F825" s="46"/>
      <c r="G825" s="46"/>
      <c r="H825" s="46"/>
      <c r="I825" s="46"/>
      <c r="J825" s="46"/>
      <c r="K825" s="46"/>
      <c r="L825" s="46"/>
      <c r="M825" s="46"/>
      <c r="N825" s="46"/>
      <c r="O825" s="46"/>
      <c r="P825" s="46"/>
      <c r="Q825" s="46"/>
      <c r="R825" s="46"/>
      <c r="S825" s="46"/>
      <c r="T825" s="46"/>
      <c r="U825" s="46"/>
      <c r="V825" s="46"/>
      <c r="W825" s="46"/>
      <c r="X825" s="46"/>
      <c r="Y825" s="46"/>
      <c r="Z825" s="46"/>
      <c r="AA825" s="46"/>
      <c r="AB825" s="46"/>
      <c r="AC825" s="46"/>
      <c r="AD825" s="46"/>
    </row>
    <row r="826">
      <c r="A826" s="46"/>
      <c r="B826" s="46"/>
      <c r="C826" s="46"/>
      <c r="D826" s="46"/>
      <c r="E826" s="46"/>
      <c r="F826" s="46"/>
      <c r="G826" s="46"/>
      <c r="H826" s="46"/>
      <c r="I826" s="46"/>
      <c r="J826" s="46"/>
      <c r="K826" s="46"/>
      <c r="L826" s="46"/>
      <c r="M826" s="46"/>
      <c r="N826" s="46"/>
      <c r="O826" s="46"/>
      <c r="P826" s="46"/>
      <c r="Q826" s="46"/>
      <c r="R826" s="46"/>
      <c r="S826" s="46"/>
      <c r="T826" s="46"/>
      <c r="U826" s="46"/>
      <c r="V826" s="46"/>
      <c r="W826" s="46"/>
      <c r="X826" s="46"/>
      <c r="Y826" s="46"/>
      <c r="Z826" s="46"/>
      <c r="AA826" s="46"/>
      <c r="AB826" s="46"/>
      <c r="AC826" s="46"/>
      <c r="AD826" s="46"/>
    </row>
    <row r="827">
      <c r="A827" s="46"/>
      <c r="B827" s="46"/>
      <c r="C827" s="46"/>
      <c r="D827" s="46"/>
      <c r="E827" s="46"/>
      <c r="F827" s="46"/>
      <c r="G827" s="46"/>
      <c r="H827" s="46"/>
      <c r="I827" s="46"/>
      <c r="J827" s="46"/>
      <c r="K827" s="46"/>
      <c r="L827" s="46"/>
      <c r="M827" s="46"/>
      <c r="N827" s="46"/>
      <c r="O827" s="46"/>
      <c r="P827" s="46"/>
      <c r="Q827" s="46"/>
      <c r="R827" s="46"/>
      <c r="S827" s="46"/>
      <c r="T827" s="46"/>
      <c r="U827" s="46"/>
      <c r="V827" s="46"/>
      <c r="W827" s="46"/>
      <c r="X827" s="46"/>
      <c r="Y827" s="46"/>
      <c r="Z827" s="46"/>
      <c r="AA827" s="46"/>
      <c r="AB827" s="46"/>
      <c r="AC827" s="46"/>
      <c r="AD827" s="46"/>
    </row>
    <row r="828">
      <c r="A828" s="46"/>
      <c r="B828" s="46"/>
      <c r="C828" s="4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  <c r="S828" s="46"/>
      <c r="T828" s="46"/>
      <c r="U828" s="46"/>
      <c r="V828" s="46"/>
      <c r="W828" s="46"/>
      <c r="X828" s="46"/>
      <c r="Y828" s="46"/>
      <c r="Z828" s="46"/>
      <c r="AA828" s="46"/>
      <c r="AB828" s="46"/>
      <c r="AC828" s="46"/>
      <c r="AD828" s="46"/>
    </row>
    <row r="829">
      <c r="A829" s="46"/>
      <c r="B829" s="46"/>
      <c r="C829" s="46"/>
      <c r="D829" s="46"/>
      <c r="E829" s="46"/>
      <c r="F829" s="46"/>
      <c r="G829" s="46"/>
      <c r="H829" s="46"/>
      <c r="I829" s="46"/>
      <c r="J829" s="46"/>
      <c r="K829" s="46"/>
      <c r="L829" s="46"/>
      <c r="M829" s="46"/>
      <c r="N829" s="46"/>
      <c r="O829" s="46"/>
      <c r="P829" s="46"/>
      <c r="Q829" s="46"/>
      <c r="R829" s="46"/>
      <c r="S829" s="46"/>
      <c r="T829" s="46"/>
      <c r="U829" s="46"/>
      <c r="V829" s="46"/>
      <c r="W829" s="46"/>
      <c r="X829" s="46"/>
      <c r="Y829" s="46"/>
      <c r="Z829" s="46"/>
      <c r="AA829" s="46"/>
      <c r="AB829" s="46"/>
      <c r="AC829" s="46"/>
      <c r="AD829" s="46"/>
    </row>
    <row r="830">
      <c r="A830" s="46"/>
      <c r="B830" s="46"/>
      <c r="C830" s="46"/>
      <c r="D830" s="46"/>
      <c r="E830" s="46"/>
      <c r="F830" s="46"/>
      <c r="G830" s="46"/>
      <c r="H830" s="46"/>
      <c r="I830" s="46"/>
      <c r="J830" s="46"/>
      <c r="K830" s="46"/>
      <c r="L830" s="46"/>
      <c r="M830" s="46"/>
      <c r="N830" s="46"/>
      <c r="O830" s="46"/>
      <c r="P830" s="46"/>
      <c r="Q830" s="46"/>
      <c r="R830" s="46"/>
      <c r="S830" s="46"/>
      <c r="T830" s="46"/>
      <c r="U830" s="46"/>
      <c r="V830" s="46"/>
      <c r="W830" s="46"/>
      <c r="X830" s="46"/>
      <c r="Y830" s="46"/>
      <c r="Z830" s="46"/>
      <c r="AA830" s="46"/>
      <c r="AB830" s="46"/>
      <c r="AC830" s="46"/>
      <c r="AD830" s="46"/>
    </row>
    <row r="831">
      <c r="A831" s="46"/>
      <c r="B831" s="46"/>
      <c r="C831" s="46"/>
      <c r="D831" s="46"/>
      <c r="E831" s="46"/>
      <c r="F831" s="46"/>
      <c r="G831" s="46"/>
      <c r="H831" s="46"/>
      <c r="I831" s="46"/>
      <c r="J831" s="46"/>
      <c r="K831" s="46"/>
      <c r="L831" s="46"/>
      <c r="M831" s="46"/>
      <c r="N831" s="46"/>
      <c r="O831" s="46"/>
      <c r="P831" s="46"/>
      <c r="Q831" s="46"/>
      <c r="R831" s="46"/>
      <c r="S831" s="46"/>
      <c r="T831" s="46"/>
      <c r="U831" s="46"/>
      <c r="V831" s="46"/>
      <c r="W831" s="46"/>
      <c r="X831" s="46"/>
      <c r="Y831" s="46"/>
      <c r="Z831" s="46"/>
      <c r="AA831" s="46"/>
      <c r="AB831" s="46"/>
      <c r="AC831" s="46"/>
      <c r="AD831" s="46"/>
    </row>
    <row r="832">
      <c r="A832" s="46"/>
      <c r="B832" s="46"/>
      <c r="C832" s="4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  <c r="S832" s="46"/>
      <c r="T832" s="46"/>
      <c r="U832" s="46"/>
      <c r="V832" s="46"/>
      <c r="W832" s="46"/>
      <c r="X832" s="46"/>
      <c r="Y832" s="46"/>
      <c r="Z832" s="46"/>
      <c r="AA832" s="46"/>
      <c r="AB832" s="46"/>
      <c r="AC832" s="46"/>
      <c r="AD832" s="46"/>
    </row>
    <row r="833">
      <c r="A833" s="46"/>
      <c r="B833" s="46"/>
      <c r="C833" s="46"/>
      <c r="D833" s="46"/>
      <c r="E833" s="46"/>
      <c r="F833" s="46"/>
      <c r="G833" s="46"/>
      <c r="H833" s="46"/>
      <c r="I833" s="46"/>
      <c r="J833" s="46"/>
      <c r="K833" s="46"/>
      <c r="L833" s="46"/>
      <c r="M833" s="46"/>
      <c r="N833" s="46"/>
      <c r="O833" s="46"/>
      <c r="P833" s="46"/>
      <c r="Q833" s="46"/>
      <c r="R833" s="46"/>
      <c r="S833" s="46"/>
      <c r="T833" s="46"/>
      <c r="U833" s="46"/>
      <c r="V833" s="46"/>
      <c r="W833" s="46"/>
      <c r="X833" s="46"/>
      <c r="Y833" s="46"/>
      <c r="Z833" s="46"/>
      <c r="AA833" s="46"/>
      <c r="AB833" s="46"/>
      <c r="AC833" s="46"/>
      <c r="AD833" s="46"/>
    </row>
    <row r="834">
      <c r="A834" s="46"/>
      <c r="B834" s="46"/>
      <c r="C834" s="46"/>
      <c r="D834" s="46"/>
      <c r="E834" s="46"/>
      <c r="F834" s="46"/>
      <c r="G834" s="46"/>
      <c r="H834" s="46"/>
      <c r="I834" s="46"/>
      <c r="J834" s="46"/>
      <c r="K834" s="46"/>
      <c r="L834" s="46"/>
      <c r="M834" s="46"/>
      <c r="N834" s="46"/>
      <c r="O834" s="46"/>
      <c r="P834" s="46"/>
      <c r="Q834" s="46"/>
      <c r="R834" s="46"/>
      <c r="S834" s="46"/>
      <c r="T834" s="46"/>
      <c r="U834" s="46"/>
      <c r="V834" s="46"/>
      <c r="W834" s="46"/>
      <c r="X834" s="46"/>
      <c r="Y834" s="46"/>
      <c r="Z834" s="46"/>
      <c r="AA834" s="46"/>
      <c r="AB834" s="46"/>
      <c r="AC834" s="46"/>
      <c r="AD834" s="46"/>
    </row>
    <row r="835">
      <c r="A835" s="46"/>
      <c r="B835" s="46"/>
      <c r="C835" s="46"/>
      <c r="D835" s="46"/>
      <c r="E835" s="46"/>
      <c r="F835" s="46"/>
      <c r="G835" s="46"/>
      <c r="H835" s="46"/>
      <c r="I835" s="46"/>
      <c r="J835" s="46"/>
      <c r="K835" s="46"/>
      <c r="L835" s="46"/>
      <c r="M835" s="46"/>
      <c r="N835" s="46"/>
      <c r="O835" s="46"/>
      <c r="P835" s="46"/>
      <c r="Q835" s="46"/>
      <c r="R835" s="46"/>
      <c r="S835" s="46"/>
      <c r="T835" s="46"/>
      <c r="U835" s="46"/>
      <c r="V835" s="46"/>
      <c r="W835" s="46"/>
      <c r="X835" s="46"/>
      <c r="Y835" s="46"/>
      <c r="Z835" s="46"/>
      <c r="AA835" s="46"/>
      <c r="AB835" s="46"/>
      <c r="AC835" s="46"/>
      <c r="AD835" s="46"/>
    </row>
    <row r="836">
      <c r="A836" s="46"/>
      <c r="B836" s="46"/>
      <c r="C836" s="4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  <c r="S836" s="46"/>
      <c r="T836" s="46"/>
      <c r="U836" s="46"/>
      <c r="V836" s="46"/>
      <c r="W836" s="46"/>
      <c r="X836" s="46"/>
      <c r="Y836" s="46"/>
      <c r="Z836" s="46"/>
      <c r="AA836" s="46"/>
      <c r="AB836" s="46"/>
      <c r="AC836" s="46"/>
      <c r="AD836" s="46"/>
    </row>
    <row r="837">
      <c r="A837" s="46"/>
      <c r="B837" s="46"/>
      <c r="C837" s="46"/>
      <c r="D837" s="46"/>
      <c r="E837" s="46"/>
      <c r="F837" s="46"/>
      <c r="G837" s="46"/>
      <c r="H837" s="46"/>
      <c r="I837" s="46"/>
      <c r="J837" s="46"/>
      <c r="K837" s="46"/>
      <c r="L837" s="46"/>
      <c r="M837" s="46"/>
      <c r="N837" s="46"/>
      <c r="O837" s="46"/>
      <c r="P837" s="46"/>
      <c r="Q837" s="46"/>
      <c r="R837" s="46"/>
      <c r="S837" s="46"/>
      <c r="T837" s="46"/>
      <c r="U837" s="46"/>
      <c r="V837" s="46"/>
      <c r="W837" s="46"/>
      <c r="X837" s="46"/>
      <c r="Y837" s="46"/>
      <c r="Z837" s="46"/>
      <c r="AA837" s="46"/>
      <c r="AB837" s="46"/>
      <c r="AC837" s="46"/>
      <c r="AD837" s="46"/>
    </row>
    <row r="838">
      <c r="A838" s="46"/>
      <c r="B838" s="46"/>
      <c r="C838" s="46"/>
      <c r="D838" s="46"/>
      <c r="E838" s="46"/>
      <c r="F838" s="46"/>
      <c r="G838" s="46"/>
      <c r="H838" s="46"/>
      <c r="I838" s="46"/>
      <c r="J838" s="46"/>
      <c r="K838" s="46"/>
      <c r="L838" s="46"/>
      <c r="M838" s="46"/>
      <c r="N838" s="46"/>
      <c r="O838" s="46"/>
      <c r="P838" s="46"/>
      <c r="Q838" s="46"/>
      <c r="R838" s="46"/>
      <c r="S838" s="46"/>
      <c r="T838" s="46"/>
      <c r="U838" s="46"/>
      <c r="V838" s="46"/>
      <c r="W838" s="46"/>
      <c r="X838" s="46"/>
      <c r="Y838" s="46"/>
      <c r="Z838" s="46"/>
      <c r="AA838" s="46"/>
      <c r="AB838" s="46"/>
      <c r="AC838" s="46"/>
      <c r="AD838" s="46"/>
    </row>
    <row r="839">
      <c r="A839" s="46"/>
      <c r="B839" s="46"/>
      <c r="C839" s="46"/>
      <c r="D839" s="46"/>
      <c r="E839" s="46"/>
      <c r="F839" s="46"/>
      <c r="G839" s="46"/>
      <c r="H839" s="46"/>
      <c r="I839" s="46"/>
      <c r="J839" s="46"/>
      <c r="K839" s="46"/>
      <c r="L839" s="46"/>
      <c r="M839" s="46"/>
      <c r="N839" s="46"/>
      <c r="O839" s="46"/>
      <c r="P839" s="46"/>
      <c r="Q839" s="46"/>
      <c r="R839" s="46"/>
      <c r="S839" s="46"/>
      <c r="T839" s="46"/>
      <c r="U839" s="46"/>
      <c r="V839" s="46"/>
      <c r="W839" s="46"/>
      <c r="X839" s="46"/>
      <c r="Y839" s="46"/>
      <c r="Z839" s="46"/>
      <c r="AA839" s="46"/>
      <c r="AB839" s="46"/>
      <c r="AC839" s="46"/>
      <c r="AD839" s="46"/>
    </row>
    <row r="840">
      <c r="A840" s="46"/>
      <c r="B840" s="46"/>
      <c r="C840" s="4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  <c r="S840" s="46"/>
      <c r="T840" s="46"/>
      <c r="U840" s="46"/>
      <c r="V840" s="46"/>
      <c r="W840" s="46"/>
      <c r="X840" s="46"/>
      <c r="Y840" s="46"/>
      <c r="Z840" s="46"/>
      <c r="AA840" s="46"/>
      <c r="AB840" s="46"/>
      <c r="AC840" s="46"/>
      <c r="AD840" s="46"/>
    </row>
    <row r="841">
      <c r="A841" s="46"/>
      <c r="B841" s="46"/>
      <c r="C841" s="46"/>
      <c r="D841" s="46"/>
      <c r="E841" s="46"/>
      <c r="F841" s="46"/>
      <c r="G841" s="46"/>
      <c r="H841" s="46"/>
      <c r="I841" s="46"/>
      <c r="J841" s="46"/>
      <c r="K841" s="46"/>
      <c r="L841" s="46"/>
      <c r="M841" s="46"/>
      <c r="N841" s="46"/>
      <c r="O841" s="46"/>
      <c r="P841" s="46"/>
      <c r="Q841" s="46"/>
      <c r="R841" s="46"/>
      <c r="S841" s="46"/>
      <c r="T841" s="46"/>
      <c r="U841" s="46"/>
      <c r="V841" s="46"/>
      <c r="W841" s="46"/>
      <c r="X841" s="46"/>
      <c r="Y841" s="46"/>
      <c r="Z841" s="46"/>
      <c r="AA841" s="46"/>
      <c r="AB841" s="46"/>
      <c r="AC841" s="46"/>
      <c r="AD841" s="46"/>
    </row>
    <row r="842">
      <c r="A842" s="46"/>
      <c r="B842" s="46"/>
      <c r="C842" s="46"/>
      <c r="D842" s="46"/>
      <c r="E842" s="46"/>
      <c r="F842" s="46"/>
      <c r="G842" s="46"/>
      <c r="H842" s="46"/>
      <c r="I842" s="46"/>
      <c r="J842" s="46"/>
      <c r="K842" s="46"/>
      <c r="L842" s="46"/>
      <c r="M842" s="46"/>
      <c r="N842" s="46"/>
      <c r="O842" s="46"/>
      <c r="P842" s="46"/>
      <c r="Q842" s="46"/>
      <c r="R842" s="46"/>
      <c r="S842" s="46"/>
      <c r="T842" s="46"/>
      <c r="U842" s="46"/>
      <c r="V842" s="46"/>
      <c r="W842" s="46"/>
      <c r="X842" s="46"/>
      <c r="Y842" s="46"/>
      <c r="Z842" s="46"/>
      <c r="AA842" s="46"/>
      <c r="AB842" s="46"/>
      <c r="AC842" s="46"/>
      <c r="AD842" s="46"/>
    </row>
    <row r="843">
      <c r="A843" s="46"/>
      <c r="B843" s="46"/>
      <c r="C843" s="46"/>
      <c r="D843" s="46"/>
      <c r="E843" s="46"/>
      <c r="F843" s="46"/>
      <c r="G843" s="46"/>
      <c r="H843" s="46"/>
      <c r="I843" s="46"/>
      <c r="J843" s="46"/>
      <c r="K843" s="46"/>
      <c r="L843" s="46"/>
      <c r="M843" s="46"/>
      <c r="N843" s="46"/>
      <c r="O843" s="46"/>
      <c r="P843" s="46"/>
      <c r="Q843" s="46"/>
      <c r="R843" s="46"/>
      <c r="S843" s="46"/>
      <c r="T843" s="46"/>
      <c r="U843" s="46"/>
      <c r="V843" s="46"/>
      <c r="W843" s="46"/>
      <c r="X843" s="46"/>
      <c r="Y843" s="46"/>
      <c r="Z843" s="46"/>
      <c r="AA843" s="46"/>
      <c r="AB843" s="46"/>
      <c r="AC843" s="46"/>
      <c r="AD843" s="46"/>
    </row>
    <row r="844">
      <c r="A844" s="46"/>
      <c r="B844" s="46"/>
      <c r="C844" s="4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  <c r="S844" s="46"/>
      <c r="T844" s="46"/>
      <c r="U844" s="46"/>
      <c r="V844" s="46"/>
      <c r="W844" s="46"/>
      <c r="X844" s="46"/>
      <c r="Y844" s="46"/>
      <c r="Z844" s="46"/>
      <c r="AA844" s="46"/>
      <c r="AB844" s="46"/>
      <c r="AC844" s="46"/>
      <c r="AD844" s="46"/>
    </row>
    <row r="845">
      <c r="A845" s="46"/>
      <c r="B845" s="46"/>
      <c r="C845" s="46"/>
      <c r="D845" s="46"/>
      <c r="E845" s="46"/>
      <c r="F845" s="46"/>
      <c r="G845" s="46"/>
      <c r="H845" s="46"/>
      <c r="I845" s="46"/>
      <c r="J845" s="46"/>
      <c r="K845" s="46"/>
      <c r="L845" s="46"/>
      <c r="M845" s="46"/>
      <c r="N845" s="46"/>
      <c r="O845" s="46"/>
      <c r="P845" s="46"/>
      <c r="Q845" s="46"/>
      <c r="R845" s="46"/>
      <c r="S845" s="46"/>
      <c r="T845" s="46"/>
      <c r="U845" s="46"/>
      <c r="V845" s="46"/>
      <c r="W845" s="46"/>
      <c r="X845" s="46"/>
      <c r="Y845" s="46"/>
      <c r="Z845" s="46"/>
      <c r="AA845" s="46"/>
      <c r="AB845" s="46"/>
      <c r="AC845" s="46"/>
      <c r="AD845" s="46"/>
    </row>
    <row r="846">
      <c r="A846" s="46"/>
      <c r="B846" s="46"/>
      <c r="C846" s="46"/>
      <c r="D846" s="46"/>
      <c r="E846" s="46"/>
      <c r="F846" s="46"/>
      <c r="G846" s="46"/>
      <c r="H846" s="46"/>
      <c r="I846" s="46"/>
      <c r="J846" s="46"/>
      <c r="K846" s="46"/>
      <c r="L846" s="46"/>
      <c r="M846" s="46"/>
      <c r="N846" s="46"/>
      <c r="O846" s="46"/>
      <c r="P846" s="46"/>
      <c r="Q846" s="46"/>
      <c r="R846" s="46"/>
      <c r="S846" s="46"/>
      <c r="T846" s="46"/>
      <c r="U846" s="46"/>
      <c r="V846" s="46"/>
      <c r="W846" s="46"/>
      <c r="X846" s="46"/>
      <c r="Y846" s="46"/>
      <c r="Z846" s="46"/>
      <c r="AA846" s="46"/>
      <c r="AB846" s="46"/>
      <c r="AC846" s="46"/>
      <c r="AD846" s="46"/>
    </row>
    <row r="847">
      <c r="A847" s="46"/>
      <c r="B847" s="46"/>
      <c r="C847" s="46"/>
      <c r="D847" s="46"/>
      <c r="E847" s="46"/>
      <c r="F847" s="46"/>
      <c r="G847" s="46"/>
      <c r="H847" s="46"/>
      <c r="I847" s="46"/>
      <c r="J847" s="46"/>
      <c r="K847" s="46"/>
      <c r="L847" s="46"/>
      <c r="M847" s="46"/>
      <c r="N847" s="46"/>
      <c r="O847" s="46"/>
      <c r="P847" s="46"/>
      <c r="Q847" s="46"/>
      <c r="R847" s="46"/>
      <c r="S847" s="46"/>
      <c r="T847" s="46"/>
      <c r="U847" s="46"/>
      <c r="V847" s="46"/>
      <c r="W847" s="46"/>
      <c r="X847" s="46"/>
      <c r="Y847" s="46"/>
      <c r="Z847" s="46"/>
      <c r="AA847" s="46"/>
      <c r="AB847" s="46"/>
      <c r="AC847" s="46"/>
      <c r="AD847" s="46"/>
    </row>
    <row r="848">
      <c r="A848" s="46"/>
      <c r="B848" s="46"/>
      <c r="C848" s="4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  <c r="S848" s="46"/>
      <c r="T848" s="46"/>
      <c r="U848" s="46"/>
      <c r="V848" s="46"/>
      <c r="W848" s="46"/>
      <c r="X848" s="46"/>
      <c r="Y848" s="46"/>
      <c r="Z848" s="46"/>
      <c r="AA848" s="46"/>
      <c r="AB848" s="46"/>
      <c r="AC848" s="46"/>
      <c r="AD848" s="46"/>
    </row>
    <row r="849">
      <c r="A849" s="46"/>
      <c r="B849" s="46"/>
      <c r="C849" s="46"/>
      <c r="D849" s="46"/>
      <c r="E849" s="46"/>
      <c r="F849" s="46"/>
      <c r="G849" s="46"/>
      <c r="H849" s="46"/>
      <c r="I849" s="46"/>
      <c r="J849" s="46"/>
      <c r="K849" s="46"/>
      <c r="L849" s="46"/>
      <c r="M849" s="46"/>
      <c r="N849" s="46"/>
      <c r="O849" s="46"/>
      <c r="P849" s="46"/>
      <c r="Q849" s="46"/>
      <c r="R849" s="46"/>
      <c r="S849" s="46"/>
      <c r="T849" s="46"/>
      <c r="U849" s="46"/>
      <c r="V849" s="46"/>
      <c r="W849" s="46"/>
      <c r="X849" s="46"/>
      <c r="Y849" s="46"/>
      <c r="Z849" s="46"/>
      <c r="AA849" s="46"/>
      <c r="AB849" s="46"/>
      <c r="AC849" s="46"/>
      <c r="AD849" s="46"/>
    </row>
    <row r="850">
      <c r="A850" s="46"/>
      <c r="B850" s="46"/>
      <c r="C850" s="46"/>
      <c r="D850" s="46"/>
      <c r="E850" s="46"/>
      <c r="F850" s="46"/>
      <c r="G850" s="46"/>
      <c r="H850" s="46"/>
      <c r="I850" s="46"/>
      <c r="J850" s="46"/>
      <c r="K850" s="46"/>
      <c r="L850" s="46"/>
      <c r="M850" s="46"/>
      <c r="N850" s="46"/>
      <c r="O850" s="46"/>
      <c r="P850" s="46"/>
      <c r="Q850" s="46"/>
      <c r="R850" s="46"/>
      <c r="S850" s="46"/>
      <c r="T850" s="46"/>
      <c r="U850" s="46"/>
      <c r="V850" s="46"/>
      <c r="W850" s="46"/>
      <c r="X850" s="46"/>
      <c r="Y850" s="46"/>
      <c r="Z850" s="46"/>
      <c r="AA850" s="46"/>
      <c r="AB850" s="46"/>
      <c r="AC850" s="46"/>
      <c r="AD850" s="46"/>
    </row>
    <row r="851">
      <c r="A851" s="46"/>
      <c r="B851" s="46"/>
      <c r="C851" s="46"/>
      <c r="D851" s="46"/>
      <c r="E851" s="46"/>
      <c r="F851" s="46"/>
      <c r="G851" s="46"/>
      <c r="H851" s="46"/>
      <c r="I851" s="46"/>
      <c r="J851" s="46"/>
      <c r="K851" s="46"/>
      <c r="L851" s="46"/>
      <c r="M851" s="46"/>
      <c r="N851" s="46"/>
      <c r="O851" s="46"/>
      <c r="P851" s="46"/>
      <c r="Q851" s="46"/>
      <c r="R851" s="46"/>
      <c r="S851" s="46"/>
      <c r="T851" s="46"/>
      <c r="U851" s="46"/>
      <c r="V851" s="46"/>
      <c r="W851" s="46"/>
      <c r="X851" s="46"/>
      <c r="Y851" s="46"/>
      <c r="Z851" s="46"/>
      <c r="AA851" s="46"/>
      <c r="AB851" s="46"/>
      <c r="AC851" s="46"/>
      <c r="AD851" s="46"/>
    </row>
    <row r="852">
      <c r="A852" s="46"/>
      <c r="B852" s="46"/>
      <c r="C852" s="4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  <c r="S852" s="46"/>
      <c r="T852" s="46"/>
      <c r="U852" s="46"/>
      <c r="V852" s="46"/>
      <c r="W852" s="46"/>
      <c r="X852" s="46"/>
      <c r="Y852" s="46"/>
      <c r="Z852" s="46"/>
      <c r="AA852" s="46"/>
      <c r="AB852" s="46"/>
      <c r="AC852" s="46"/>
      <c r="AD852" s="46"/>
    </row>
    <row r="853">
      <c r="A853" s="46"/>
      <c r="B853" s="46"/>
      <c r="C853" s="46"/>
      <c r="D853" s="46"/>
      <c r="E853" s="46"/>
      <c r="F853" s="46"/>
      <c r="G853" s="46"/>
      <c r="H853" s="46"/>
      <c r="I853" s="46"/>
      <c r="J853" s="46"/>
      <c r="K853" s="46"/>
      <c r="L853" s="46"/>
      <c r="M853" s="46"/>
      <c r="N853" s="46"/>
      <c r="O853" s="46"/>
      <c r="P853" s="46"/>
      <c r="Q853" s="46"/>
      <c r="R853" s="46"/>
      <c r="S853" s="46"/>
      <c r="T853" s="46"/>
      <c r="U853" s="46"/>
      <c r="V853" s="46"/>
      <c r="W853" s="46"/>
      <c r="X853" s="46"/>
      <c r="Y853" s="46"/>
      <c r="Z853" s="46"/>
      <c r="AA853" s="46"/>
      <c r="AB853" s="46"/>
      <c r="AC853" s="46"/>
      <c r="AD853" s="46"/>
    </row>
    <row r="854">
      <c r="A854" s="46"/>
      <c r="B854" s="46"/>
      <c r="C854" s="46"/>
      <c r="D854" s="46"/>
      <c r="E854" s="46"/>
      <c r="F854" s="46"/>
      <c r="G854" s="46"/>
      <c r="H854" s="46"/>
      <c r="I854" s="46"/>
      <c r="J854" s="46"/>
      <c r="K854" s="46"/>
      <c r="L854" s="46"/>
      <c r="M854" s="46"/>
      <c r="N854" s="46"/>
      <c r="O854" s="46"/>
      <c r="P854" s="46"/>
      <c r="Q854" s="46"/>
      <c r="R854" s="46"/>
      <c r="S854" s="46"/>
      <c r="T854" s="46"/>
      <c r="U854" s="46"/>
      <c r="V854" s="46"/>
      <c r="W854" s="46"/>
      <c r="X854" s="46"/>
      <c r="Y854" s="46"/>
      <c r="Z854" s="46"/>
      <c r="AA854" s="46"/>
      <c r="AB854" s="46"/>
      <c r="AC854" s="46"/>
      <c r="AD854" s="46"/>
    </row>
    <row r="855">
      <c r="A855" s="46"/>
      <c r="B855" s="46"/>
      <c r="C855" s="46"/>
      <c r="D855" s="46"/>
      <c r="E855" s="46"/>
      <c r="F855" s="46"/>
      <c r="G855" s="46"/>
      <c r="H855" s="46"/>
      <c r="I855" s="46"/>
      <c r="J855" s="46"/>
      <c r="K855" s="46"/>
      <c r="L855" s="46"/>
      <c r="M855" s="46"/>
      <c r="N855" s="46"/>
      <c r="O855" s="46"/>
      <c r="P855" s="46"/>
      <c r="Q855" s="46"/>
      <c r="R855" s="46"/>
      <c r="S855" s="46"/>
      <c r="T855" s="46"/>
      <c r="U855" s="46"/>
      <c r="V855" s="46"/>
      <c r="W855" s="46"/>
      <c r="X855" s="46"/>
      <c r="Y855" s="46"/>
      <c r="Z855" s="46"/>
      <c r="AA855" s="46"/>
      <c r="AB855" s="46"/>
      <c r="AC855" s="46"/>
      <c r="AD855" s="46"/>
    </row>
    <row r="856">
      <c r="A856" s="46"/>
      <c r="B856" s="46"/>
      <c r="C856" s="4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  <c r="S856" s="46"/>
      <c r="T856" s="46"/>
      <c r="U856" s="46"/>
      <c r="V856" s="46"/>
      <c r="W856" s="46"/>
      <c r="X856" s="46"/>
      <c r="Y856" s="46"/>
      <c r="Z856" s="46"/>
      <c r="AA856" s="46"/>
      <c r="AB856" s="46"/>
      <c r="AC856" s="46"/>
      <c r="AD856" s="46"/>
    </row>
    <row r="857">
      <c r="A857" s="46"/>
      <c r="B857" s="46"/>
      <c r="C857" s="46"/>
      <c r="D857" s="46"/>
      <c r="E857" s="46"/>
      <c r="F857" s="46"/>
      <c r="G857" s="46"/>
      <c r="H857" s="46"/>
      <c r="I857" s="46"/>
      <c r="J857" s="46"/>
      <c r="K857" s="46"/>
      <c r="L857" s="46"/>
      <c r="M857" s="46"/>
      <c r="N857" s="46"/>
      <c r="O857" s="46"/>
      <c r="P857" s="46"/>
      <c r="Q857" s="46"/>
      <c r="R857" s="46"/>
      <c r="S857" s="46"/>
      <c r="T857" s="46"/>
      <c r="U857" s="46"/>
      <c r="V857" s="46"/>
      <c r="W857" s="46"/>
      <c r="X857" s="46"/>
      <c r="Y857" s="46"/>
      <c r="Z857" s="46"/>
      <c r="AA857" s="46"/>
      <c r="AB857" s="46"/>
      <c r="AC857" s="46"/>
      <c r="AD857" s="46"/>
    </row>
    <row r="858">
      <c r="A858" s="46"/>
      <c r="B858" s="46"/>
      <c r="C858" s="46"/>
      <c r="D858" s="46"/>
      <c r="E858" s="46"/>
      <c r="F858" s="46"/>
      <c r="G858" s="46"/>
      <c r="H858" s="46"/>
      <c r="I858" s="46"/>
      <c r="J858" s="46"/>
      <c r="K858" s="46"/>
      <c r="L858" s="46"/>
      <c r="M858" s="46"/>
      <c r="N858" s="46"/>
      <c r="O858" s="46"/>
      <c r="P858" s="46"/>
      <c r="Q858" s="46"/>
      <c r="R858" s="46"/>
      <c r="S858" s="46"/>
      <c r="T858" s="46"/>
      <c r="U858" s="46"/>
      <c r="V858" s="46"/>
      <c r="W858" s="46"/>
      <c r="X858" s="46"/>
      <c r="Y858" s="46"/>
      <c r="Z858" s="46"/>
      <c r="AA858" s="46"/>
      <c r="AB858" s="46"/>
      <c r="AC858" s="46"/>
      <c r="AD858" s="46"/>
    </row>
    <row r="859">
      <c r="A859" s="46"/>
      <c r="B859" s="46"/>
      <c r="C859" s="46"/>
      <c r="D859" s="46"/>
      <c r="E859" s="46"/>
      <c r="F859" s="46"/>
      <c r="G859" s="46"/>
      <c r="H859" s="46"/>
      <c r="I859" s="46"/>
      <c r="J859" s="46"/>
      <c r="K859" s="46"/>
      <c r="L859" s="46"/>
      <c r="M859" s="46"/>
      <c r="N859" s="46"/>
      <c r="O859" s="46"/>
      <c r="P859" s="46"/>
      <c r="Q859" s="46"/>
      <c r="R859" s="46"/>
      <c r="S859" s="46"/>
      <c r="T859" s="46"/>
      <c r="U859" s="46"/>
      <c r="V859" s="46"/>
      <c r="W859" s="46"/>
      <c r="X859" s="46"/>
      <c r="Y859" s="46"/>
      <c r="Z859" s="46"/>
      <c r="AA859" s="46"/>
      <c r="AB859" s="46"/>
      <c r="AC859" s="46"/>
      <c r="AD859" s="46"/>
    </row>
    <row r="860">
      <c r="A860" s="46"/>
      <c r="B860" s="46"/>
      <c r="C860" s="4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  <c r="S860" s="46"/>
      <c r="T860" s="46"/>
      <c r="U860" s="46"/>
      <c r="V860" s="46"/>
      <c r="W860" s="46"/>
      <c r="X860" s="46"/>
      <c r="Y860" s="46"/>
      <c r="Z860" s="46"/>
      <c r="AA860" s="46"/>
      <c r="AB860" s="46"/>
      <c r="AC860" s="46"/>
      <c r="AD860" s="46"/>
    </row>
    <row r="861">
      <c r="A861" s="46"/>
      <c r="B861" s="46"/>
      <c r="C861" s="46"/>
      <c r="D861" s="46"/>
      <c r="E861" s="46"/>
      <c r="F861" s="46"/>
      <c r="G861" s="46"/>
      <c r="H861" s="46"/>
      <c r="I861" s="46"/>
      <c r="J861" s="46"/>
      <c r="K861" s="46"/>
      <c r="L861" s="46"/>
      <c r="M861" s="46"/>
      <c r="N861" s="46"/>
      <c r="O861" s="46"/>
      <c r="P861" s="46"/>
      <c r="Q861" s="46"/>
      <c r="R861" s="46"/>
      <c r="S861" s="46"/>
      <c r="T861" s="46"/>
      <c r="U861" s="46"/>
      <c r="V861" s="46"/>
      <c r="W861" s="46"/>
      <c r="X861" s="46"/>
      <c r="Y861" s="46"/>
      <c r="Z861" s="46"/>
      <c r="AA861" s="46"/>
      <c r="AB861" s="46"/>
      <c r="AC861" s="46"/>
      <c r="AD861" s="46"/>
    </row>
    <row r="862">
      <c r="A862" s="46"/>
      <c r="B862" s="46"/>
      <c r="C862" s="46"/>
      <c r="D862" s="46"/>
      <c r="E862" s="46"/>
      <c r="F862" s="46"/>
      <c r="G862" s="46"/>
      <c r="H862" s="46"/>
      <c r="I862" s="46"/>
      <c r="J862" s="46"/>
      <c r="K862" s="46"/>
      <c r="L862" s="46"/>
      <c r="M862" s="46"/>
      <c r="N862" s="46"/>
      <c r="O862" s="46"/>
      <c r="P862" s="46"/>
      <c r="Q862" s="46"/>
      <c r="R862" s="46"/>
      <c r="S862" s="46"/>
      <c r="T862" s="46"/>
      <c r="U862" s="46"/>
      <c r="V862" s="46"/>
      <c r="W862" s="46"/>
      <c r="X862" s="46"/>
      <c r="Y862" s="46"/>
      <c r="Z862" s="46"/>
      <c r="AA862" s="46"/>
      <c r="AB862" s="46"/>
      <c r="AC862" s="46"/>
      <c r="AD862" s="46"/>
    </row>
    <row r="863">
      <c r="A863" s="46"/>
      <c r="B863" s="46"/>
      <c r="C863" s="46"/>
      <c r="D863" s="46"/>
      <c r="E863" s="46"/>
      <c r="F863" s="46"/>
      <c r="G863" s="46"/>
      <c r="H863" s="46"/>
      <c r="I863" s="46"/>
      <c r="J863" s="46"/>
      <c r="K863" s="46"/>
      <c r="L863" s="46"/>
      <c r="M863" s="46"/>
      <c r="N863" s="46"/>
      <c r="O863" s="46"/>
      <c r="P863" s="46"/>
      <c r="Q863" s="46"/>
      <c r="R863" s="46"/>
      <c r="S863" s="46"/>
      <c r="T863" s="46"/>
      <c r="U863" s="46"/>
      <c r="V863" s="46"/>
      <c r="W863" s="46"/>
      <c r="X863" s="46"/>
      <c r="Y863" s="46"/>
      <c r="Z863" s="46"/>
      <c r="AA863" s="46"/>
      <c r="AB863" s="46"/>
      <c r="AC863" s="46"/>
      <c r="AD863" s="46"/>
    </row>
    <row r="864">
      <c r="A864" s="46"/>
      <c r="B864" s="46"/>
      <c r="C864" s="4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  <c r="S864" s="46"/>
      <c r="T864" s="46"/>
      <c r="U864" s="46"/>
      <c r="V864" s="46"/>
      <c r="W864" s="46"/>
      <c r="X864" s="46"/>
      <c r="Y864" s="46"/>
      <c r="Z864" s="46"/>
      <c r="AA864" s="46"/>
      <c r="AB864" s="46"/>
      <c r="AC864" s="46"/>
      <c r="AD864" s="46"/>
    </row>
    <row r="865">
      <c r="A865" s="46"/>
      <c r="B865" s="46"/>
      <c r="C865" s="46"/>
      <c r="D865" s="46"/>
      <c r="E865" s="46"/>
      <c r="F865" s="46"/>
      <c r="G865" s="46"/>
      <c r="H865" s="46"/>
      <c r="I865" s="46"/>
      <c r="J865" s="46"/>
      <c r="K865" s="46"/>
      <c r="L865" s="46"/>
      <c r="M865" s="46"/>
      <c r="N865" s="46"/>
      <c r="O865" s="46"/>
      <c r="P865" s="46"/>
      <c r="Q865" s="46"/>
      <c r="R865" s="46"/>
      <c r="S865" s="46"/>
      <c r="T865" s="46"/>
      <c r="U865" s="46"/>
      <c r="V865" s="46"/>
      <c r="W865" s="46"/>
      <c r="X865" s="46"/>
      <c r="Y865" s="46"/>
      <c r="Z865" s="46"/>
      <c r="AA865" s="46"/>
      <c r="AB865" s="46"/>
      <c r="AC865" s="46"/>
      <c r="AD865" s="46"/>
    </row>
    <row r="866">
      <c r="A866" s="46"/>
      <c r="B866" s="46"/>
      <c r="C866" s="46"/>
      <c r="D866" s="46"/>
      <c r="E866" s="46"/>
      <c r="F866" s="46"/>
      <c r="G866" s="46"/>
      <c r="H866" s="46"/>
      <c r="I866" s="46"/>
      <c r="J866" s="46"/>
      <c r="K866" s="46"/>
      <c r="L866" s="46"/>
      <c r="M866" s="46"/>
      <c r="N866" s="46"/>
      <c r="O866" s="46"/>
      <c r="P866" s="46"/>
      <c r="Q866" s="46"/>
      <c r="R866" s="46"/>
      <c r="S866" s="46"/>
      <c r="T866" s="46"/>
      <c r="U866" s="46"/>
      <c r="V866" s="46"/>
      <c r="W866" s="46"/>
      <c r="X866" s="46"/>
      <c r="Y866" s="46"/>
      <c r="Z866" s="46"/>
      <c r="AA866" s="46"/>
      <c r="AB866" s="46"/>
      <c r="AC866" s="46"/>
      <c r="AD866" s="46"/>
    </row>
    <row r="867">
      <c r="A867" s="46"/>
      <c r="B867" s="46"/>
      <c r="C867" s="46"/>
      <c r="D867" s="46"/>
      <c r="E867" s="46"/>
      <c r="F867" s="46"/>
      <c r="G867" s="46"/>
      <c r="H867" s="46"/>
      <c r="I867" s="46"/>
      <c r="J867" s="46"/>
      <c r="K867" s="46"/>
      <c r="L867" s="46"/>
      <c r="M867" s="46"/>
      <c r="N867" s="46"/>
      <c r="O867" s="46"/>
      <c r="P867" s="46"/>
      <c r="Q867" s="46"/>
      <c r="R867" s="46"/>
      <c r="S867" s="46"/>
      <c r="T867" s="46"/>
      <c r="U867" s="46"/>
      <c r="V867" s="46"/>
      <c r="W867" s="46"/>
      <c r="X867" s="46"/>
      <c r="Y867" s="46"/>
      <c r="Z867" s="46"/>
      <c r="AA867" s="46"/>
      <c r="AB867" s="46"/>
      <c r="AC867" s="46"/>
      <c r="AD867" s="46"/>
    </row>
    <row r="868">
      <c r="A868" s="46"/>
      <c r="B868" s="46"/>
      <c r="C868" s="4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  <c r="S868" s="46"/>
      <c r="T868" s="46"/>
      <c r="U868" s="46"/>
      <c r="V868" s="46"/>
      <c r="W868" s="46"/>
      <c r="X868" s="46"/>
      <c r="Y868" s="46"/>
      <c r="Z868" s="46"/>
      <c r="AA868" s="46"/>
      <c r="AB868" s="46"/>
      <c r="AC868" s="46"/>
      <c r="AD868" s="46"/>
    </row>
    <row r="869">
      <c r="A869" s="46"/>
      <c r="B869" s="46"/>
      <c r="C869" s="46"/>
      <c r="D869" s="46"/>
      <c r="E869" s="46"/>
      <c r="F869" s="46"/>
      <c r="G869" s="46"/>
      <c r="H869" s="46"/>
      <c r="I869" s="46"/>
      <c r="J869" s="46"/>
      <c r="K869" s="46"/>
      <c r="L869" s="46"/>
      <c r="M869" s="46"/>
      <c r="N869" s="46"/>
      <c r="O869" s="46"/>
      <c r="P869" s="46"/>
      <c r="Q869" s="46"/>
      <c r="R869" s="46"/>
      <c r="S869" s="46"/>
      <c r="T869" s="46"/>
      <c r="U869" s="46"/>
      <c r="V869" s="46"/>
      <c r="W869" s="46"/>
      <c r="X869" s="46"/>
      <c r="Y869" s="46"/>
      <c r="Z869" s="46"/>
      <c r="AA869" s="46"/>
      <c r="AB869" s="46"/>
      <c r="AC869" s="46"/>
      <c r="AD869" s="46"/>
    </row>
    <row r="870">
      <c r="A870" s="46"/>
      <c r="B870" s="46"/>
      <c r="C870" s="46"/>
      <c r="D870" s="46"/>
      <c r="E870" s="46"/>
      <c r="F870" s="46"/>
      <c r="G870" s="46"/>
      <c r="H870" s="46"/>
      <c r="I870" s="46"/>
      <c r="J870" s="46"/>
      <c r="K870" s="46"/>
      <c r="L870" s="46"/>
      <c r="M870" s="46"/>
      <c r="N870" s="46"/>
      <c r="O870" s="46"/>
      <c r="P870" s="46"/>
      <c r="Q870" s="46"/>
      <c r="R870" s="46"/>
      <c r="S870" s="46"/>
      <c r="T870" s="46"/>
      <c r="U870" s="46"/>
      <c r="V870" s="46"/>
      <c r="W870" s="46"/>
      <c r="X870" s="46"/>
      <c r="Y870" s="46"/>
      <c r="Z870" s="46"/>
      <c r="AA870" s="46"/>
      <c r="AB870" s="46"/>
      <c r="AC870" s="46"/>
      <c r="AD870" s="46"/>
    </row>
    <row r="871">
      <c r="A871" s="46"/>
      <c r="B871" s="46"/>
      <c r="C871" s="46"/>
      <c r="D871" s="46"/>
      <c r="E871" s="46"/>
      <c r="F871" s="46"/>
      <c r="G871" s="46"/>
      <c r="H871" s="46"/>
      <c r="I871" s="46"/>
      <c r="J871" s="46"/>
      <c r="K871" s="46"/>
      <c r="L871" s="46"/>
      <c r="M871" s="46"/>
      <c r="N871" s="46"/>
      <c r="O871" s="46"/>
      <c r="P871" s="46"/>
      <c r="Q871" s="46"/>
      <c r="R871" s="46"/>
      <c r="S871" s="46"/>
      <c r="T871" s="46"/>
      <c r="U871" s="46"/>
      <c r="V871" s="46"/>
      <c r="W871" s="46"/>
      <c r="X871" s="46"/>
      <c r="Y871" s="46"/>
      <c r="Z871" s="46"/>
      <c r="AA871" s="46"/>
      <c r="AB871" s="46"/>
      <c r="AC871" s="46"/>
      <c r="AD871" s="46"/>
    </row>
    <row r="872">
      <c r="A872" s="46"/>
      <c r="B872" s="46"/>
      <c r="C872" s="4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  <c r="S872" s="46"/>
      <c r="T872" s="46"/>
      <c r="U872" s="46"/>
      <c r="V872" s="46"/>
      <c r="W872" s="46"/>
      <c r="X872" s="46"/>
      <c r="Y872" s="46"/>
      <c r="Z872" s="46"/>
      <c r="AA872" s="46"/>
      <c r="AB872" s="46"/>
      <c r="AC872" s="46"/>
      <c r="AD872" s="46"/>
    </row>
    <row r="873">
      <c r="A873" s="46"/>
      <c r="B873" s="46"/>
      <c r="C873" s="46"/>
      <c r="D873" s="46"/>
      <c r="E873" s="46"/>
      <c r="F873" s="46"/>
      <c r="G873" s="46"/>
      <c r="H873" s="46"/>
      <c r="I873" s="46"/>
      <c r="J873" s="46"/>
      <c r="K873" s="46"/>
      <c r="L873" s="46"/>
      <c r="M873" s="46"/>
      <c r="N873" s="46"/>
      <c r="O873" s="46"/>
      <c r="P873" s="46"/>
      <c r="Q873" s="46"/>
      <c r="R873" s="46"/>
      <c r="S873" s="46"/>
      <c r="T873" s="46"/>
      <c r="U873" s="46"/>
      <c r="V873" s="46"/>
      <c r="W873" s="46"/>
      <c r="X873" s="46"/>
      <c r="Y873" s="46"/>
      <c r="Z873" s="46"/>
      <c r="AA873" s="46"/>
      <c r="AB873" s="46"/>
      <c r="AC873" s="46"/>
      <c r="AD873" s="46"/>
    </row>
    <row r="874">
      <c r="A874" s="46"/>
      <c r="B874" s="46"/>
      <c r="C874" s="46"/>
      <c r="D874" s="46"/>
      <c r="E874" s="46"/>
      <c r="F874" s="46"/>
      <c r="G874" s="46"/>
      <c r="H874" s="46"/>
      <c r="I874" s="46"/>
      <c r="J874" s="46"/>
      <c r="K874" s="46"/>
      <c r="L874" s="46"/>
      <c r="M874" s="46"/>
      <c r="N874" s="46"/>
      <c r="O874" s="46"/>
      <c r="P874" s="46"/>
      <c r="Q874" s="46"/>
      <c r="R874" s="46"/>
      <c r="S874" s="46"/>
      <c r="T874" s="46"/>
      <c r="U874" s="46"/>
      <c r="V874" s="46"/>
      <c r="W874" s="46"/>
      <c r="X874" s="46"/>
      <c r="Y874" s="46"/>
      <c r="Z874" s="46"/>
      <c r="AA874" s="46"/>
      <c r="AB874" s="46"/>
      <c r="AC874" s="46"/>
      <c r="AD874" s="46"/>
    </row>
    <row r="875">
      <c r="A875" s="46"/>
      <c r="B875" s="46"/>
      <c r="C875" s="46"/>
      <c r="D875" s="46"/>
      <c r="E875" s="46"/>
      <c r="F875" s="46"/>
      <c r="G875" s="46"/>
      <c r="H875" s="46"/>
      <c r="I875" s="46"/>
      <c r="J875" s="46"/>
      <c r="K875" s="46"/>
      <c r="L875" s="46"/>
      <c r="M875" s="46"/>
      <c r="N875" s="46"/>
      <c r="O875" s="46"/>
      <c r="P875" s="46"/>
      <c r="Q875" s="46"/>
      <c r="R875" s="46"/>
      <c r="S875" s="46"/>
      <c r="T875" s="46"/>
      <c r="U875" s="46"/>
      <c r="V875" s="46"/>
      <c r="W875" s="46"/>
      <c r="X875" s="46"/>
      <c r="Y875" s="46"/>
      <c r="Z875" s="46"/>
      <c r="AA875" s="46"/>
      <c r="AB875" s="46"/>
      <c r="AC875" s="46"/>
      <c r="AD875" s="46"/>
    </row>
    <row r="876">
      <c r="A876" s="46"/>
      <c r="B876" s="46"/>
      <c r="C876" s="4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  <c r="S876" s="46"/>
      <c r="T876" s="46"/>
      <c r="U876" s="46"/>
      <c r="V876" s="46"/>
      <c r="W876" s="46"/>
      <c r="X876" s="46"/>
      <c r="Y876" s="46"/>
      <c r="Z876" s="46"/>
      <c r="AA876" s="46"/>
      <c r="AB876" s="46"/>
      <c r="AC876" s="46"/>
      <c r="AD876" s="46"/>
    </row>
    <row r="877">
      <c r="A877" s="46"/>
      <c r="B877" s="46"/>
      <c r="C877" s="46"/>
      <c r="D877" s="46"/>
      <c r="E877" s="46"/>
      <c r="F877" s="46"/>
      <c r="G877" s="46"/>
      <c r="H877" s="46"/>
      <c r="I877" s="46"/>
      <c r="J877" s="46"/>
      <c r="K877" s="46"/>
      <c r="L877" s="46"/>
      <c r="M877" s="46"/>
      <c r="N877" s="46"/>
      <c r="O877" s="46"/>
      <c r="P877" s="46"/>
      <c r="Q877" s="46"/>
      <c r="R877" s="46"/>
      <c r="S877" s="46"/>
      <c r="T877" s="46"/>
      <c r="U877" s="46"/>
      <c r="V877" s="46"/>
      <c r="W877" s="46"/>
      <c r="X877" s="46"/>
      <c r="Y877" s="46"/>
      <c r="Z877" s="46"/>
      <c r="AA877" s="46"/>
      <c r="AB877" s="46"/>
      <c r="AC877" s="46"/>
      <c r="AD877" s="46"/>
    </row>
    <row r="878">
      <c r="A878" s="46"/>
      <c r="B878" s="46"/>
      <c r="C878" s="46"/>
      <c r="D878" s="46"/>
      <c r="E878" s="46"/>
      <c r="F878" s="46"/>
      <c r="G878" s="46"/>
      <c r="H878" s="46"/>
      <c r="I878" s="46"/>
      <c r="J878" s="46"/>
      <c r="K878" s="46"/>
      <c r="L878" s="46"/>
      <c r="M878" s="46"/>
      <c r="N878" s="46"/>
      <c r="O878" s="46"/>
      <c r="P878" s="46"/>
      <c r="Q878" s="46"/>
      <c r="R878" s="46"/>
      <c r="S878" s="46"/>
      <c r="T878" s="46"/>
      <c r="U878" s="46"/>
      <c r="V878" s="46"/>
      <c r="W878" s="46"/>
      <c r="X878" s="46"/>
      <c r="Y878" s="46"/>
      <c r="Z878" s="46"/>
      <c r="AA878" s="46"/>
      <c r="AB878" s="46"/>
      <c r="AC878" s="46"/>
      <c r="AD878" s="46"/>
    </row>
    <row r="879">
      <c r="A879" s="46"/>
      <c r="B879" s="46"/>
      <c r="C879" s="46"/>
      <c r="D879" s="46"/>
      <c r="E879" s="46"/>
      <c r="F879" s="46"/>
      <c r="G879" s="46"/>
      <c r="H879" s="46"/>
      <c r="I879" s="46"/>
      <c r="J879" s="46"/>
      <c r="K879" s="46"/>
      <c r="L879" s="46"/>
      <c r="M879" s="46"/>
      <c r="N879" s="46"/>
      <c r="O879" s="46"/>
      <c r="P879" s="46"/>
      <c r="Q879" s="46"/>
      <c r="R879" s="46"/>
      <c r="S879" s="46"/>
      <c r="T879" s="46"/>
      <c r="U879" s="46"/>
      <c r="V879" s="46"/>
      <c r="W879" s="46"/>
      <c r="X879" s="46"/>
      <c r="Y879" s="46"/>
      <c r="Z879" s="46"/>
      <c r="AA879" s="46"/>
      <c r="AB879" s="46"/>
      <c r="AC879" s="46"/>
      <c r="AD879" s="46"/>
    </row>
    <row r="880">
      <c r="A880" s="46"/>
      <c r="B880" s="46"/>
      <c r="C880" s="4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  <c r="S880" s="46"/>
      <c r="T880" s="46"/>
      <c r="U880" s="46"/>
      <c r="V880" s="46"/>
      <c r="W880" s="46"/>
      <c r="X880" s="46"/>
      <c r="Y880" s="46"/>
      <c r="Z880" s="46"/>
      <c r="AA880" s="46"/>
      <c r="AB880" s="46"/>
      <c r="AC880" s="46"/>
      <c r="AD880" s="46"/>
    </row>
    <row r="881">
      <c r="A881" s="46"/>
      <c r="B881" s="46"/>
      <c r="C881" s="46"/>
      <c r="D881" s="46"/>
      <c r="E881" s="46"/>
      <c r="F881" s="46"/>
      <c r="G881" s="46"/>
      <c r="H881" s="46"/>
      <c r="I881" s="46"/>
      <c r="J881" s="46"/>
      <c r="K881" s="46"/>
      <c r="L881" s="46"/>
      <c r="M881" s="46"/>
      <c r="N881" s="46"/>
      <c r="O881" s="46"/>
      <c r="P881" s="46"/>
      <c r="Q881" s="46"/>
      <c r="R881" s="46"/>
      <c r="S881" s="46"/>
      <c r="T881" s="46"/>
      <c r="U881" s="46"/>
      <c r="V881" s="46"/>
      <c r="W881" s="46"/>
      <c r="X881" s="46"/>
      <c r="Y881" s="46"/>
      <c r="Z881" s="46"/>
      <c r="AA881" s="46"/>
      <c r="AB881" s="46"/>
      <c r="AC881" s="46"/>
      <c r="AD881" s="46"/>
    </row>
    <row r="882">
      <c r="A882" s="46"/>
      <c r="B882" s="46"/>
      <c r="C882" s="46"/>
      <c r="D882" s="46"/>
      <c r="E882" s="46"/>
      <c r="F882" s="46"/>
      <c r="G882" s="46"/>
      <c r="H882" s="46"/>
      <c r="I882" s="46"/>
      <c r="J882" s="46"/>
      <c r="K882" s="46"/>
      <c r="L882" s="46"/>
      <c r="M882" s="46"/>
      <c r="N882" s="46"/>
      <c r="O882" s="46"/>
      <c r="P882" s="46"/>
      <c r="Q882" s="46"/>
      <c r="R882" s="46"/>
      <c r="S882" s="46"/>
      <c r="T882" s="46"/>
      <c r="U882" s="46"/>
      <c r="V882" s="46"/>
      <c r="W882" s="46"/>
      <c r="X882" s="46"/>
      <c r="Y882" s="46"/>
      <c r="Z882" s="46"/>
      <c r="AA882" s="46"/>
      <c r="AB882" s="46"/>
      <c r="AC882" s="46"/>
      <c r="AD882" s="46"/>
    </row>
    <row r="883">
      <c r="A883" s="46"/>
      <c r="B883" s="46"/>
      <c r="C883" s="46"/>
      <c r="D883" s="46"/>
      <c r="E883" s="46"/>
      <c r="F883" s="46"/>
      <c r="G883" s="46"/>
      <c r="H883" s="46"/>
      <c r="I883" s="46"/>
      <c r="J883" s="46"/>
      <c r="K883" s="46"/>
      <c r="L883" s="46"/>
      <c r="M883" s="46"/>
      <c r="N883" s="46"/>
      <c r="O883" s="46"/>
      <c r="P883" s="46"/>
      <c r="Q883" s="46"/>
      <c r="R883" s="46"/>
      <c r="S883" s="46"/>
      <c r="T883" s="46"/>
      <c r="U883" s="46"/>
      <c r="V883" s="46"/>
      <c r="W883" s="46"/>
      <c r="X883" s="46"/>
      <c r="Y883" s="46"/>
      <c r="Z883" s="46"/>
      <c r="AA883" s="46"/>
      <c r="AB883" s="46"/>
      <c r="AC883" s="46"/>
      <c r="AD883" s="46"/>
    </row>
    <row r="884">
      <c r="A884" s="46"/>
      <c r="B884" s="46"/>
      <c r="C884" s="4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  <c r="S884" s="46"/>
      <c r="T884" s="46"/>
      <c r="U884" s="46"/>
      <c r="V884" s="46"/>
      <c r="W884" s="46"/>
      <c r="X884" s="46"/>
      <c r="Y884" s="46"/>
      <c r="Z884" s="46"/>
      <c r="AA884" s="46"/>
      <c r="AB884" s="46"/>
      <c r="AC884" s="46"/>
      <c r="AD884" s="46"/>
    </row>
    <row r="885">
      <c r="A885" s="46"/>
      <c r="B885" s="46"/>
      <c r="C885" s="46"/>
      <c r="D885" s="46"/>
      <c r="E885" s="46"/>
      <c r="F885" s="46"/>
      <c r="G885" s="46"/>
      <c r="H885" s="46"/>
      <c r="I885" s="46"/>
      <c r="J885" s="46"/>
      <c r="K885" s="46"/>
      <c r="L885" s="46"/>
      <c r="M885" s="46"/>
      <c r="N885" s="46"/>
      <c r="O885" s="46"/>
      <c r="P885" s="46"/>
      <c r="Q885" s="46"/>
      <c r="R885" s="46"/>
      <c r="S885" s="46"/>
      <c r="T885" s="46"/>
      <c r="U885" s="46"/>
      <c r="V885" s="46"/>
      <c r="W885" s="46"/>
      <c r="X885" s="46"/>
      <c r="Y885" s="46"/>
      <c r="Z885" s="46"/>
      <c r="AA885" s="46"/>
      <c r="AB885" s="46"/>
      <c r="AC885" s="46"/>
      <c r="AD885" s="46"/>
    </row>
    <row r="886">
      <c r="A886" s="46"/>
      <c r="B886" s="46"/>
      <c r="C886" s="46"/>
      <c r="D886" s="46"/>
      <c r="E886" s="46"/>
      <c r="F886" s="46"/>
      <c r="G886" s="46"/>
      <c r="H886" s="46"/>
      <c r="I886" s="46"/>
      <c r="J886" s="46"/>
      <c r="K886" s="46"/>
      <c r="L886" s="46"/>
      <c r="M886" s="46"/>
      <c r="N886" s="46"/>
      <c r="O886" s="46"/>
      <c r="P886" s="46"/>
      <c r="Q886" s="46"/>
      <c r="R886" s="46"/>
      <c r="S886" s="46"/>
      <c r="T886" s="46"/>
      <c r="U886" s="46"/>
      <c r="V886" s="46"/>
      <c r="W886" s="46"/>
      <c r="X886" s="46"/>
      <c r="Y886" s="46"/>
      <c r="Z886" s="46"/>
      <c r="AA886" s="46"/>
      <c r="AB886" s="46"/>
      <c r="AC886" s="46"/>
      <c r="AD886" s="46"/>
    </row>
    <row r="887">
      <c r="A887" s="46"/>
      <c r="B887" s="46"/>
      <c r="C887" s="46"/>
      <c r="D887" s="46"/>
      <c r="E887" s="46"/>
      <c r="F887" s="46"/>
      <c r="G887" s="46"/>
      <c r="H887" s="46"/>
      <c r="I887" s="46"/>
      <c r="J887" s="46"/>
      <c r="K887" s="46"/>
      <c r="L887" s="46"/>
      <c r="M887" s="46"/>
      <c r="N887" s="46"/>
      <c r="O887" s="46"/>
      <c r="P887" s="46"/>
      <c r="Q887" s="46"/>
      <c r="R887" s="46"/>
      <c r="S887" s="46"/>
      <c r="T887" s="46"/>
      <c r="U887" s="46"/>
      <c r="V887" s="46"/>
      <c r="W887" s="46"/>
      <c r="X887" s="46"/>
      <c r="Y887" s="46"/>
      <c r="Z887" s="46"/>
      <c r="AA887" s="46"/>
      <c r="AB887" s="46"/>
      <c r="AC887" s="46"/>
      <c r="AD887" s="46"/>
    </row>
    <row r="888">
      <c r="A888" s="46"/>
      <c r="B888" s="46"/>
      <c r="C888" s="4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  <c r="S888" s="46"/>
      <c r="T888" s="46"/>
      <c r="U888" s="46"/>
      <c r="V888" s="46"/>
      <c r="W888" s="46"/>
      <c r="X888" s="46"/>
      <c r="Y888" s="46"/>
      <c r="Z888" s="46"/>
      <c r="AA888" s="46"/>
      <c r="AB888" s="46"/>
      <c r="AC888" s="46"/>
      <c r="AD888" s="46"/>
    </row>
    <row r="889">
      <c r="A889" s="46"/>
      <c r="B889" s="46"/>
      <c r="C889" s="46"/>
      <c r="D889" s="46"/>
      <c r="E889" s="46"/>
      <c r="F889" s="46"/>
      <c r="G889" s="46"/>
      <c r="H889" s="46"/>
      <c r="I889" s="46"/>
      <c r="J889" s="46"/>
      <c r="K889" s="46"/>
      <c r="L889" s="46"/>
      <c r="M889" s="46"/>
      <c r="N889" s="46"/>
      <c r="O889" s="46"/>
      <c r="P889" s="46"/>
      <c r="Q889" s="46"/>
      <c r="R889" s="46"/>
      <c r="S889" s="46"/>
      <c r="T889" s="46"/>
      <c r="U889" s="46"/>
      <c r="V889" s="46"/>
      <c r="W889" s="46"/>
      <c r="X889" s="46"/>
      <c r="Y889" s="46"/>
      <c r="Z889" s="46"/>
      <c r="AA889" s="46"/>
      <c r="AB889" s="46"/>
      <c r="AC889" s="46"/>
      <c r="AD889" s="46"/>
    </row>
    <row r="890">
      <c r="A890" s="46"/>
      <c r="B890" s="46"/>
      <c r="C890" s="46"/>
      <c r="D890" s="46"/>
      <c r="E890" s="46"/>
      <c r="F890" s="46"/>
      <c r="G890" s="46"/>
      <c r="H890" s="46"/>
      <c r="I890" s="46"/>
      <c r="J890" s="46"/>
      <c r="K890" s="46"/>
      <c r="L890" s="46"/>
      <c r="M890" s="46"/>
      <c r="N890" s="46"/>
      <c r="O890" s="46"/>
      <c r="P890" s="46"/>
      <c r="Q890" s="46"/>
      <c r="R890" s="46"/>
      <c r="S890" s="46"/>
      <c r="T890" s="46"/>
      <c r="U890" s="46"/>
      <c r="V890" s="46"/>
      <c r="W890" s="46"/>
      <c r="X890" s="46"/>
      <c r="Y890" s="46"/>
      <c r="Z890" s="46"/>
      <c r="AA890" s="46"/>
      <c r="AB890" s="46"/>
      <c r="AC890" s="46"/>
      <c r="AD890" s="46"/>
    </row>
    <row r="891">
      <c r="A891" s="46"/>
      <c r="B891" s="46"/>
      <c r="C891" s="46"/>
      <c r="D891" s="46"/>
      <c r="E891" s="46"/>
      <c r="F891" s="46"/>
      <c r="G891" s="46"/>
      <c r="H891" s="46"/>
      <c r="I891" s="46"/>
      <c r="J891" s="46"/>
      <c r="K891" s="46"/>
      <c r="L891" s="46"/>
      <c r="M891" s="46"/>
      <c r="N891" s="46"/>
      <c r="O891" s="46"/>
      <c r="P891" s="46"/>
      <c r="Q891" s="46"/>
      <c r="R891" s="46"/>
      <c r="S891" s="46"/>
      <c r="T891" s="46"/>
      <c r="U891" s="46"/>
      <c r="V891" s="46"/>
      <c r="W891" s="46"/>
      <c r="X891" s="46"/>
      <c r="Y891" s="46"/>
      <c r="Z891" s="46"/>
      <c r="AA891" s="46"/>
      <c r="AB891" s="46"/>
      <c r="AC891" s="46"/>
      <c r="AD891" s="46"/>
    </row>
    <row r="892">
      <c r="A892" s="46"/>
      <c r="B892" s="46"/>
      <c r="C892" s="4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  <c r="S892" s="46"/>
      <c r="T892" s="46"/>
      <c r="U892" s="46"/>
      <c r="V892" s="46"/>
      <c r="W892" s="46"/>
      <c r="X892" s="46"/>
      <c r="Y892" s="46"/>
      <c r="Z892" s="46"/>
      <c r="AA892" s="46"/>
      <c r="AB892" s="46"/>
      <c r="AC892" s="46"/>
      <c r="AD892" s="46"/>
    </row>
    <row r="893">
      <c r="A893" s="46"/>
      <c r="B893" s="46"/>
      <c r="C893" s="46"/>
      <c r="D893" s="46"/>
      <c r="E893" s="46"/>
      <c r="F893" s="46"/>
      <c r="G893" s="46"/>
      <c r="H893" s="46"/>
      <c r="I893" s="46"/>
      <c r="J893" s="46"/>
      <c r="K893" s="46"/>
      <c r="L893" s="46"/>
      <c r="M893" s="46"/>
      <c r="N893" s="46"/>
      <c r="O893" s="46"/>
      <c r="P893" s="46"/>
      <c r="Q893" s="46"/>
      <c r="R893" s="46"/>
      <c r="S893" s="46"/>
      <c r="T893" s="46"/>
      <c r="U893" s="46"/>
      <c r="V893" s="46"/>
      <c r="W893" s="46"/>
      <c r="X893" s="46"/>
      <c r="Y893" s="46"/>
      <c r="Z893" s="46"/>
      <c r="AA893" s="46"/>
      <c r="AB893" s="46"/>
      <c r="AC893" s="46"/>
      <c r="AD893" s="46"/>
    </row>
    <row r="894">
      <c r="A894" s="46"/>
      <c r="B894" s="46"/>
      <c r="C894" s="46"/>
      <c r="D894" s="46"/>
      <c r="E894" s="46"/>
      <c r="F894" s="46"/>
      <c r="G894" s="46"/>
      <c r="H894" s="46"/>
      <c r="I894" s="46"/>
      <c r="J894" s="46"/>
      <c r="K894" s="46"/>
      <c r="L894" s="46"/>
      <c r="M894" s="46"/>
      <c r="N894" s="46"/>
      <c r="O894" s="46"/>
      <c r="P894" s="46"/>
      <c r="Q894" s="46"/>
      <c r="R894" s="46"/>
      <c r="S894" s="46"/>
      <c r="T894" s="46"/>
      <c r="U894" s="46"/>
      <c r="V894" s="46"/>
      <c r="W894" s="46"/>
      <c r="X894" s="46"/>
      <c r="Y894" s="46"/>
      <c r="Z894" s="46"/>
      <c r="AA894" s="46"/>
      <c r="AB894" s="46"/>
      <c r="AC894" s="46"/>
      <c r="AD894" s="46"/>
    </row>
    <row r="895">
      <c r="A895" s="46"/>
      <c r="B895" s="46"/>
      <c r="C895" s="46"/>
      <c r="D895" s="46"/>
      <c r="E895" s="46"/>
      <c r="F895" s="46"/>
      <c r="G895" s="46"/>
      <c r="H895" s="46"/>
      <c r="I895" s="46"/>
      <c r="J895" s="46"/>
      <c r="K895" s="46"/>
      <c r="L895" s="46"/>
      <c r="M895" s="46"/>
      <c r="N895" s="46"/>
      <c r="O895" s="46"/>
      <c r="P895" s="46"/>
      <c r="Q895" s="46"/>
      <c r="R895" s="46"/>
      <c r="S895" s="46"/>
      <c r="T895" s="46"/>
      <c r="U895" s="46"/>
      <c r="V895" s="46"/>
      <c r="W895" s="46"/>
      <c r="X895" s="46"/>
      <c r="Y895" s="46"/>
      <c r="Z895" s="46"/>
      <c r="AA895" s="46"/>
      <c r="AB895" s="46"/>
      <c r="AC895" s="46"/>
      <c r="AD895" s="46"/>
    </row>
    <row r="896">
      <c r="A896" s="46"/>
      <c r="B896" s="46"/>
      <c r="C896" s="4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  <c r="S896" s="46"/>
      <c r="T896" s="46"/>
      <c r="U896" s="46"/>
      <c r="V896" s="46"/>
      <c r="W896" s="46"/>
      <c r="X896" s="46"/>
      <c r="Y896" s="46"/>
      <c r="Z896" s="46"/>
      <c r="AA896" s="46"/>
      <c r="AB896" s="46"/>
      <c r="AC896" s="46"/>
      <c r="AD896" s="46"/>
    </row>
    <row r="897">
      <c r="A897" s="46"/>
      <c r="B897" s="46"/>
      <c r="C897" s="46"/>
      <c r="D897" s="46"/>
      <c r="E897" s="46"/>
      <c r="F897" s="46"/>
      <c r="G897" s="46"/>
      <c r="H897" s="46"/>
      <c r="I897" s="46"/>
      <c r="J897" s="46"/>
      <c r="K897" s="46"/>
      <c r="L897" s="46"/>
      <c r="M897" s="46"/>
      <c r="N897" s="46"/>
      <c r="O897" s="46"/>
      <c r="P897" s="46"/>
      <c r="Q897" s="46"/>
      <c r="R897" s="46"/>
      <c r="S897" s="46"/>
      <c r="T897" s="46"/>
      <c r="U897" s="46"/>
      <c r="V897" s="46"/>
      <c r="W897" s="46"/>
      <c r="X897" s="46"/>
      <c r="Y897" s="46"/>
      <c r="Z897" s="46"/>
      <c r="AA897" s="46"/>
      <c r="AB897" s="46"/>
      <c r="AC897" s="46"/>
      <c r="AD897" s="46"/>
    </row>
    <row r="898">
      <c r="A898" s="46"/>
      <c r="B898" s="46"/>
      <c r="C898" s="46"/>
      <c r="D898" s="46"/>
      <c r="E898" s="46"/>
      <c r="F898" s="46"/>
      <c r="G898" s="46"/>
      <c r="H898" s="46"/>
      <c r="I898" s="46"/>
      <c r="J898" s="46"/>
      <c r="K898" s="46"/>
      <c r="L898" s="46"/>
      <c r="M898" s="46"/>
      <c r="N898" s="46"/>
      <c r="O898" s="46"/>
      <c r="P898" s="46"/>
      <c r="Q898" s="46"/>
      <c r="R898" s="46"/>
      <c r="S898" s="46"/>
      <c r="T898" s="46"/>
      <c r="U898" s="46"/>
      <c r="V898" s="46"/>
      <c r="W898" s="46"/>
      <c r="X898" s="46"/>
      <c r="Y898" s="46"/>
      <c r="Z898" s="46"/>
      <c r="AA898" s="46"/>
      <c r="AB898" s="46"/>
      <c r="AC898" s="46"/>
      <c r="AD898" s="46"/>
    </row>
    <row r="899">
      <c r="A899" s="46"/>
      <c r="B899" s="46"/>
      <c r="C899" s="46"/>
      <c r="D899" s="46"/>
      <c r="E899" s="46"/>
      <c r="F899" s="46"/>
      <c r="G899" s="46"/>
      <c r="H899" s="46"/>
      <c r="I899" s="46"/>
      <c r="J899" s="46"/>
      <c r="K899" s="46"/>
      <c r="L899" s="46"/>
      <c r="M899" s="46"/>
      <c r="N899" s="46"/>
      <c r="O899" s="46"/>
      <c r="P899" s="46"/>
      <c r="Q899" s="46"/>
      <c r="R899" s="46"/>
      <c r="S899" s="46"/>
      <c r="T899" s="46"/>
      <c r="U899" s="46"/>
      <c r="V899" s="46"/>
      <c r="W899" s="46"/>
      <c r="X899" s="46"/>
      <c r="Y899" s="46"/>
      <c r="Z899" s="46"/>
      <c r="AA899" s="46"/>
      <c r="AB899" s="46"/>
      <c r="AC899" s="46"/>
      <c r="AD899" s="46"/>
    </row>
    <row r="900">
      <c r="A900" s="46"/>
      <c r="B900" s="46"/>
      <c r="C900" s="4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  <c r="S900" s="46"/>
      <c r="T900" s="46"/>
      <c r="U900" s="46"/>
      <c r="V900" s="46"/>
      <c r="W900" s="46"/>
      <c r="X900" s="46"/>
      <c r="Y900" s="46"/>
      <c r="Z900" s="46"/>
      <c r="AA900" s="46"/>
      <c r="AB900" s="46"/>
      <c r="AC900" s="46"/>
      <c r="AD900" s="46"/>
    </row>
    <row r="901">
      <c r="A901" s="46"/>
      <c r="B901" s="46"/>
      <c r="C901" s="46"/>
      <c r="D901" s="46"/>
      <c r="E901" s="46"/>
      <c r="F901" s="46"/>
      <c r="G901" s="46"/>
      <c r="H901" s="46"/>
      <c r="I901" s="46"/>
      <c r="J901" s="46"/>
      <c r="K901" s="46"/>
      <c r="L901" s="46"/>
      <c r="M901" s="46"/>
      <c r="N901" s="46"/>
      <c r="O901" s="46"/>
      <c r="P901" s="46"/>
      <c r="Q901" s="46"/>
      <c r="R901" s="46"/>
      <c r="S901" s="46"/>
      <c r="T901" s="46"/>
      <c r="U901" s="46"/>
      <c r="V901" s="46"/>
      <c r="W901" s="46"/>
      <c r="X901" s="46"/>
      <c r="Y901" s="46"/>
      <c r="Z901" s="46"/>
      <c r="AA901" s="46"/>
      <c r="AB901" s="46"/>
      <c r="AC901" s="46"/>
      <c r="AD901" s="46"/>
    </row>
    <row r="902">
      <c r="A902" s="46"/>
      <c r="B902" s="46"/>
      <c r="C902" s="46"/>
      <c r="D902" s="46"/>
      <c r="E902" s="46"/>
      <c r="F902" s="46"/>
      <c r="G902" s="46"/>
      <c r="H902" s="46"/>
      <c r="I902" s="46"/>
      <c r="J902" s="46"/>
      <c r="K902" s="46"/>
      <c r="L902" s="46"/>
      <c r="M902" s="46"/>
      <c r="N902" s="46"/>
      <c r="O902" s="46"/>
      <c r="P902" s="46"/>
      <c r="Q902" s="46"/>
      <c r="R902" s="46"/>
      <c r="S902" s="46"/>
      <c r="T902" s="46"/>
      <c r="U902" s="46"/>
      <c r="V902" s="46"/>
      <c r="W902" s="46"/>
      <c r="X902" s="46"/>
      <c r="Y902" s="46"/>
      <c r="Z902" s="46"/>
      <c r="AA902" s="46"/>
      <c r="AB902" s="46"/>
      <c r="AC902" s="46"/>
      <c r="AD902" s="46"/>
    </row>
    <row r="903">
      <c r="A903" s="46"/>
      <c r="B903" s="46"/>
      <c r="C903" s="46"/>
      <c r="D903" s="46"/>
      <c r="E903" s="46"/>
      <c r="F903" s="46"/>
      <c r="G903" s="46"/>
      <c r="H903" s="46"/>
      <c r="I903" s="46"/>
      <c r="J903" s="46"/>
      <c r="K903" s="46"/>
      <c r="L903" s="46"/>
      <c r="M903" s="46"/>
      <c r="N903" s="46"/>
      <c r="O903" s="46"/>
      <c r="P903" s="46"/>
      <c r="Q903" s="46"/>
      <c r="R903" s="46"/>
      <c r="S903" s="46"/>
      <c r="T903" s="46"/>
      <c r="U903" s="46"/>
      <c r="V903" s="46"/>
      <c r="W903" s="46"/>
      <c r="X903" s="46"/>
      <c r="Y903" s="46"/>
      <c r="Z903" s="46"/>
      <c r="AA903" s="46"/>
      <c r="AB903" s="46"/>
      <c r="AC903" s="46"/>
      <c r="AD903" s="46"/>
    </row>
    <row r="904">
      <c r="A904" s="46"/>
      <c r="B904" s="46"/>
      <c r="C904" s="4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  <c r="S904" s="46"/>
      <c r="T904" s="46"/>
      <c r="U904" s="46"/>
      <c r="V904" s="46"/>
      <c r="W904" s="46"/>
      <c r="X904" s="46"/>
      <c r="Y904" s="46"/>
      <c r="Z904" s="46"/>
      <c r="AA904" s="46"/>
      <c r="AB904" s="46"/>
      <c r="AC904" s="46"/>
      <c r="AD904" s="46"/>
    </row>
    <row r="905">
      <c r="A905" s="46"/>
      <c r="B905" s="46"/>
      <c r="C905" s="46"/>
      <c r="D905" s="46"/>
      <c r="E905" s="46"/>
      <c r="F905" s="46"/>
      <c r="G905" s="46"/>
      <c r="H905" s="46"/>
      <c r="I905" s="46"/>
      <c r="J905" s="46"/>
      <c r="K905" s="46"/>
      <c r="L905" s="46"/>
      <c r="M905" s="46"/>
      <c r="N905" s="46"/>
      <c r="O905" s="46"/>
      <c r="P905" s="46"/>
      <c r="Q905" s="46"/>
      <c r="R905" s="46"/>
      <c r="S905" s="46"/>
      <c r="T905" s="46"/>
      <c r="U905" s="46"/>
      <c r="V905" s="46"/>
      <c r="W905" s="46"/>
      <c r="X905" s="46"/>
      <c r="Y905" s="46"/>
      <c r="Z905" s="46"/>
      <c r="AA905" s="46"/>
      <c r="AB905" s="46"/>
      <c r="AC905" s="46"/>
      <c r="AD905" s="46"/>
    </row>
    <row r="906">
      <c r="A906" s="46"/>
      <c r="B906" s="46"/>
      <c r="C906" s="46"/>
      <c r="D906" s="46"/>
      <c r="E906" s="46"/>
      <c r="F906" s="46"/>
      <c r="G906" s="46"/>
      <c r="H906" s="46"/>
      <c r="I906" s="46"/>
      <c r="J906" s="46"/>
      <c r="K906" s="46"/>
      <c r="L906" s="46"/>
      <c r="M906" s="46"/>
      <c r="N906" s="46"/>
      <c r="O906" s="46"/>
      <c r="P906" s="46"/>
      <c r="Q906" s="46"/>
      <c r="R906" s="46"/>
      <c r="S906" s="46"/>
      <c r="T906" s="46"/>
      <c r="U906" s="46"/>
      <c r="V906" s="46"/>
      <c r="W906" s="46"/>
      <c r="X906" s="46"/>
      <c r="Y906" s="46"/>
      <c r="Z906" s="46"/>
      <c r="AA906" s="46"/>
      <c r="AB906" s="46"/>
      <c r="AC906" s="46"/>
      <c r="AD906" s="46"/>
    </row>
    <row r="907">
      <c r="A907" s="46"/>
      <c r="B907" s="46"/>
      <c r="C907" s="46"/>
      <c r="D907" s="46"/>
      <c r="E907" s="46"/>
      <c r="F907" s="46"/>
      <c r="G907" s="46"/>
      <c r="H907" s="46"/>
      <c r="I907" s="46"/>
      <c r="J907" s="46"/>
      <c r="K907" s="46"/>
      <c r="L907" s="46"/>
      <c r="M907" s="46"/>
      <c r="N907" s="46"/>
      <c r="O907" s="46"/>
      <c r="P907" s="46"/>
      <c r="Q907" s="46"/>
      <c r="R907" s="46"/>
      <c r="S907" s="46"/>
      <c r="T907" s="46"/>
      <c r="U907" s="46"/>
      <c r="V907" s="46"/>
      <c r="W907" s="46"/>
      <c r="X907" s="46"/>
      <c r="Y907" s="46"/>
      <c r="Z907" s="46"/>
      <c r="AA907" s="46"/>
      <c r="AB907" s="46"/>
      <c r="AC907" s="46"/>
      <c r="AD907" s="46"/>
    </row>
    <row r="908">
      <c r="A908" s="46"/>
      <c r="B908" s="46"/>
      <c r="C908" s="4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  <c r="S908" s="46"/>
      <c r="T908" s="46"/>
      <c r="U908" s="46"/>
      <c r="V908" s="46"/>
      <c r="W908" s="46"/>
      <c r="X908" s="46"/>
      <c r="Y908" s="46"/>
      <c r="Z908" s="46"/>
      <c r="AA908" s="46"/>
      <c r="AB908" s="46"/>
      <c r="AC908" s="46"/>
      <c r="AD908" s="46"/>
    </row>
    <row r="909">
      <c r="A909" s="46"/>
      <c r="B909" s="46"/>
      <c r="C909" s="46"/>
      <c r="D909" s="46"/>
      <c r="E909" s="46"/>
      <c r="F909" s="46"/>
      <c r="G909" s="46"/>
      <c r="H909" s="46"/>
      <c r="I909" s="46"/>
      <c r="J909" s="46"/>
      <c r="K909" s="46"/>
      <c r="L909" s="46"/>
      <c r="M909" s="46"/>
      <c r="N909" s="46"/>
      <c r="O909" s="46"/>
      <c r="P909" s="46"/>
      <c r="Q909" s="46"/>
      <c r="R909" s="46"/>
      <c r="S909" s="46"/>
      <c r="T909" s="46"/>
      <c r="U909" s="46"/>
      <c r="V909" s="46"/>
      <c r="W909" s="46"/>
      <c r="X909" s="46"/>
      <c r="Y909" s="46"/>
      <c r="Z909" s="46"/>
      <c r="AA909" s="46"/>
      <c r="AB909" s="46"/>
      <c r="AC909" s="46"/>
      <c r="AD909" s="46"/>
    </row>
    <row r="910">
      <c r="A910" s="46"/>
      <c r="B910" s="46"/>
      <c r="C910" s="46"/>
      <c r="D910" s="46"/>
      <c r="E910" s="46"/>
      <c r="F910" s="46"/>
      <c r="G910" s="46"/>
      <c r="H910" s="46"/>
      <c r="I910" s="46"/>
      <c r="J910" s="46"/>
      <c r="K910" s="46"/>
      <c r="L910" s="46"/>
      <c r="M910" s="46"/>
      <c r="N910" s="46"/>
      <c r="O910" s="46"/>
      <c r="P910" s="46"/>
      <c r="Q910" s="46"/>
      <c r="R910" s="46"/>
      <c r="S910" s="46"/>
      <c r="T910" s="46"/>
      <c r="U910" s="46"/>
      <c r="V910" s="46"/>
      <c r="W910" s="46"/>
      <c r="X910" s="46"/>
      <c r="Y910" s="46"/>
      <c r="Z910" s="46"/>
      <c r="AA910" s="46"/>
      <c r="AB910" s="46"/>
      <c r="AC910" s="46"/>
      <c r="AD910" s="46"/>
    </row>
    <row r="911">
      <c r="A911" s="46"/>
      <c r="B911" s="46"/>
      <c r="C911" s="46"/>
      <c r="D911" s="46"/>
      <c r="E911" s="46"/>
      <c r="F911" s="46"/>
      <c r="G911" s="46"/>
      <c r="H911" s="46"/>
      <c r="I911" s="46"/>
      <c r="J911" s="46"/>
      <c r="K911" s="46"/>
      <c r="L911" s="46"/>
      <c r="M911" s="46"/>
      <c r="N911" s="46"/>
      <c r="O911" s="46"/>
      <c r="P911" s="46"/>
      <c r="Q911" s="46"/>
      <c r="R911" s="46"/>
      <c r="S911" s="46"/>
      <c r="T911" s="46"/>
      <c r="U911" s="46"/>
      <c r="V911" s="46"/>
      <c r="W911" s="46"/>
      <c r="X911" s="46"/>
      <c r="Y911" s="46"/>
      <c r="Z911" s="46"/>
      <c r="AA911" s="46"/>
      <c r="AB911" s="46"/>
      <c r="AC911" s="46"/>
      <c r="AD911" s="46"/>
    </row>
    <row r="912">
      <c r="A912" s="46"/>
      <c r="B912" s="46"/>
      <c r="C912" s="4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  <c r="S912" s="46"/>
      <c r="T912" s="46"/>
      <c r="U912" s="46"/>
      <c r="V912" s="46"/>
      <c r="W912" s="46"/>
      <c r="X912" s="46"/>
      <c r="Y912" s="46"/>
      <c r="Z912" s="46"/>
      <c r="AA912" s="46"/>
      <c r="AB912" s="46"/>
      <c r="AC912" s="46"/>
      <c r="AD912" s="46"/>
    </row>
    <row r="913">
      <c r="A913" s="46"/>
      <c r="B913" s="46"/>
      <c r="C913" s="46"/>
      <c r="D913" s="46"/>
      <c r="E913" s="46"/>
      <c r="F913" s="46"/>
      <c r="G913" s="46"/>
      <c r="H913" s="46"/>
      <c r="I913" s="46"/>
      <c r="J913" s="46"/>
      <c r="K913" s="46"/>
      <c r="L913" s="46"/>
      <c r="M913" s="46"/>
      <c r="N913" s="46"/>
      <c r="O913" s="46"/>
      <c r="P913" s="46"/>
      <c r="Q913" s="46"/>
      <c r="R913" s="46"/>
      <c r="S913" s="46"/>
      <c r="T913" s="46"/>
      <c r="U913" s="46"/>
      <c r="V913" s="46"/>
      <c r="W913" s="46"/>
      <c r="X913" s="46"/>
      <c r="Y913" s="46"/>
      <c r="Z913" s="46"/>
      <c r="AA913" s="46"/>
      <c r="AB913" s="46"/>
      <c r="AC913" s="46"/>
      <c r="AD913" s="46"/>
    </row>
    <row r="914">
      <c r="A914" s="46"/>
      <c r="B914" s="46"/>
      <c r="C914" s="46"/>
      <c r="D914" s="46"/>
      <c r="E914" s="46"/>
      <c r="F914" s="46"/>
      <c r="G914" s="46"/>
      <c r="H914" s="46"/>
      <c r="I914" s="46"/>
      <c r="J914" s="46"/>
      <c r="K914" s="46"/>
      <c r="L914" s="46"/>
      <c r="M914" s="46"/>
      <c r="N914" s="46"/>
      <c r="O914" s="46"/>
      <c r="P914" s="46"/>
      <c r="Q914" s="46"/>
      <c r="R914" s="46"/>
      <c r="S914" s="46"/>
      <c r="T914" s="46"/>
      <c r="U914" s="46"/>
      <c r="V914" s="46"/>
      <c r="W914" s="46"/>
      <c r="X914" s="46"/>
      <c r="Y914" s="46"/>
      <c r="Z914" s="46"/>
      <c r="AA914" s="46"/>
      <c r="AB914" s="46"/>
      <c r="AC914" s="46"/>
      <c r="AD914" s="46"/>
    </row>
    <row r="915">
      <c r="A915" s="46"/>
      <c r="B915" s="46"/>
      <c r="C915" s="46"/>
      <c r="D915" s="46"/>
      <c r="E915" s="46"/>
      <c r="F915" s="46"/>
      <c r="G915" s="46"/>
      <c r="H915" s="46"/>
      <c r="I915" s="46"/>
      <c r="J915" s="46"/>
      <c r="K915" s="46"/>
      <c r="L915" s="46"/>
      <c r="M915" s="46"/>
      <c r="N915" s="46"/>
      <c r="O915" s="46"/>
      <c r="P915" s="46"/>
      <c r="Q915" s="46"/>
      <c r="R915" s="46"/>
      <c r="S915" s="46"/>
      <c r="T915" s="46"/>
      <c r="U915" s="46"/>
      <c r="V915" s="46"/>
      <c r="W915" s="46"/>
      <c r="X915" s="46"/>
      <c r="Y915" s="46"/>
      <c r="Z915" s="46"/>
      <c r="AA915" s="46"/>
      <c r="AB915" s="46"/>
      <c r="AC915" s="46"/>
      <c r="AD915" s="46"/>
    </row>
    <row r="916">
      <c r="A916" s="46"/>
      <c r="B916" s="46"/>
      <c r="C916" s="4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  <c r="S916" s="46"/>
      <c r="T916" s="46"/>
      <c r="U916" s="46"/>
      <c r="V916" s="46"/>
      <c r="W916" s="46"/>
      <c r="X916" s="46"/>
      <c r="Y916" s="46"/>
      <c r="Z916" s="46"/>
      <c r="AA916" s="46"/>
      <c r="AB916" s="46"/>
      <c r="AC916" s="46"/>
      <c r="AD916" s="46"/>
    </row>
    <row r="917">
      <c r="A917" s="46"/>
      <c r="B917" s="46"/>
      <c r="C917" s="46"/>
      <c r="D917" s="46"/>
      <c r="E917" s="46"/>
      <c r="F917" s="46"/>
      <c r="G917" s="46"/>
      <c r="H917" s="46"/>
      <c r="I917" s="46"/>
      <c r="J917" s="46"/>
      <c r="K917" s="46"/>
      <c r="L917" s="46"/>
      <c r="M917" s="46"/>
      <c r="N917" s="46"/>
      <c r="O917" s="46"/>
      <c r="P917" s="46"/>
      <c r="Q917" s="46"/>
      <c r="R917" s="46"/>
      <c r="S917" s="46"/>
      <c r="T917" s="46"/>
      <c r="U917" s="46"/>
      <c r="V917" s="46"/>
      <c r="W917" s="46"/>
      <c r="X917" s="46"/>
      <c r="Y917" s="46"/>
      <c r="Z917" s="46"/>
      <c r="AA917" s="46"/>
      <c r="AB917" s="46"/>
      <c r="AC917" s="46"/>
      <c r="AD917" s="46"/>
    </row>
    <row r="918">
      <c r="A918" s="46"/>
      <c r="B918" s="46"/>
      <c r="C918" s="46"/>
      <c r="D918" s="46"/>
      <c r="E918" s="46"/>
      <c r="F918" s="46"/>
      <c r="G918" s="46"/>
      <c r="H918" s="46"/>
      <c r="I918" s="46"/>
      <c r="J918" s="46"/>
      <c r="K918" s="46"/>
      <c r="L918" s="46"/>
      <c r="M918" s="46"/>
      <c r="N918" s="46"/>
      <c r="O918" s="46"/>
      <c r="P918" s="46"/>
      <c r="Q918" s="46"/>
      <c r="R918" s="46"/>
      <c r="S918" s="46"/>
      <c r="T918" s="46"/>
      <c r="U918" s="46"/>
      <c r="V918" s="46"/>
      <c r="W918" s="46"/>
      <c r="X918" s="46"/>
      <c r="Y918" s="46"/>
      <c r="Z918" s="46"/>
      <c r="AA918" s="46"/>
      <c r="AB918" s="46"/>
      <c r="AC918" s="46"/>
      <c r="AD918" s="46"/>
    </row>
    <row r="919">
      <c r="A919" s="46"/>
      <c r="B919" s="46"/>
      <c r="C919" s="46"/>
      <c r="D919" s="46"/>
      <c r="E919" s="46"/>
      <c r="F919" s="46"/>
      <c r="G919" s="46"/>
      <c r="H919" s="46"/>
      <c r="I919" s="46"/>
      <c r="J919" s="46"/>
      <c r="K919" s="46"/>
      <c r="L919" s="46"/>
      <c r="M919" s="46"/>
      <c r="N919" s="46"/>
      <c r="O919" s="46"/>
      <c r="P919" s="46"/>
      <c r="Q919" s="46"/>
      <c r="R919" s="46"/>
      <c r="S919" s="46"/>
      <c r="T919" s="46"/>
      <c r="U919" s="46"/>
      <c r="V919" s="46"/>
      <c r="W919" s="46"/>
      <c r="X919" s="46"/>
      <c r="Y919" s="46"/>
      <c r="Z919" s="46"/>
      <c r="AA919" s="46"/>
      <c r="AB919" s="46"/>
      <c r="AC919" s="46"/>
      <c r="AD919" s="46"/>
    </row>
    <row r="920">
      <c r="A920" s="46"/>
      <c r="B920" s="46"/>
      <c r="C920" s="4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  <c r="S920" s="46"/>
      <c r="T920" s="46"/>
      <c r="U920" s="46"/>
      <c r="V920" s="46"/>
      <c r="W920" s="46"/>
      <c r="X920" s="46"/>
      <c r="Y920" s="46"/>
      <c r="Z920" s="46"/>
      <c r="AA920" s="46"/>
      <c r="AB920" s="46"/>
      <c r="AC920" s="46"/>
      <c r="AD920" s="46"/>
    </row>
    <row r="921">
      <c r="A921" s="46"/>
      <c r="B921" s="46"/>
      <c r="C921" s="46"/>
      <c r="D921" s="46"/>
      <c r="E921" s="46"/>
      <c r="F921" s="46"/>
      <c r="G921" s="46"/>
      <c r="H921" s="46"/>
      <c r="I921" s="46"/>
      <c r="J921" s="46"/>
      <c r="K921" s="46"/>
      <c r="L921" s="46"/>
      <c r="M921" s="46"/>
      <c r="N921" s="46"/>
      <c r="O921" s="46"/>
      <c r="P921" s="46"/>
      <c r="Q921" s="46"/>
      <c r="R921" s="46"/>
      <c r="S921" s="46"/>
      <c r="T921" s="46"/>
      <c r="U921" s="46"/>
      <c r="V921" s="46"/>
      <c r="W921" s="46"/>
      <c r="X921" s="46"/>
      <c r="Y921" s="46"/>
      <c r="Z921" s="46"/>
      <c r="AA921" s="46"/>
      <c r="AB921" s="46"/>
      <c r="AC921" s="46"/>
      <c r="AD921" s="46"/>
    </row>
    <row r="922">
      <c r="A922" s="46"/>
      <c r="B922" s="46"/>
      <c r="C922" s="46"/>
      <c r="D922" s="46"/>
      <c r="E922" s="46"/>
      <c r="F922" s="46"/>
      <c r="G922" s="46"/>
      <c r="H922" s="46"/>
      <c r="I922" s="46"/>
      <c r="J922" s="46"/>
      <c r="K922" s="46"/>
      <c r="L922" s="46"/>
      <c r="M922" s="46"/>
      <c r="N922" s="46"/>
      <c r="O922" s="46"/>
      <c r="P922" s="46"/>
      <c r="Q922" s="46"/>
      <c r="R922" s="46"/>
      <c r="S922" s="46"/>
      <c r="T922" s="46"/>
      <c r="U922" s="46"/>
      <c r="V922" s="46"/>
      <c r="W922" s="46"/>
      <c r="X922" s="46"/>
      <c r="Y922" s="46"/>
      <c r="Z922" s="46"/>
      <c r="AA922" s="46"/>
      <c r="AB922" s="46"/>
      <c r="AC922" s="46"/>
      <c r="AD922" s="46"/>
    </row>
    <row r="923">
      <c r="A923" s="46"/>
      <c r="B923" s="46"/>
      <c r="C923" s="46"/>
      <c r="D923" s="46"/>
      <c r="E923" s="46"/>
      <c r="F923" s="46"/>
      <c r="G923" s="46"/>
      <c r="H923" s="46"/>
      <c r="I923" s="46"/>
      <c r="J923" s="46"/>
      <c r="K923" s="46"/>
      <c r="L923" s="46"/>
      <c r="M923" s="46"/>
      <c r="N923" s="46"/>
      <c r="O923" s="46"/>
      <c r="P923" s="46"/>
      <c r="Q923" s="46"/>
      <c r="R923" s="46"/>
      <c r="S923" s="46"/>
      <c r="T923" s="46"/>
      <c r="U923" s="46"/>
      <c r="V923" s="46"/>
      <c r="W923" s="46"/>
      <c r="X923" s="46"/>
      <c r="Y923" s="46"/>
      <c r="Z923" s="46"/>
      <c r="AA923" s="46"/>
      <c r="AB923" s="46"/>
      <c r="AC923" s="46"/>
      <c r="AD923" s="46"/>
    </row>
    <row r="924">
      <c r="A924" s="46"/>
      <c r="B924" s="46"/>
      <c r="C924" s="4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  <c r="S924" s="46"/>
      <c r="T924" s="46"/>
      <c r="U924" s="46"/>
      <c r="V924" s="46"/>
      <c r="W924" s="46"/>
      <c r="X924" s="46"/>
      <c r="Y924" s="46"/>
      <c r="Z924" s="46"/>
      <c r="AA924" s="46"/>
      <c r="AB924" s="46"/>
      <c r="AC924" s="46"/>
      <c r="AD924" s="46"/>
    </row>
    <row r="925">
      <c r="A925" s="46"/>
      <c r="B925" s="46"/>
      <c r="C925" s="46"/>
      <c r="D925" s="46"/>
      <c r="E925" s="46"/>
      <c r="F925" s="46"/>
      <c r="G925" s="46"/>
      <c r="H925" s="46"/>
      <c r="I925" s="46"/>
      <c r="J925" s="46"/>
      <c r="K925" s="46"/>
      <c r="L925" s="46"/>
      <c r="M925" s="46"/>
      <c r="N925" s="46"/>
      <c r="O925" s="46"/>
      <c r="P925" s="46"/>
      <c r="Q925" s="46"/>
      <c r="R925" s="46"/>
      <c r="S925" s="46"/>
      <c r="T925" s="46"/>
      <c r="U925" s="46"/>
      <c r="V925" s="46"/>
      <c r="W925" s="46"/>
      <c r="X925" s="46"/>
      <c r="Y925" s="46"/>
      <c r="Z925" s="46"/>
      <c r="AA925" s="46"/>
      <c r="AB925" s="46"/>
      <c r="AC925" s="46"/>
      <c r="AD925" s="46"/>
    </row>
    <row r="926">
      <c r="A926" s="46"/>
      <c r="B926" s="46"/>
      <c r="C926" s="46"/>
      <c r="D926" s="46"/>
      <c r="E926" s="46"/>
      <c r="F926" s="46"/>
      <c r="G926" s="46"/>
      <c r="H926" s="46"/>
      <c r="I926" s="46"/>
      <c r="J926" s="46"/>
      <c r="K926" s="46"/>
      <c r="L926" s="46"/>
      <c r="M926" s="46"/>
      <c r="N926" s="46"/>
      <c r="O926" s="46"/>
      <c r="P926" s="46"/>
      <c r="Q926" s="46"/>
      <c r="R926" s="46"/>
      <c r="S926" s="46"/>
      <c r="T926" s="46"/>
      <c r="U926" s="46"/>
      <c r="V926" s="46"/>
      <c r="W926" s="46"/>
      <c r="X926" s="46"/>
      <c r="Y926" s="46"/>
      <c r="Z926" s="46"/>
      <c r="AA926" s="46"/>
      <c r="AB926" s="46"/>
      <c r="AC926" s="46"/>
      <c r="AD926" s="46"/>
    </row>
    <row r="927">
      <c r="A927" s="46"/>
      <c r="B927" s="46"/>
      <c r="C927" s="46"/>
      <c r="D927" s="46"/>
      <c r="E927" s="46"/>
      <c r="F927" s="46"/>
      <c r="G927" s="46"/>
      <c r="H927" s="46"/>
      <c r="I927" s="46"/>
      <c r="J927" s="46"/>
      <c r="K927" s="46"/>
      <c r="L927" s="46"/>
      <c r="M927" s="46"/>
      <c r="N927" s="46"/>
      <c r="O927" s="46"/>
      <c r="P927" s="46"/>
      <c r="Q927" s="46"/>
      <c r="R927" s="46"/>
      <c r="S927" s="46"/>
      <c r="T927" s="46"/>
      <c r="U927" s="46"/>
      <c r="V927" s="46"/>
      <c r="W927" s="46"/>
      <c r="X927" s="46"/>
      <c r="Y927" s="46"/>
      <c r="Z927" s="46"/>
      <c r="AA927" s="46"/>
      <c r="AB927" s="46"/>
      <c r="AC927" s="46"/>
      <c r="AD927" s="46"/>
    </row>
    <row r="928">
      <c r="A928" s="46"/>
      <c r="B928" s="46"/>
      <c r="C928" s="4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  <c r="S928" s="46"/>
      <c r="T928" s="46"/>
      <c r="U928" s="46"/>
      <c r="V928" s="46"/>
      <c r="W928" s="46"/>
      <c r="X928" s="46"/>
      <c r="Y928" s="46"/>
      <c r="Z928" s="46"/>
      <c r="AA928" s="46"/>
      <c r="AB928" s="46"/>
      <c r="AC928" s="46"/>
      <c r="AD928" s="46"/>
    </row>
    <row r="929">
      <c r="A929" s="46"/>
      <c r="B929" s="46"/>
      <c r="C929" s="46"/>
      <c r="D929" s="46"/>
      <c r="E929" s="46"/>
      <c r="F929" s="46"/>
      <c r="G929" s="46"/>
      <c r="H929" s="46"/>
      <c r="I929" s="46"/>
      <c r="J929" s="46"/>
      <c r="K929" s="46"/>
      <c r="L929" s="46"/>
      <c r="M929" s="46"/>
      <c r="N929" s="46"/>
      <c r="O929" s="46"/>
      <c r="P929" s="46"/>
      <c r="Q929" s="46"/>
      <c r="R929" s="46"/>
      <c r="S929" s="46"/>
      <c r="T929" s="46"/>
      <c r="U929" s="46"/>
      <c r="V929" s="46"/>
      <c r="W929" s="46"/>
      <c r="X929" s="46"/>
      <c r="Y929" s="46"/>
      <c r="Z929" s="46"/>
      <c r="AA929" s="46"/>
      <c r="AB929" s="46"/>
      <c r="AC929" s="46"/>
      <c r="AD929" s="46"/>
    </row>
    <row r="930">
      <c r="A930" s="46"/>
      <c r="B930" s="46"/>
      <c r="C930" s="46"/>
      <c r="D930" s="46"/>
      <c r="E930" s="46"/>
      <c r="F930" s="46"/>
      <c r="G930" s="46"/>
      <c r="H930" s="46"/>
      <c r="I930" s="46"/>
      <c r="J930" s="46"/>
      <c r="K930" s="46"/>
      <c r="L930" s="46"/>
      <c r="M930" s="46"/>
      <c r="N930" s="46"/>
      <c r="O930" s="46"/>
      <c r="P930" s="46"/>
      <c r="Q930" s="46"/>
      <c r="R930" s="46"/>
      <c r="S930" s="46"/>
      <c r="T930" s="46"/>
      <c r="U930" s="46"/>
      <c r="V930" s="46"/>
      <c r="W930" s="46"/>
      <c r="X930" s="46"/>
      <c r="Y930" s="46"/>
      <c r="Z930" s="46"/>
      <c r="AA930" s="46"/>
      <c r="AB930" s="46"/>
      <c r="AC930" s="46"/>
      <c r="AD930" s="46"/>
    </row>
    <row r="931">
      <c r="A931" s="46"/>
      <c r="B931" s="46"/>
      <c r="C931" s="46"/>
      <c r="D931" s="46"/>
      <c r="E931" s="46"/>
      <c r="F931" s="46"/>
      <c r="G931" s="46"/>
      <c r="H931" s="46"/>
      <c r="I931" s="46"/>
      <c r="J931" s="46"/>
      <c r="K931" s="46"/>
      <c r="L931" s="46"/>
      <c r="M931" s="46"/>
      <c r="N931" s="46"/>
      <c r="O931" s="46"/>
      <c r="P931" s="46"/>
      <c r="Q931" s="46"/>
      <c r="R931" s="46"/>
      <c r="S931" s="46"/>
      <c r="T931" s="46"/>
      <c r="U931" s="46"/>
      <c r="V931" s="46"/>
      <c r="W931" s="46"/>
      <c r="X931" s="46"/>
      <c r="Y931" s="46"/>
      <c r="Z931" s="46"/>
      <c r="AA931" s="46"/>
      <c r="AB931" s="46"/>
      <c r="AC931" s="46"/>
      <c r="AD931" s="46"/>
    </row>
    <row r="932">
      <c r="A932" s="46"/>
      <c r="B932" s="46"/>
      <c r="C932" s="4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  <c r="S932" s="46"/>
      <c r="T932" s="46"/>
      <c r="U932" s="46"/>
      <c r="V932" s="46"/>
      <c r="W932" s="46"/>
      <c r="X932" s="46"/>
      <c r="Y932" s="46"/>
      <c r="Z932" s="46"/>
      <c r="AA932" s="46"/>
      <c r="AB932" s="46"/>
      <c r="AC932" s="46"/>
      <c r="AD932" s="46"/>
    </row>
    <row r="933">
      <c r="A933" s="46"/>
      <c r="B933" s="46"/>
      <c r="C933" s="46"/>
      <c r="D933" s="46"/>
      <c r="E933" s="46"/>
      <c r="F933" s="46"/>
      <c r="G933" s="46"/>
      <c r="H933" s="46"/>
      <c r="I933" s="46"/>
      <c r="J933" s="46"/>
      <c r="K933" s="46"/>
      <c r="L933" s="46"/>
      <c r="M933" s="46"/>
      <c r="N933" s="46"/>
      <c r="O933" s="46"/>
      <c r="P933" s="46"/>
      <c r="Q933" s="46"/>
      <c r="R933" s="46"/>
      <c r="S933" s="46"/>
      <c r="T933" s="46"/>
      <c r="U933" s="46"/>
      <c r="V933" s="46"/>
      <c r="W933" s="46"/>
      <c r="X933" s="46"/>
      <c r="Y933" s="46"/>
      <c r="Z933" s="46"/>
      <c r="AA933" s="46"/>
      <c r="AB933" s="46"/>
      <c r="AC933" s="46"/>
      <c r="AD933" s="46"/>
    </row>
    <row r="934">
      <c r="A934" s="46"/>
      <c r="B934" s="46"/>
      <c r="C934" s="46"/>
      <c r="D934" s="46"/>
      <c r="E934" s="46"/>
      <c r="F934" s="46"/>
      <c r="G934" s="46"/>
      <c r="H934" s="46"/>
      <c r="I934" s="46"/>
      <c r="J934" s="46"/>
      <c r="K934" s="46"/>
      <c r="L934" s="46"/>
      <c r="M934" s="46"/>
      <c r="N934" s="46"/>
      <c r="O934" s="46"/>
      <c r="P934" s="46"/>
      <c r="Q934" s="46"/>
      <c r="R934" s="46"/>
      <c r="S934" s="46"/>
      <c r="T934" s="46"/>
      <c r="U934" s="46"/>
      <c r="V934" s="46"/>
      <c r="W934" s="46"/>
      <c r="X934" s="46"/>
      <c r="Y934" s="46"/>
      <c r="Z934" s="46"/>
      <c r="AA934" s="46"/>
      <c r="AB934" s="46"/>
      <c r="AC934" s="46"/>
      <c r="AD934" s="46"/>
    </row>
    <row r="935">
      <c r="A935" s="46"/>
      <c r="B935" s="46"/>
      <c r="C935" s="46"/>
      <c r="D935" s="46"/>
      <c r="E935" s="46"/>
      <c r="F935" s="46"/>
      <c r="G935" s="46"/>
      <c r="H935" s="46"/>
      <c r="I935" s="46"/>
      <c r="J935" s="46"/>
      <c r="K935" s="46"/>
      <c r="L935" s="46"/>
      <c r="M935" s="46"/>
      <c r="N935" s="46"/>
      <c r="O935" s="46"/>
      <c r="P935" s="46"/>
      <c r="Q935" s="46"/>
      <c r="R935" s="46"/>
      <c r="S935" s="46"/>
      <c r="T935" s="46"/>
      <c r="U935" s="46"/>
      <c r="V935" s="46"/>
      <c r="W935" s="46"/>
      <c r="X935" s="46"/>
      <c r="Y935" s="46"/>
      <c r="Z935" s="46"/>
      <c r="AA935" s="46"/>
      <c r="AB935" s="46"/>
      <c r="AC935" s="46"/>
      <c r="AD935" s="46"/>
    </row>
    <row r="936">
      <c r="A936" s="46"/>
      <c r="B936" s="46"/>
      <c r="C936" s="4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  <c r="S936" s="46"/>
      <c r="T936" s="46"/>
      <c r="U936" s="46"/>
      <c r="V936" s="46"/>
      <c r="W936" s="46"/>
      <c r="X936" s="46"/>
      <c r="Y936" s="46"/>
      <c r="Z936" s="46"/>
      <c r="AA936" s="46"/>
      <c r="AB936" s="46"/>
      <c r="AC936" s="46"/>
      <c r="AD936" s="46"/>
    </row>
    <row r="937">
      <c r="A937" s="46"/>
      <c r="B937" s="46"/>
      <c r="C937" s="46"/>
      <c r="D937" s="46"/>
      <c r="E937" s="46"/>
      <c r="F937" s="46"/>
      <c r="G937" s="46"/>
      <c r="H937" s="46"/>
      <c r="I937" s="46"/>
      <c r="J937" s="46"/>
      <c r="K937" s="46"/>
      <c r="L937" s="46"/>
      <c r="M937" s="46"/>
      <c r="N937" s="46"/>
      <c r="O937" s="46"/>
      <c r="P937" s="46"/>
      <c r="Q937" s="46"/>
      <c r="R937" s="46"/>
      <c r="S937" s="46"/>
      <c r="T937" s="46"/>
      <c r="U937" s="46"/>
      <c r="V937" s="46"/>
      <c r="W937" s="46"/>
      <c r="X937" s="46"/>
      <c r="Y937" s="46"/>
      <c r="Z937" s="46"/>
      <c r="AA937" s="46"/>
      <c r="AB937" s="46"/>
      <c r="AC937" s="46"/>
      <c r="AD937" s="46"/>
    </row>
    <row r="938">
      <c r="A938" s="46"/>
      <c r="B938" s="46"/>
      <c r="C938" s="46"/>
      <c r="D938" s="46"/>
      <c r="E938" s="46"/>
      <c r="F938" s="46"/>
      <c r="G938" s="46"/>
      <c r="H938" s="46"/>
      <c r="I938" s="46"/>
      <c r="J938" s="46"/>
      <c r="K938" s="46"/>
      <c r="L938" s="46"/>
      <c r="M938" s="46"/>
      <c r="N938" s="46"/>
      <c r="O938" s="46"/>
      <c r="P938" s="46"/>
      <c r="Q938" s="46"/>
      <c r="R938" s="46"/>
      <c r="S938" s="46"/>
      <c r="T938" s="46"/>
      <c r="U938" s="46"/>
      <c r="V938" s="46"/>
      <c r="W938" s="46"/>
      <c r="X938" s="46"/>
      <c r="Y938" s="46"/>
      <c r="Z938" s="46"/>
      <c r="AA938" s="46"/>
      <c r="AB938" s="46"/>
      <c r="AC938" s="46"/>
      <c r="AD938" s="46"/>
    </row>
    <row r="939">
      <c r="A939" s="46"/>
      <c r="B939" s="46"/>
      <c r="C939" s="46"/>
      <c r="D939" s="46"/>
      <c r="E939" s="46"/>
      <c r="F939" s="46"/>
      <c r="G939" s="46"/>
      <c r="H939" s="46"/>
      <c r="I939" s="46"/>
      <c r="J939" s="46"/>
      <c r="K939" s="46"/>
      <c r="L939" s="46"/>
      <c r="M939" s="46"/>
      <c r="N939" s="46"/>
      <c r="O939" s="46"/>
      <c r="P939" s="46"/>
      <c r="Q939" s="46"/>
      <c r="R939" s="46"/>
      <c r="S939" s="46"/>
      <c r="T939" s="46"/>
      <c r="U939" s="46"/>
      <c r="V939" s="46"/>
      <c r="W939" s="46"/>
      <c r="X939" s="46"/>
      <c r="Y939" s="46"/>
      <c r="Z939" s="46"/>
      <c r="AA939" s="46"/>
      <c r="AB939" s="46"/>
      <c r="AC939" s="46"/>
      <c r="AD939" s="46"/>
    </row>
    <row r="940">
      <c r="A940" s="46"/>
      <c r="B940" s="46"/>
      <c r="C940" s="4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  <c r="S940" s="46"/>
      <c r="T940" s="46"/>
      <c r="U940" s="46"/>
      <c r="V940" s="46"/>
      <c r="W940" s="46"/>
      <c r="X940" s="46"/>
      <c r="Y940" s="46"/>
      <c r="Z940" s="46"/>
      <c r="AA940" s="46"/>
      <c r="AB940" s="46"/>
      <c r="AC940" s="46"/>
      <c r="AD940" s="46"/>
    </row>
    <row r="941">
      <c r="A941" s="46"/>
      <c r="B941" s="46"/>
      <c r="C941" s="46"/>
      <c r="D941" s="46"/>
      <c r="E941" s="46"/>
      <c r="F941" s="46"/>
      <c r="G941" s="46"/>
      <c r="H941" s="46"/>
      <c r="I941" s="46"/>
      <c r="J941" s="46"/>
      <c r="K941" s="46"/>
      <c r="L941" s="46"/>
      <c r="M941" s="46"/>
      <c r="N941" s="46"/>
      <c r="O941" s="46"/>
      <c r="P941" s="46"/>
      <c r="Q941" s="46"/>
      <c r="R941" s="46"/>
      <c r="S941" s="46"/>
      <c r="T941" s="46"/>
      <c r="U941" s="46"/>
      <c r="V941" s="46"/>
      <c r="W941" s="46"/>
      <c r="X941" s="46"/>
      <c r="Y941" s="46"/>
      <c r="Z941" s="46"/>
      <c r="AA941" s="46"/>
      <c r="AB941" s="46"/>
      <c r="AC941" s="46"/>
      <c r="AD941" s="46"/>
    </row>
    <row r="942">
      <c r="A942" s="46"/>
      <c r="B942" s="46"/>
      <c r="C942" s="46"/>
      <c r="D942" s="46"/>
      <c r="E942" s="46"/>
      <c r="F942" s="46"/>
      <c r="G942" s="46"/>
      <c r="H942" s="46"/>
      <c r="I942" s="46"/>
      <c r="J942" s="46"/>
      <c r="K942" s="46"/>
      <c r="L942" s="46"/>
      <c r="M942" s="46"/>
      <c r="N942" s="46"/>
      <c r="O942" s="46"/>
      <c r="P942" s="46"/>
      <c r="Q942" s="46"/>
      <c r="R942" s="46"/>
      <c r="S942" s="46"/>
      <c r="T942" s="46"/>
      <c r="U942" s="46"/>
      <c r="V942" s="46"/>
      <c r="W942" s="46"/>
      <c r="X942" s="46"/>
      <c r="Y942" s="46"/>
      <c r="Z942" s="46"/>
      <c r="AA942" s="46"/>
      <c r="AB942" s="46"/>
      <c r="AC942" s="46"/>
      <c r="AD942" s="46"/>
    </row>
    <row r="943">
      <c r="A943" s="46"/>
      <c r="B943" s="46"/>
      <c r="C943" s="46"/>
      <c r="D943" s="46"/>
      <c r="E943" s="46"/>
      <c r="F943" s="46"/>
      <c r="G943" s="46"/>
      <c r="H943" s="46"/>
      <c r="I943" s="46"/>
      <c r="J943" s="46"/>
      <c r="K943" s="46"/>
      <c r="L943" s="46"/>
      <c r="M943" s="46"/>
      <c r="N943" s="46"/>
      <c r="O943" s="46"/>
      <c r="P943" s="46"/>
      <c r="Q943" s="46"/>
      <c r="R943" s="46"/>
      <c r="S943" s="46"/>
      <c r="T943" s="46"/>
      <c r="U943" s="46"/>
      <c r="V943" s="46"/>
      <c r="W943" s="46"/>
      <c r="X943" s="46"/>
      <c r="Y943" s="46"/>
      <c r="Z943" s="46"/>
      <c r="AA943" s="46"/>
      <c r="AB943" s="46"/>
      <c r="AC943" s="46"/>
      <c r="AD943" s="46"/>
    </row>
    <row r="944">
      <c r="A944" s="46"/>
      <c r="B944" s="46"/>
      <c r="C944" s="4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  <c r="S944" s="46"/>
      <c r="T944" s="46"/>
      <c r="U944" s="46"/>
      <c r="V944" s="46"/>
      <c r="W944" s="46"/>
      <c r="X944" s="46"/>
      <c r="Y944" s="46"/>
      <c r="Z944" s="46"/>
      <c r="AA944" s="46"/>
      <c r="AB944" s="46"/>
      <c r="AC944" s="46"/>
      <c r="AD944" s="46"/>
    </row>
    <row r="945">
      <c r="A945" s="46"/>
      <c r="B945" s="46"/>
      <c r="C945" s="46"/>
      <c r="D945" s="46"/>
      <c r="E945" s="46"/>
      <c r="F945" s="46"/>
      <c r="G945" s="46"/>
      <c r="H945" s="46"/>
      <c r="I945" s="46"/>
      <c r="J945" s="46"/>
      <c r="K945" s="46"/>
      <c r="L945" s="46"/>
      <c r="M945" s="46"/>
      <c r="N945" s="46"/>
      <c r="O945" s="46"/>
      <c r="P945" s="46"/>
      <c r="Q945" s="46"/>
      <c r="R945" s="46"/>
      <c r="S945" s="46"/>
      <c r="T945" s="46"/>
      <c r="U945" s="46"/>
      <c r="V945" s="46"/>
      <c r="W945" s="46"/>
      <c r="X945" s="46"/>
      <c r="Y945" s="46"/>
      <c r="Z945" s="46"/>
      <c r="AA945" s="46"/>
      <c r="AB945" s="46"/>
      <c r="AC945" s="46"/>
      <c r="AD945" s="46"/>
    </row>
    <row r="946">
      <c r="A946" s="46"/>
      <c r="B946" s="46"/>
      <c r="C946" s="46"/>
      <c r="D946" s="46"/>
      <c r="E946" s="46"/>
      <c r="F946" s="46"/>
      <c r="G946" s="46"/>
      <c r="H946" s="46"/>
      <c r="I946" s="46"/>
      <c r="J946" s="46"/>
      <c r="K946" s="46"/>
      <c r="L946" s="46"/>
      <c r="M946" s="46"/>
      <c r="N946" s="46"/>
      <c r="O946" s="46"/>
      <c r="P946" s="46"/>
      <c r="Q946" s="46"/>
      <c r="R946" s="46"/>
      <c r="S946" s="46"/>
      <c r="T946" s="46"/>
      <c r="U946" s="46"/>
      <c r="V946" s="46"/>
      <c r="W946" s="46"/>
      <c r="X946" s="46"/>
      <c r="Y946" s="46"/>
      <c r="Z946" s="46"/>
      <c r="AA946" s="46"/>
      <c r="AB946" s="46"/>
      <c r="AC946" s="46"/>
      <c r="AD946" s="46"/>
    </row>
    <row r="947">
      <c r="A947" s="46"/>
      <c r="B947" s="46"/>
      <c r="C947" s="46"/>
      <c r="D947" s="46"/>
      <c r="E947" s="46"/>
      <c r="F947" s="46"/>
      <c r="G947" s="46"/>
      <c r="H947" s="46"/>
      <c r="I947" s="46"/>
      <c r="J947" s="46"/>
      <c r="K947" s="46"/>
      <c r="L947" s="46"/>
      <c r="M947" s="46"/>
      <c r="N947" s="46"/>
      <c r="O947" s="46"/>
      <c r="P947" s="46"/>
      <c r="Q947" s="46"/>
      <c r="R947" s="46"/>
      <c r="S947" s="46"/>
      <c r="T947" s="46"/>
      <c r="U947" s="46"/>
      <c r="V947" s="46"/>
      <c r="W947" s="46"/>
      <c r="X947" s="46"/>
      <c r="Y947" s="46"/>
      <c r="Z947" s="46"/>
      <c r="AA947" s="46"/>
      <c r="AB947" s="46"/>
      <c r="AC947" s="46"/>
      <c r="AD947" s="46"/>
    </row>
  </sheetData>
  <mergeCells count="1">
    <mergeCell ref="A23:D23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38"/>
    <col customWidth="1" min="13" max="13" width="8.88"/>
    <col customWidth="1" min="14" max="14" width="8.63"/>
  </cols>
  <sheetData>
    <row r="1">
      <c r="A1" s="70" t="s">
        <v>119</v>
      </c>
      <c r="B1" s="34"/>
      <c r="C1" s="54">
        <v>1.0</v>
      </c>
      <c r="D1" s="54">
        <v>2.0</v>
      </c>
      <c r="E1" s="54">
        <v>3.0</v>
      </c>
      <c r="F1" s="54">
        <v>4.0</v>
      </c>
      <c r="G1" s="54">
        <v>5.0</v>
      </c>
      <c r="H1" s="54">
        <v>6.0</v>
      </c>
      <c r="I1" s="54">
        <v>7.0</v>
      </c>
      <c r="J1" s="54">
        <v>8.0</v>
      </c>
      <c r="K1" s="54">
        <v>9.0</v>
      </c>
      <c r="L1" s="54">
        <v>10.0</v>
      </c>
      <c r="M1" s="54">
        <v>11.0</v>
      </c>
      <c r="N1" s="54">
        <v>12.0</v>
      </c>
      <c r="O1" s="54" t="s">
        <v>271</v>
      </c>
      <c r="P1" s="69"/>
      <c r="Q1" s="69"/>
      <c r="R1" s="69"/>
      <c r="S1" s="69"/>
      <c r="T1" s="69"/>
      <c r="U1" s="69"/>
    </row>
    <row r="2">
      <c r="A2" s="70" t="s">
        <v>41</v>
      </c>
      <c r="B2" s="54" t="s">
        <v>272</v>
      </c>
      <c r="C2" s="54">
        <v>1437.72</v>
      </c>
      <c r="D2" s="54">
        <v>1437.72</v>
      </c>
      <c r="E2" s="54">
        <v>1437.72</v>
      </c>
      <c r="F2" s="54">
        <v>1437.72</v>
      </c>
      <c r="G2" s="54">
        <v>1437.72</v>
      </c>
      <c r="H2" s="54">
        <v>1437.72</v>
      </c>
      <c r="I2" s="54">
        <v>1437.72</v>
      </c>
      <c r="J2" s="54">
        <v>1437.72</v>
      </c>
      <c r="K2" s="54">
        <v>1437.72</v>
      </c>
      <c r="L2" s="54">
        <f>-1066.7-1437.72</f>
        <v>-2504.42</v>
      </c>
      <c r="M2" s="34"/>
      <c r="N2" s="34"/>
      <c r="O2" s="34">
        <f t="shared" ref="O2:O18" si="1">SUM(B2:N2)</f>
        <v>10435.06</v>
      </c>
      <c r="P2" s="69"/>
      <c r="Q2" s="69"/>
      <c r="R2" s="69"/>
      <c r="S2" s="69"/>
      <c r="T2" s="69"/>
      <c r="U2" s="69"/>
    </row>
    <row r="3">
      <c r="A3" s="70" t="s">
        <v>41</v>
      </c>
      <c r="B3" s="54" t="s">
        <v>273</v>
      </c>
      <c r="C3" s="54">
        <v>1061.78</v>
      </c>
      <c r="D3" s="54">
        <v>1061.78</v>
      </c>
      <c r="E3" s="54">
        <v>1061.78</v>
      </c>
      <c r="F3" s="54">
        <v>1061.78</v>
      </c>
      <c r="G3" s="54">
        <v>1061.78</v>
      </c>
      <c r="H3" s="54">
        <v>1061.78</v>
      </c>
      <c r="I3" s="54">
        <v>1061.78</v>
      </c>
      <c r="J3" s="54">
        <v>1061.78</v>
      </c>
      <c r="K3" s="54">
        <v>1061.78</v>
      </c>
      <c r="L3" s="34">
        <f>-787.77-1061.78</f>
        <v>-1849.55</v>
      </c>
      <c r="M3" s="34"/>
      <c r="N3" s="34"/>
      <c r="O3" s="34">
        <f t="shared" si="1"/>
        <v>7706.47</v>
      </c>
      <c r="P3" s="69"/>
      <c r="Q3" s="69"/>
      <c r="R3" s="69"/>
      <c r="S3" s="69"/>
      <c r="T3" s="69"/>
      <c r="U3" s="69"/>
    </row>
    <row r="4">
      <c r="A4" s="347" t="s">
        <v>50</v>
      </c>
      <c r="B4" s="348" t="s">
        <v>274</v>
      </c>
      <c r="C4" s="348">
        <v>1934.79</v>
      </c>
      <c r="D4" s="348">
        <v>1934.79</v>
      </c>
      <c r="E4" s="348">
        <v>1934.79</v>
      </c>
      <c r="F4" s="348">
        <v>1934.79</v>
      </c>
      <c r="G4" s="348">
        <v>1934.79</v>
      </c>
      <c r="H4" s="349">
        <f>-1934.79-1934.79</f>
        <v>-3869.58</v>
      </c>
      <c r="I4" s="349"/>
      <c r="J4" s="349"/>
      <c r="K4" s="349"/>
      <c r="L4" s="349"/>
      <c r="M4" s="349"/>
      <c r="N4" s="349"/>
      <c r="O4" s="349">
        <f t="shared" si="1"/>
        <v>5804.37</v>
      </c>
      <c r="P4" s="69"/>
      <c r="Q4" s="69"/>
      <c r="R4" s="69"/>
      <c r="S4" s="69"/>
      <c r="T4" s="69"/>
      <c r="U4" s="69"/>
      <c r="V4" s="350"/>
      <c r="W4" s="350"/>
      <c r="X4" s="350"/>
      <c r="Y4" s="350"/>
      <c r="Z4" s="350"/>
      <c r="AA4" s="350"/>
    </row>
    <row r="5">
      <c r="A5" s="347" t="s">
        <v>50</v>
      </c>
      <c r="B5" s="348" t="s">
        <v>275</v>
      </c>
      <c r="C5" s="348">
        <v>3289.14</v>
      </c>
      <c r="D5" s="348">
        <v>3289.14</v>
      </c>
      <c r="E5" s="348">
        <v>3289.14</v>
      </c>
      <c r="F5" s="348">
        <v>3289.14</v>
      </c>
      <c r="G5" s="348">
        <v>3289.14</v>
      </c>
      <c r="H5" s="349">
        <f>-3289.14-3289.14</f>
        <v>-6578.28</v>
      </c>
      <c r="I5" s="349"/>
      <c r="J5" s="349"/>
      <c r="K5" s="349"/>
      <c r="L5" s="348"/>
      <c r="M5" s="349"/>
      <c r="N5" s="349"/>
      <c r="O5" s="349">
        <f t="shared" si="1"/>
        <v>9867.42</v>
      </c>
      <c r="P5" s="69"/>
      <c r="Q5" s="69"/>
      <c r="R5" s="69"/>
      <c r="S5" s="69"/>
      <c r="T5" s="69"/>
      <c r="U5" s="69"/>
      <c r="V5" s="350"/>
      <c r="W5" s="350"/>
      <c r="X5" s="350"/>
      <c r="Y5" s="350"/>
      <c r="Z5" s="350"/>
      <c r="AA5" s="350"/>
    </row>
    <row r="6">
      <c r="A6" s="347" t="s">
        <v>50</v>
      </c>
      <c r="B6" s="348" t="s">
        <v>276</v>
      </c>
      <c r="C6" s="348">
        <v>849.42</v>
      </c>
      <c r="D6" s="348">
        <v>849.42</v>
      </c>
      <c r="E6" s="348">
        <v>849.42</v>
      </c>
      <c r="F6" s="348">
        <v>849.42</v>
      </c>
      <c r="G6" s="348">
        <v>849.42</v>
      </c>
      <c r="H6" s="348">
        <v>849.42</v>
      </c>
      <c r="I6" s="348">
        <v>849.42</v>
      </c>
      <c r="J6" s="348">
        <f>849.42+42.47</f>
        <v>891.89</v>
      </c>
      <c r="K6" s="348">
        <v>891.89</v>
      </c>
      <c r="L6" s="348">
        <v>891.89</v>
      </c>
      <c r="M6" s="348">
        <v>891.89</v>
      </c>
      <c r="N6" s="348">
        <v>891.89</v>
      </c>
      <c r="O6" s="349">
        <f t="shared" si="1"/>
        <v>10405.39</v>
      </c>
      <c r="P6" s="69"/>
      <c r="Q6" s="69"/>
      <c r="R6" s="69"/>
      <c r="S6" s="69"/>
      <c r="T6" s="69"/>
      <c r="U6" s="69"/>
      <c r="V6" s="350"/>
      <c r="W6" s="350"/>
      <c r="X6" s="350"/>
      <c r="Y6" s="350"/>
      <c r="Z6" s="350"/>
      <c r="AA6" s="350"/>
    </row>
    <row r="7">
      <c r="A7" s="347" t="s">
        <v>50</v>
      </c>
      <c r="B7" s="348" t="s">
        <v>277</v>
      </c>
      <c r="C7" s="348">
        <v>1437.72</v>
      </c>
      <c r="D7" s="348">
        <v>1437.72</v>
      </c>
      <c r="E7" s="348">
        <v>1437.72</v>
      </c>
      <c r="F7" s="348">
        <v>1437.72</v>
      </c>
      <c r="G7" s="348">
        <v>1437.72</v>
      </c>
      <c r="H7" s="348">
        <v>1437.72</v>
      </c>
      <c r="I7" s="348">
        <v>1437.72</v>
      </c>
      <c r="J7" s="348">
        <v>1437.72</v>
      </c>
      <c r="K7" s="349">
        <f>71.89+1509.61</f>
        <v>1581.5</v>
      </c>
      <c r="L7" s="348">
        <v>1509.61</v>
      </c>
      <c r="M7" s="348">
        <v>1509.61</v>
      </c>
      <c r="N7" s="348">
        <v>1509.61</v>
      </c>
      <c r="O7" s="349">
        <f t="shared" si="1"/>
        <v>17612.09</v>
      </c>
      <c r="P7" s="69"/>
      <c r="Q7" s="69"/>
      <c r="R7" s="69"/>
      <c r="S7" s="69"/>
      <c r="T7" s="69"/>
      <c r="U7" s="69"/>
      <c r="V7" s="350"/>
      <c r="W7" s="350"/>
      <c r="X7" s="350"/>
      <c r="Y7" s="350"/>
      <c r="Z7" s="350"/>
      <c r="AA7" s="350"/>
    </row>
    <row r="8">
      <c r="A8" s="347" t="s">
        <v>50</v>
      </c>
      <c r="B8" s="348" t="s">
        <v>278</v>
      </c>
      <c r="C8" s="348">
        <v>3289.14</v>
      </c>
      <c r="D8" s="348">
        <v>3289.14</v>
      </c>
      <c r="E8" s="348">
        <v>3289.14</v>
      </c>
      <c r="F8" s="348">
        <v>3289.14</v>
      </c>
      <c r="G8" s="348">
        <v>3289.14</v>
      </c>
      <c r="H8" s="349">
        <f>-3289.14-3289.14</f>
        <v>-6578.28</v>
      </c>
      <c r="I8" s="349"/>
      <c r="J8" s="349"/>
      <c r="K8" s="349"/>
      <c r="L8" s="349"/>
      <c r="M8" s="349"/>
      <c r="N8" s="349"/>
      <c r="O8" s="349">
        <f t="shared" si="1"/>
        <v>9867.42</v>
      </c>
      <c r="P8" s="69"/>
      <c r="Q8" s="69"/>
      <c r="R8" s="69"/>
      <c r="S8" s="69"/>
      <c r="T8" s="69"/>
      <c r="U8" s="69"/>
      <c r="V8" s="350"/>
      <c r="W8" s="350"/>
      <c r="X8" s="350"/>
      <c r="Y8" s="350"/>
      <c r="Z8" s="350"/>
      <c r="AA8" s="350"/>
    </row>
    <row r="9">
      <c r="A9" s="70" t="s">
        <v>41</v>
      </c>
      <c r="B9" s="54" t="s">
        <v>279</v>
      </c>
      <c r="C9" s="54">
        <v>4091.37</v>
      </c>
      <c r="D9" s="54">
        <v>4091.37</v>
      </c>
      <c r="E9" s="54">
        <v>4091.37</v>
      </c>
      <c r="F9" s="54">
        <v>4091.37</v>
      </c>
      <c r="G9" s="54">
        <v>4091.37</v>
      </c>
      <c r="H9" s="34">
        <f>-4091.37-4097.37</f>
        <v>-8188.74</v>
      </c>
      <c r="I9" s="34"/>
      <c r="J9" s="34"/>
      <c r="K9" s="34"/>
      <c r="L9" s="34"/>
      <c r="M9" s="34"/>
      <c r="N9" s="34"/>
      <c r="O9" s="34">
        <f t="shared" si="1"/>
        <v>12268.11</v>
      </c>
      <c r="P9" s="69"/>
      <c r="Q9" s="69"/>
      <c r="R9" s="69"/>
      <c r="S9" s="69"/>
      <c r="T9" s="69"/>
      <c r="U9" s="69"/>
    </row>
    <row r="10">
      <c r="A10" s="347" t="s">
        <v>50</v>
      </c>
      <c r="B10" s="348" t="s">
        <v>280</v>
      </c>
      <c r="C10" s="348">
        <v>1437.72</v>
      </c>
      <c r="D10" s="348">
        <v>1437.72</v>
      </c>
      <c r="E10" s="348">
        <v>1437.72</v>
      </c>
      <c r="F10" s="348">
        <v>1437.72</v>
      </c>
      <c r="G10" s="348">
        <v>1437.72</v>
      </c>
      <c r="H10" s="348">
        <v>1437.72</v>
      </c>
      <c r="I10" s="348">
        <v>1437.72</v>
      </c>
      <c r="J10" s="348">
        <v>1437.72</v>
      </c>
      <c r="K10" s="349">
        <f>71.79+1509.61</f>
        <v>1581.4</v>
      </c>
      <c r="L10" s="348">
        <v>1509.61</v>
      </c>
      <c r="M10" s="348">
        <v>1509.61</v>
      </c>
      <c r="N10" s="348">
        <v>1509.61</v>
      </c>
      <c r="O10" s="349">
        <f t="shared" si="1"/>
        <v>17611.99</v>
      </c>
      <c r="P10" s="69"/>
      <c r="Q10" s="69"/>
      <c r="R10" s="69"/>
      <c r="S10" s="69"/>
      <c r="T10" s="69"/>
      <c r="U10" s="69"/>
      <c r="V10" s="350"/>
      <c r="W10" s="350"/>
      <c r="X10" s="350"/>
      <c r="Y10" s="350"/>
      <c r="Z10" s="350"/>
      <c r="AA10" s="350"/>
    </row>
    <row r="11">
      <c r="A11" s="70" t="s">
        <v>41</v>
      </c>
      <c r="B11" s="54" t="s">
        <v>281</v>
      </c>
      <c r="C11" s="54">
        <v>1061.78</v>
      </c>
      <c r="D11" s="54">
        <v>1061.78</v>
      </c>
      <c r="E11" s="54">
        <v>1061.78</v>
      </c>
      <c r="F11" s="54">
        <v>1061.78</v>
      </c>
      <c r="G11" s="54">
        <v>1061.78</v>
      </c>
      <c r="H11" s="54">
        <v>1061.78</v>
      </c>
      <c r="I11" s="54">
        <v>1061.78</v>
      </c>
      <c r="J11" s="54">
        <v>1061.78</v>
      </c>
      <c r="K11" s="54">
        <f>53.08+114.68</f>
        <v>167.76</v>
      </c>
      <c r="L11" s="54">
        <v>1114.86</v>
      </c>
      <c r="M11" s="54">
        <v>1114.86</v>
      </c>
      <c r="N11" s="54">
        <v>1114.86</v>
      </c>
      <c r="O11" s="258">
        <f t="shared" si="1"/>
        <v>12006.58</v>
      </c>
      <c r="P11" s="69"/>
      <c r="Q11" s="69"/>
      <c r="R11" s="69"/>
      <c r="S11" s="69"/>
      <c r="T11" s="69"/>
      <c r="U11" s="69"/>
    </row>
    <row r="12">
      <c r="A12" s="70" t="s">
        <v>41</v>
      </c>
      <c r="B12" s="54" t="s">
        <v>282</v>
      </c>
      <c r="C12" s="54">
        <v>1132.56</v>
      </c>
      <c r="D12" s="54">
        <v>1132.56</v>
      </c>
      <c r="E12" s="54">
        <v>1132.56</v>
      </c>
      <c r="F12" s="54">
        <v>1132.56</v>
      </c>
      <c r="G12" s="54">
        <v>1132.56</v>
      </c>
      <c r="H12" s="70">
        <v>3132.56</v>
      </c>
      <c r="I12" s="54">
        <f>-913.35-1132.56</f>
        <v>-2045.91</v>
      </c>
      <c r="K12" s="34"/>
      <c r="L12" s="34"/>
      <c r="M12" s="34"/>
      <c r="N12" s="34"/>
      <c r="O12" s="258">
        <f t="shared" si="1"/>
        <v>6749.45</v>
      </c>
      <c r="P12" s="69"/>
      <c r="Q12" s="69"/>
      <c r="R12" s="69"/>
      <c r="S12" s="69"/>
      <c r="T12" s="69"/>
      <c r="U12" s="69"/>
    </row>
    <row r="13">
      <c r="A13" s="70" t="s">
        <v>41</v>
      </c>
      <c r="B13" s="54" t="s">
        <v>283</v>
      </c>
      <c r="C13" s="54">
        <v>1934.79</v>
      </c>
      <c r="D13" s="54">
        <v>1934.79</v>
      </c>
      <c r="E13" s="54">
        <v>1934.79</v>
      </c>
      <c r="F13" s="54">
        <v>1934.79</v>
      </c>
      <c r="G13" s="54">
        <v>1934.79</v>
      </c>
      <c r="H13" s="54">
        <v>1934.79</v>
      </c>
      <c r="I13" s="54">
        <v>1934.79</v>
      </c>
      <c r="J13" s="54">
        <v>1934.79</v>
      </c>
      <c r="K13" s="34">
        <f>96.74+2031.53</f>
        <v>2128.27</v>
      </c>
      <c r="L13" s="54">
        <v>2031.53</v>
      </c>
      <c r="M13" s="54">
        <v>2031.53</v>
      </c>
      <c r="N13" s="54">
        <v>2031.53</v>
      </c>
      <c r="O13" s="258">
        <f t="shared" si="1"/>
        <v>23701.18</v>
      </c>
      <c r="P13" s="69"/>
      <c r="Q13" s="69"/>
      <c r="R13" s="69"/>
      <c r="S13" s="69"/>
      <c r="T13" s="69"/>
      <c r="U13" s="69"/>
    </row>
    <row r="14">
      <c r="A14" s="70" t="s">
        <v>41</v>
      </c>
      <c r="B14" s="54" t="s">
        <v>284</v>
      </c>
      <c r="C14" s="54">
        <v>1132.26</v>
      </c>
      <c r="D14" s="54">
        <v>1132.26</v>
      </c>
      <c r="E14" s="54">
        <v>1132.26</v>
      </c>
      <c r="F14" s="54">
        <v>1132.26</v>
      </c>
      <c r="G14" s="54">
        <v>1132.26</v>
      </c>
      <c r="H14" s="54">
        <v>1132.26</v>
      </c>
      <c r="I14" s="54">
        <v>1132.26</v>
      </c>
      <c r="J14" s="54">
        <v>1132.26</v>
      </c>
      <c r="K14" s="34">
        <f>56.63+1189.19</f>
        <v>1245.82</v>
      </c>
      <c r="L14" s="54">
        <v>1189.19</v>
      </c>
      <c r="M14" s="54">
        <v>1189.19</v>
      </c>
      <c r="N14" s="54">
        <v>1189.19</v>
      </c>
      <c r="O14" s="258">
        <f t="shared" si="1"/>
        <v>13871.47</v>
      </c>
      <c r="P14" s="69"/>
      <c r="Q14" s="69"/>
      <c r="R14" s="69"/>
      <c r="S14" s="69"/>
      <c r="T14" s="69"/>
      <c r="U14" s="69"/>
    </row>
    <row r="15">
      <c r="A15" s="351" t="s">
        <v>50</v>
      </c>
      <c r="B15" s="60" t="s">
        <v>285</v>
      </c>
      <c r="C15" s="60">
        <v>2312.31</v>
      </c>
      <c r="D15" s="60">
        <v>2312.31</v>
      </c>
      <c r="E15" s="60">
        <v>2312.31</v>
      </c>
      <c r="F15" s="60">
        <v>2312.31</v>
      </c>
      <c r="G15" s="60">
        <v>2312.31</v>
      </c>
      <c r="H15" s="191">
        <f>-2312.31-2312.31</f>
        <v>-4624.62</v>
      </c>
      <c r="I15" s="191"/>
      <c r="J15" s="191"/>
      <c r="K15" s="191"/>
      <c r="L15" s="191"/>
      <c r="M15" s="191"/>
      <c r="N15" s="191"/>
      <c r="O15" s="349">
        <f t="shared" si="1"/>
        <v>6936.93</v>
      </c>
      <c r="P15" s="69"/>
      <c r="Q15" s="69"/>
      <c r="R15" s="69"/>
      <c r="S15" s="69"/>
      <c r="T15" s="69"/>
      <c r="U15" s="69"/>
      <c r="V15" s="352"/>
      <c r="W15" s="352"/>
      <c r="X15" s="352"/>
      <c r="Y15" s="352"/>
      <c r="Z15" s="352"/>
      <c r="AA15" s="352"/>
    </row>
    <row r="16">
      <c r="A16" s="351" t="s">
        <v>50</v>
      </c>
      <c r="B16" s="60" t="s">
        <v>286</v>
      </c>
      <c r="C16" s="191">
        <f t="shared" ref="C16:J16" si="2">1132.56+3289.14</f>
        <v>4421.7</v>
      </c>
      <c r="D16" s="191">
        <f t="shared" si="2"/>
        <v>4421.7</v>
      </c>
      <c r="E16" s="191">
        <f t="shared" si="2"/>
        <v>4421.7</v>
      </c>
      <c r="F16" s="191">
        <f t="shared" si="2"/>
        <v>4421.7</v>
      </c>
      <c r="G16" s="191">
        <f t="shared" si="2"/>
        <v>4421.7</v>
      </c>
      <c r="H16" s="191">
        <f t="shared" si="2"/>
        <v>4421.7</v>
      </c>
      <c r="I16" s="191">
        <f t="shared" si="2"/>
        <v>4421.7</v>
      </c>
      <c r="J16" s="191">
        <f t="shared" si="2"/>
        <v>4421.7</v>
      </c>
      <c r="K16" s="191">
        <f>56.63+1189.19+164.46+3463.6</f>
        <v>4873.88</v>
      </c>
      <c r="L16" s="191">
        <f t="shared" ref="L16:N16" si="3">1189.19+3453.6</f>
        <v>4642.79</v>
      </c>
      <c r="M16" s="191">
        <f t="shared" si="3"/>
        <v>4642.79</v>
      </c>
      <c r="N16" s="191">
        <f t="shared" si="3"/>
        <v>4642.79</v>
      </c>
      <c r="O16" s="349">
        <f t="shared" si="1"/>
        <v>54175.85</v>
      </c>
      <c r="P16" s="69"/>
      <c r="Q16" s="69"/>
      <c r="R16" s="69"/>
      <c r="S16" s="69"/>
      <c r="T16" s="69"/>
      <c r="U16" s="69"/>
      <c r="V16" s="352"/>
      <c r="W16" s="352"/>
      <c r="X16" s="352"/>
      <c r="Y16" s="352"/>
      <c r="Z16" s="352"/>
      <c r="AA16" s="352"/>
    </row>
    <row r="17">
      <c r="A17" s="351" t="s">
        <v>50</v>
      </c>
      <c r="B17" s="60" t="s">
        <v>287</v>
      </c>
      <c r="C17" s="60">
        <v>849.42</v>
      </c>
      <c r="D17" s="60">
        <v>849.42</v>
      </c>
      <c r="E17" s="60">
        <v>849.42</v>
      </c>
      <c r="F17" s="60">
        <v>849.42</v>
      </c>
      <c r="G17" s="60">
        <v>849.42</v>
      </c>
      <c r="H17" s="60">
        <v>849.42</v>
      </c>
      <c r="I17" s="60">
        <v>849.42</v>
      </c>
      <c r="J17" s="60">
        <v>849.42</v>
      </c>
      <c r="K17" s="191">
        <f>42.47+891.89</f>
        <v>934.36</v>
      </c>
      <c r="L17" s="60">
        <v>891.89</v>
      </c>
      <c r="M17" s="60">
        <v>891.89</v>
      </c>
      <c r="N17" s="60">
        <v>891.89</v>
      </c>
      <c r="O17" s="349">
        <f t="shared" si="1"/>
        <v>10405.39</v>
      </c>
      <c r="P17" s="69"/>
      <c r="Q17" s="69"/>
      <c r="R17" s="69"/>
      <c r="S17" s="69"/>
      <c r="T17" s="69"/>
      <c r="U17" s="69"/>
      <c r="V17" s="352"/>
      <c r="W17" s="352"/>
      <c r="X17" s="352"/>
      <c r="Y17" s="352"/>
      <c r="Z17" s="352"/>
      <c r="AA17" s="352"/>
    </row>
    <row r="18">
      <c r="A18" s="351" t="s">
        <v>50</v>
      </c>
      <c r="B18" s="60" t="s">
        <v>288</v>
      </c>
      <c r="C18" s="60">
        <v>3289.14</v>
      </c>
      <c r="D18" s="60">
        <v>3289.14</v>
      </c>
      <c r="E18" s="60">
        <v>3289.14</v>
      </c>
      <c r="F18" s="60">
        <v>3289.14</v>
      </c>
      <c r="G18" s="60">
        <v>3289.14</v>
      </c>
      <c r="H18" s="191">
        <f>-3289.14-3289.14</f>
        <v>-6578.28</v>
      </c>
      <c r="I18" s="191"/>
      <c r="J18" s="191"/>
      <c r="K18" s="191"/>
      <c r="L18" s="191"/>
      <c r="M18" s="191"/>
      <c r="N18" s="191"/>
      <c r="O18" s="349">
        <f t="shared" si="1"/>
        <v>9867.42</v>
      </c>
      <c r="P18" s="69"/>
      <c r="Q18" s="69"/>
      <c r="R18" s="69"/>
      <c r="S18" s="69"/>
      <c r="T18" s="69"/>
      <c r="U18" s="69"/>
      <c r="V18" s="352"/>
      <c r="W18" s="352"/>
      <c r="X18" s="352"/>
      <c r="Y18" s="352"/>
      <c r="Z18" s="352"/>
      <c r="AA18" s="352"/>
    </row>
    <row r="19">
      <c r="P19" s="54" t="s">
        <v>289</v>
      </c>
      <c r="Q19" s="72">
        <f>SUM(O4+O5+O6+O7+O8+O10+O15+O16+O17+O18)</f>
        <v>152554.27</v>
      </c>
    </row>
    <row r="20">
      <c r="P20" s="54" t="s">
        <v>41</v>
      </c>
      <c r="Q20" s="72">
        <f>SUM(O2+O3+O9+O11+O12+O13+O14)</f>
        <v>86738.32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88"/>
    <col customWidth="1" min="6" max="6" width="9.63"/>
    <col customWidth="1" min="7" max="7" width="14.0"/>
    <col customWidth="1" min="8" max="8" width="10.5"/>
  </cols>
  <sheetData>
    <row r="1">
      <c r="A1" s="353" t="s">
        <v>26</v>
      </c>
      <c r="B1" s="253" t="s">
        <v>195</v>
      </c>
      <c r="C1" s="253" t="s">
        <v>196</v>
      </c>
      <c r="D1" s="253" t="s">
        <v>197</v>
      </c>
      <c r="E1" s="354" t="s">
        <v>4</v>
      </c>
      <c r="F1" s="355" t="s">
        <v>5</v>
      </c>
      <c r="G1" s="355" t="s">
        <v>6</v>
      </c>
      <c r="H1" s="321" t="s">
        <v>9</v>
      </c>
      <c r="I1" s="254" t="s">
        <v>198</v>
      </c>
      <c r="J1" s="69"/>
    </row>
    <row r="2">
      <c r="A2" s="322" t="s">
        <v>262</v>
      </c>
      <c r="B2" s="58">
        <f>'Исходные данные'!D43</f>
        <v>334</v>
      </c>
      <c r="C2" s="58">
        <f>'Исходные данные'!D41</f>
        <v>50</v>
      </c>
      <c r="D2" s="58"/>
      <c r="E2" s="323">
        <v>278297.0</v>
      </c>
      <c r="F2" s="356">
        <v>12.0</v>
      </c>
      <c r="G2" s="58">
        <f t="shared" ref="G2:G12" si="1">E2/F2</f>
        <v>23191.41667</v>
      </c>
      <c r="H2" s="146"/>
      <c r="I2" s="357">
        <f t="shared" ref="I2:I3" si="2">G2/B2*C2</f>
        <v>3471.768962</v>
      </c>
      <c r="J2" s="69"/>
    </row>
    <row r="3">
      <c r="A3" s="322" t="s">
        <v>263</v>
      </c>
      <c r="B3" s="58">
        <f>'Исходные данные'!E43</f>
        <v>499</v>
      </c>
      <c r="C3" s="51">
        <f>'Исходные данные'!E41</f>
        <v>62</v>
      </c>
      <c r="D3" s="58"/>
      <c r="E3" s="358">
        <v>695981.0</v>
      </c>
      <c r="F3" s="356">
        <v>12.0</v>
      </c>
      <c r="G3" s="58">
        <f t="shared" si="1"/>
        <v>57998.41667</v>
      </c>
      <c r="H3" s="146"/>
      <c r="I3" s="357">
        <f t="shared" si="2"/>
        <v>7206.216099</v>
      </c>
      <c r="J3" s="69"/>
    </row>
    <row r="4">
      <c r="A4" s="322" t="s">
        <v>147</v>
      </c>
      <c r="B4" s="58"/>
      <c r="C4" s="51"/>
      <c r="D4" s="58"/>
      <c r="E4" s="358"/>
      <c r="F4" s="356">
        <v>12.0</v>
      </c>
      <c r="G4" s="58">
        <f t="shared" si="1"/>
        <v>0</v>
      </c>
      <c r="H4" s="146"/>
      <c r="I4" s="357">
        <f t="shared" ref="I4:I12" si="3">G4</f>
        <v>0</v>
      </c>
      <c r="J4" s="69"/>
    </row>
    <row r="5">
      <c r="A5" s="327" t="s">
        <v>202</v>
      </c>
      <c r="B5" s="328"/>
      <c r="C5" s="359"/>
      <c r="D5" s="359"/>
      <c r="E5" s="336">
        <f>59635+3231</f>
        <v>62866</v>
      </c>
      <c r="F5" s="360">
        <v>12.0</v>
      </c>
      <c r="G5" s="332">
        <f t="shared" si="1"/>
        <v>5238.833333</v>
      </c>
      <c r="H5" s="146"/>
      <c r="I5" s="357">
        <f t="shared" si="3"/>
        <v>5238.833333</v>
      </c>
      <c r="J5" s="69"/>
    </row>
    <row r="6">
      <c r="A6" s="327" t="s">
        <v>259</v>
      </c>
      <c r="B6" s="328"/>
      <c r="C6" s="328"/>
      <c r="D6" s="328"/>
      <c r="E6" s="336"/>
      <c r="F6" s="360">
        <v>12.0</v>
      </c>
      <c r="G6" s="332">
        <f t="shared" si="1"/>
        <v>0</v>
      </c>
      <c r="H6" s="146"/>
      <c r="I6" s="357">
        <f t="shared" si="3"/>
        <v>0</v>
      </c>
      <c r="J6" s="69"/>
    </row>
    <row r="7">
      <c r="A7" s="322" t="s">
        <v>203</v>
      </c>
      <c r="B7" s="146"/>
      <c r="C7" s="146"/>
      <c r="D7" s="146"/>
      <c r="E7" s="336"/>
      <c r="F7" s="356">
        <v>12.0</v>
      </c>
      <c r="G7" s="58">
        <f t="shared" si="1"/>
        <v>0</v>
      </c>
      <c r="H7" s="146"/>
      <c r="I7" s="357">
        <f t="shared" si="3"/>
        <v>0</v>
      </c>
      <c r="J7" s="69"/>
    </row>
    <row r="8">
      <c r="A8" s="361" t="s">
        <v>93</v>
      </c>
      <c r="B8" s="146"/>
      <c r="C8" s="362"/>
      <c r="D8" s="362"/>
      <c r="E8" s="336"/>
      <c r="F8" s="356">
        <v>12.0</v>
      </c>
      <c r="G8" s="58">
        <f t="shared" si="1"/>
        <v>0</v>
      </c>
      <c r="H8" s="146"/>
      <c r="I8" s="357">
        <f t="shared" si="3"/>
        <v>0</v>
      </c>
      <c r="J8" s="69"/>
    </row>
    <row r="9">
      <c r="A9" s="334" t="s">
        <v>265</v>
      </c>
      <c r="B9" s="146"/>
      <c r="C9" s="362"/>
      <c r="D9" s="362"/>
      <c r="E9" s="336">
        <v>9970.0</v>
      </c>
      <c r="F9" s="356">
        <v>12.0</v>
      </c>
      <c r="G9" s="58">
        <f t="shared" si="1"/>
        <v>830.8333333</v>
      </c>
      <c r="H9" s="146"/>
      <c r="I9" s="357">
        <f t="shared" si="3"/>
        <v>830.8333333</v>
      </c>
      <c r="J9" s="69"/>
    </row>
    <row r="10">
      <c r="A10" s="87" t="s">
        <v>148</v>
      </c>
      <c r="B10" s="146"/>
      <c r="C10" s="362"/>
      <c r="D10" s="362"/>
      <c r="E10" s="336">
        <f>50397+2299+4000</f>
        <v>56696</v>
      </c>
      <c r="F10" s="356">
        <v>12.0</v>
      </c>
      <c r="G10" s="58">
        <f t="shared" si="1"/>
        <v>4724.666667</v>
      </c>
      <c r="H10" s="146"/>
      <c r="I10" s="357">
        <f t="shared" si="3"/>
        <v>4724.666667</v>
      </c>
      <c r="J10" s="69"/>
    </row>
    <row r="11">
      <c r="A11" s="87" t="s">
        <v>150</v>
      </c>
      <c r="B11" s="146"/>
      <c r="C11" s="362"/>
      <c r="D11" s="362"/>
      <c r="E11" s="336">
        <v>101207.0</v>
      </c>
      <c r="F11" s="356">
        <v>12.0</v>
      </c>
      <c r="G11" s="58">
        <f t="shared" si="1"/>
        <v>8433.916667</v>
      </c>
      <c r="H11" s="146"/>
      <c r="I11" s="357">
        <f t="shared" si="3"/>
        <v>8433.916667</v>
      </c>
      <c r="J11" s="69"/>
    </row>
    <row r="12">
      <c r="A12" s="87" t="s">
        <v>149</v>
      </c>
      <c r="B12" s="146"/>
      <c r="C12" s="362"/>
      <c r="D12" s="362"/>
      <c r="E12" s="336"/>
      <c r="F12" s="356">
        <v>12.0</v>
      </c>
      <c r="G12" s="58">
        <f t="shared" si="1"/>
        <v>0</v>
      </c>
      <c r="H12" s="146"/>
      <c r="I12" s="357">
        <f t="shared" si="3"/>
        <v>0</v>
      </c>
      <c r="J12" s="69"/>
    </row>
    <row r="13">
      <c r="A13" s="334" t="s">
        <v>241</v>
      </c>
      <c r="B13" s="146"/>
      <c r="C13" s="362"/>
      <c r="D13" s="362"/>
      <c r="E13" s="336"/>
      <c r="F13" s="360"/>
      <c r="G13" s="58"/>
      <c r="H13" s="146"/>
      <c r="I13" s="357">
        <f>D32</f>
        <v>0</v>
      </c>
      <c r="J13" s="69"/>
    </row>
    <row r="14">
      <c r="A14" s="334" t="s">
        <v>154</v>
      </c>
      <c r="B14" s="146"/>
      <c r="C14" s="362"/>
      <c r="D14" s="362"/>
      <c r="E14" s="336">
        <v>182000.0</v>
      </c>
      <c r="F14" s="360">
        <v>12.0</v>
      </c>
      <c r="G14" s="58">
        <f>E14/F14</f>
        <v>15166.66667</v>
      </c>
      <c r="H14" s="146"/>
      <c r="I14" s="357">
        <f>G14</f>
        <v>15166.66667</v>
      </c>
      <c r="J14" s="69"/>
    </row>
    <row r="15">
      <c r="A15" s="337" t="s">
        <v>290</v>
      </c>
      <c r="B15" s="146"/>
      <c r="C15" s="58"/>
      <c r="D15" s="338">
        <f>B20+B21</f>
        <v>1888</v>
      </c>
      <c r="E15" s="362"/>
      <c r="F15" s="356"/>
      <c r="G15" s="146"/>
      <c r="H15" s="340">
        <f>'Общие расходы г. Альметьевск'!F4</f>
        <v>0.5757010515</v>
      </c>
      <c r="I15" s="357">
        <f t="shared" ref="I15:I17" si="4">D15*H15</f>
        <v>1086.923585</v>
      </c>
      <c r="J15" s="69"/>
    </row>
    <row r="16">
      <c r="A16" s="337" t="s">
        <v>152</v>
      </c>
      <c r="B16" s="146"/>
      <c r="C16" s="58"/>
      <c r="D16" s="338">
        <f>B20+B21</f>
        <v>1888</v>
      </c>
      <c r="E16" s="362"/>
      <c r="F16" s="356"/>
      <c r="G16" s="146"/>
      <c r="H16" s="340">
        <f>'Общие расходы ГЭ'!G16</f>
        <v>9.195626292</v>
      </c>
      <c r="I16" s="357">
        <f t="shared" si="4"/>
        <v>17361.34244</v>
      </c>
      <c r="J16" s="69"/>
    </row>
    <row r="17">
      <c r="A17" s="322" t="s">
        <v>156</v>
      </c>
      <c r="B17" s="146"/>
      <c r="C17" s="58"/>
      <c r="D17" s="338">
        <f>B20+B21</f>
        <v>1888</v>
      </c>
      <c r="E17" s="362"/>
      <c r="F17" s="356"/>
      <c r="G17" s="146"/>
      <c r="H17" s="358">
        <f>'Общие расходы г. Тюмень'!F30</f>
        <v>0.7480139342</v>
      </c>
      <c r="I17" s="357">
        <f t="shared" si="4"/>
        <v>1412.250308</v>
      </c>
      <c r="J17" s="69"/>
    </row>
    <row r="18">
      <c r="A18" s="341"/>
      <c r="B18" s="342"/>
      <c r="C18" s="342"/>
      <c r="D18" s="342"/>
      <c r="E18" s="342"/>
      <c r="F18" s="344"/>
      <c r="G18" s="342"/>
      <c r="H18" s="342"/>
      <c r="I18" s="363">
        <f>SUM(I2:I17)</f>
        <v>64933.41806</v>
      </c>
      <c r="J18" s="69"/>
    </row>
    <row r="19">
      <c r="J19" s="69"/>
    </row>
    <row r="20">
      <c r="A20" s="68" t="s">
        <v>205</v>
      </c>
      <c r="B20" s="260">
        <f>'Исходные данные'!B41</f>
        <v>1219</v>
      </c>
      <c r="J20" s="69"/>
    </row>
    <row r="21">
      <c r="A21" s="68" t="s">
        <v>206</v>
      </c>
      <c r="B21" s="260">
        <f>'Исходные данные'!C41</f>
        <v>669</v>
      </c>
      <c r="J21" s="69"/>
    </row>
    <row r="22">
      <c r="A22" s="68" t="s">
        <v>207</v>
      </c>
      <c r="B22" s="260">
        <f>'Исходные данные'!D41</f>
        <v>50</v>
      </c>
      <c r="J22" s="69"/>
    </row>
    <row r="23">
      <c r="J23" s="69"/>
    </row>
    <row r="24">
      <c r="A24" s="266" t="s">
        <v>208</v>
      </c>
      <c r="B24" s="263"/>
      <c r="C24" s="263"/>
      <c r="D24" s="185"/>
      <c r="J24" s="69"/>
    </row>
    <row r="25">
      <c r="A25" s="268" t="s">
        <v>209</v>
      </c>
      <c r="B25" s="269" t="s">
        <v>210</v>
      </c>
      <c r="C25" s="93" t="s">
        <v>5</v>
      </c>
      <c r="D25" s="269" t="s">
        <v>211</v>
      </c>
      <c r="J25" s="69"/>
    </row>
    <row r="26">
      <c r="A26" s="300" t="s">
        <v>254</v>
      </c>
      <c r="B26" s="301"/>
      <c r="C26" s="301">
        <v>12.0</v>
      </c>
      <c r="D26" s="301">
        <f>B26/C26</f>
        <v>0</v>
      </c>
      <c r="J26" s="69"/>
    </row>
    <row r="27">
      <c r="A27" s="68"/>
      <c r="B27" s="303"/>
      <c r="C27" s="303"/>
      <c r="D27" s="301"/>
      <c r="J27" s="69"/>
    </row>
    <row r="28">
      <c r="A28" s="305"/>
      <c r="B28" s="303"/>
      <c r="C28" s="303"/>
      <c r="D28" s="301"/>
      <c r="J28" s="69"/>
    </row>
    <row r="29">
      <c r="A29" s="68"/>
      <c r="B29" s="303"/>
      <c r="C29" s="303"/>
      <c r="D29" s="177"/>
      <c r="J29" s="69"/>
    </row>
    <row r="30">
      <c r="A30" s="304"/>
      <c r="B30" s="303"/>
      <c r="C30" s="303"/>
      <c r="D30" s="303"/>
      <c r="J30" s="69"/>
    </row>
    <row r="31">
      <c r="A31" s="34"/>
      <c r="B31" s="72"/>
      <c r="C31" s="72"/>
      <c r="D31" s="72"/>
      <c r="J31" s="69"/>
    </row>
    <row r="32">
      <c r="A32" s="364" t="s">
        <v>62</v>
      </c>
      <c r="B32" s="365"/>
      <c r="C32" s="365"/>
      <c r="D32" s="365">
        <f>SUM(D26:D31)</f>
        <v>0</v>
      </c>
      <c r="J32" s="69"/>
    </row>
    <row r="33">
      <c r="J33" s="69"/>
    </row>
    <row r="34">
      <c r="J34" s="69"/>
    </row>
    <row r="35">
      <c r="J35" s="69"/>
    </row>
    <row r="36">
      <c r="J36" s="69"/>
    </row>
    <row r="37">
      <c r="J37" s="69"/>
    </row>
    <row r="38">
      <c r="J38" s="69"/>
    </row>
    <row r="39">
      <c r="J39" s="69"/>
    </row>
    <row r="40">
      <c r="J40" s="69"/>
    </row>
    <row r="41">
      <c r="J41" s="69"/>
    </row>
    <row r="42">
      <c r="J42" s="69"/>
    </row>
    <row r="43">
      <c r="J43" s="69"/>
    </row>
    <row r="44">
      <c r="J44" s="69"/>
    </row>
    <row r="45">
      <c r="J45" s="69"/>
    </row>
    <row r="46">
      <c r="J46" s="69"/>
    </row>
    <row r="47">
      <c r="J47" s="69"/>
    </row>
    <row r="48">
      <c r="J48" s="69"/>
    </row>
    <row r="49">
      <c r="J49" s="69"/>
    </row>
    <row r="50">
      <c r="J50" s="69"/>
    </row>
    <row r="51">
      <c r="J51" s="69"/>
    </row>
    <row r="52">
      <c r="J52" s="69"/>
    </row>
    <row r="53">
      <c r="J53" s="69"/>
    </row>
    <row r="54">
      <c r="J54" s="69"/>
    </row>
    <row r="55">
      <c r="J55" s="69"/>
    </row>
    <row r="56">
      <c r="J56" s="69"/>
    </row>
    <row r="57">
      <c r="J57" s="69"/>
    </row>
    <row r="58">
      <c r="J58" s="69"/>
    </row>
    <row r="59">
      <c r="J59" s="69"/>
    </row>
    <row r="60">
      <c r="J60" s="69"/>
    </row>
    <row r="61">
      <c r="J61" s="69"/>
    </row>
    <row r="62">
      <c r="J62" s="69"/>
    </row>
    <row r="63">
      <c r="J63" s="69"/>
    </row>
    <row r="64">
      <c r="J64" s="69"/>
    </row>
    <row r="65">
      <c r="J65" s="69"/>
    </row>
    <row r="66">
      <c r="J66" s="69"/>
    </row>
    <row r="67">
      <c r="J67" s="69"/>
    </row>
    <row r="68">
      <c r="J68" s="69"/>
    </row>
    <row r="69">
      <c r="J69" s="69"/>
    </row>
    <row r="70">
      <c r="J70" s="69"/>
    </row>
    <row r="71">
      <c r="J71" s="69"/>
    </row>
    <row r="72">
      <c r="J72" s="69"/>
    </row>
    <row r="73">
      <c r="J73" s="69"/>
    </row>
    <row r="74">
      <c r="J74" s="69"/>
    </row>
    <row r="75">
      <c r="J75" s="69"/>
    </row>
    <row r="76">
      <c r="J76" s="69"/>
    </row>
    <row r="77">
      <c r="J77" s="69"/>
    </row>
    <row r="78">
      <c r="J78" s="69"/>
    </row>
    <row r="79">
      <c r="J79" s="69"/>
    </row>
    <row r="80">
      <c r="J80" s="69"/>
    </row>
    <row r="81">
      <c r="J81" s="69"/>
    </row>
    <row r="82">
      <c r="J82" s="69"/>
    </row>
    <row r="83">
      <c r="J83" s="69"/>
    </row>
    <row r="84">
      <c r="J84" s="69"/>
    </row>
    <row r="85">
      <c r="J85" s="69"/>
    </row>
    <row r="86">
      <c r="J86" s="69"/>
    </row>
    <row r="87">
      <c r="J87" s="69"/>
    </row>
    <row r="88">
      <c r="J88" s="69"/>
    </row>
    <row r="89">
      <c r="J89" s="69"/>
    </row>
    <row r="90">
      <c r="J90" s="69"/>
    </row>
    <row r="91">
      <c r="J91" s="69"/>
    </row>
    <row r="92">
      <c r="J92" s="69"/>
    </row>
    <row r="93">
      <c r="J93" s="69"/>
    </row>
    <row r="94">
      <c r="J94" s="69"/>
    </row>
    <row r="95">
      <c r="J95" s="69"/>
    </row>
    <row r="96">
      <c r="J96" s="69"/>
    </row>
    <row r="97">
      <c r="J97" s="69"/>
    </row>
    <row r="98">
      <c r="J98" s="69"/>
    </row>
    <row r="99">
      <c r="J99" s="69"/>
    </row>
    <row r="100">
      <c r="J100" s="69"/>
    </row>
    <row r="101">
      <c r="J101" s="69"/>
    </row>
    <row r="102">
      <c r="J102" s="69"/>
    </row>
    <row r="103">
      <c r="J103" s="69"/>
    </row>
    <row r="104">
      <c r="J104" s="69"/>
    </row>
    <row r="105">
      <c r="J105" s="69"/>
    </row>
    <row r="106">
      <c r="J106" s="69"/>
    </row>
    <row r="107">
      <c r="J107" s="69"/>
    </row>
    <row r="108">
      <c r="J108" s="69"/>
    </row>
    <row r="109">
      <c r="J109" s="69"/>
    </row>
    <row r="110">
      <c r="J110" s="69"/>
    </row>
    <row r="111">
      <c r="J111" s="69"/>
    </row>
    <row r="112">
      <c r="J112" s="69"/>
    </row>
    <row r="113">
      <c r="J113" s="69"/>
    </row>
    <row r="114">
      <c r="J114" s="69"/>
    </row>
    <row r="115">
      <c r="J115" s="69"/>
    </row>
    <row r="116">
      <c r="J116" s="69"/>
    </row>
    <row r="117">
      <c r="J117" s="69"/>
    </row>
    <row r="118">
      <c r="J118" s="69"/>
    </row>
    <row r="119">
      <c r="J119" s="69"/>
    </row>
    <row r="120">
      <c r="J120" s="69"/>
    </row>
    <row r="121">
      <c r="J121" s="69"/>
    </row>
    <row r="122">
      <c r="J122" s="69"/>
    </row>
    <row r="123">
      <c r="J123" s="69"/>
    </row>
    <row r="124">
      <c r="J124" s="69"/>
    </row>
    <row r="125">
      <c r="J125" s="69"/>
    </row>
    <row r="126">
      <c r="J126" s="69"/>
    </row>
    <row r="127">
      <c r="J127" s="69"/>
    </row>
    <row r="128">
      <c r="J128" s="69"/>
    </row>
    <row r="129">
      <c r="J129" s="69"/>
    </row>
    <row r="130">
      <c r="J130" s="69"/>
    </row>
    <row r="131">
      <c r="J131" s="69"/>
    </row>
    <row r="132">
      <c r="J132" s="69"/>
    </row>
    <row r="133">
      <c r="J133" s="69"/>
    </row>
    <row r="134">
      <c r="J134" s="69"/>
    </row>
    <row r="135">
      <c r="J135" s="69"/>
    </row>
    <row r="136">
      <c r="J136" s="69"/>
    </row>
    <row r="137">
      <c r="J137" s="69"/>
    </row>
    <row r="138">
      <c r="J138" s="69"/>
    </row>
    <row r="139">
      <c r="J139" s="69"/>
    </row>
    <row r="140">
      <c r="J140" s="69"/>
    </row>
    <row r="141">
      <c r="J141" s="69"/>
    </row>
    <row r="142">
      <c r="J142" s="69"/>
    </row>
    <row r="143">
      <c r="J143" s="69"/>
    </row>
    <row r="144">
      <c r="J144" s="69"/>
    </row>
    <row r="145">
      <c r="J145" s="69"/>
    </row>
    <row r="146">
      <c r="J146" s="69"/>
    </row>
    <row r="147">
      <c r="J147" s="69"/>
    </row>
    <row r="148">
      <c r="J148" s="69"/>
    </row>
    <row r="149">
      <c r="J149" s="69"/>
    </row>
    <row r="150">
      <c r="J150" s="69"/>
    </row>
    <row r="151">
      <c r="J151" s="69"/>
    </row>
    <row r="152">
      <c r="J152" s="69"/>
    </row>
    <row r="153">
      <c r="J153" s="69"/>
    </row>
    <row r="154">
      <c r="J154" s="69"/>
    </row>
    <row r="155">
      <c r="J155" s="69"/>
    </row>
    <row r="156">
      <c r="J156" s="69"/>
    </row>
    <row r="157">
      <c r="J157" s="69"/>
    </row>
    <row r="158">
      <c r="J158" s="69"/>
    </row>
    <row r="159">
      <c r="J159" s="69"/>
    </row>
    <row r="160">
      <c r="J160" s="69"/>
    </row>
    <row r="161">
      <c r="J161" s="69"/>
    </row>
    <row r="162">
      <c r="J162" s="69"/>
    </row>
    <row r="163">
      <c r="J163" s="69"/>
    </row>
    <row r="164">
      <c r="J164" s="69"/>
    </row>
    <row r="165">
      <c r="J165" s="69"/>
    </row>
    <row r="166">
      <c r="J166" s="69"/>
    </row>
    <row r="167">
      <c r="J167" s="69"/>
    </row>
    <row r="168">
      <c r="J168" s="69"/>
    </row>
    <row r="169">
      <c r="J169" s="69"/>
    </row>
    <row r="170">
      <c r="J170" s="69"/>
    </row>
    <row r="171">
      <c r="J171" s="69"/>
    </row>
    <row r="172">
      <c r="J172" s="69"/>
    </row>
    <row r="173">
      <c r="J173" s="69"/>
    </row>
    <row r="174">
      <c r="J174" s="69"/>
    </row>
    <row r="175">
      <c r="J175" s="69"/>
    </row>
    <row r="176">
      <c r="J176" s="69"/>
    </row>
    <row r="177">
      <c r="J177" s="69"/>
    </row>
    <row r="178">
      <c r="J178" s="69"/>
    </row>
    <row r="179">
      <c r="J179" s="69"/>
    </row>
    <row r="180">
      <c r="J180" s="69"/>
    </row>
    <row r="181">
      <c r="J181" s="69"/>
    </row>
    <row r="182">
      <c r="J182" s="69"/>
    </row>
    <row r="183">
      <c r="J183" s="69"/>
    </row>
    <row r="184">
      <c r="J184" s="69"/>
    </row>
    <row r="185">
      <c r="J185" s="69"/>
    </row>
    <row r="186">
      <c r="J186" s="69"/>
    </row>
    <row r="187">
      <c r="J187" s="69"/>
    </row>
    <row r="188">
      <c r="J188" s="69"/>
    </row>
    <row r="189">
      <c r="J189" s="69"/>
    </row>
    <row r="190">
      <c r="J190" s="69"/>
    </row>
    <row r="191">
      <c r="J191" s="69"/>
    </row>
    <row r="192">
      <c r="J192" s="69"/>
    </row>
    <row r="193">
      <c r="J193" s="69"/>
    </row>
    <row r="194">
      <c r="J194" s="69"/>
    </row>
    <row r="195">
      <c r="J195" s="69"/>
    </row>
    <row r="196">
      <c r="J196" s="69"/>
    </row>
    <row r="197">
      <c r="J197" s="69"/>
    </row>
    <row r="198">
      <c r="J198" s="69"/>
    </row>
    <row r="199">
      <c r="J199" s="69"/>
    </row>
    <row r="200">
      <c r="J200" s="69"/>
    </row>
    <row r="201">
      <c r="J201" s="69"/>
    </row>
    <row r="202">
      <c r="J202" s="69"/>
    </row>
    <row r="203">
      <c r="J203" s="69"/>
    </row>
    <row r="204">
      <c r="J204" s="69"/>
    </row>
    <row r="205">
      <c r="J205" s="69"/>
    </row>
    <row r="206">
      <c r="J206" s="69"/>
    </row>
    <row r="207">
      <c r="J207" s="69"/>
    </row>
    <row r="208">
      <c r="J208" s="69"/>
    </row>
    <row r="209">
      <c r="J209" s="69"/>
    </row>
    <row r="210">
      <c r="J210" s="69"/>
    </row>
    <row r="211">
      <c r="J211" s="69"/>
    </row>
    <row r="212">
      <c r="J212" s="69"/>
    </row>
    <row r="213">
      <c r="J213" s="69"/>
    </row>
    <row r="214">
      <c r="J214" s="69"/>
    </row>
    <row r="215">
      <c r="J215" s="69"/>
    </row>
    <row r="216">
      <c r="J216" s="69"/>
    </row>
    <row r="217">
      <c r="J217" s="69"/>
    </row>
    <row r="218">
      <c r="J218" s="69"/>
    </row>
    <row r="219">
      <c r="J219" s="69"/>
    </row>
    <row r="220">
      <c r="J220" s="69"/>
    </row>
    <row r="221">
      <c r="J221" s="69"/>
    </row>
    <row r="222">
      <c r="J222" s="69"/>
    </row>
    <row r="223">
      <c r="J223" s="69"/>
    </row>
    <row r="224">
      <c r="J224" s="69"/>
    </row>
    <row r="225">
      <c r="J225" s="69"/>
    </row>
    <row r="226">
      <c r="J226" s="69"/>
    </row>
    <row r="227">
      <c r="J227" s="69"/>
    </row>
    <row r="228">
      <c r="J228" s="69"/>
    </row>
    <row r="229">
      <c r="J229" s="69"/>
    </row>
    <row r="230">
      <c r="J230" s="69"/>
    </row>
    <row r="231">
      <c r="J231" s="69"/>
    </row>
    <row r="232">
      <c r="J232" s="69"/>
    </row>
    <row r="233">
      <c r="J233" s="69"/>
    </row>
    <row r="234">
      <c r="J234" s="69"/>
    </row>
    <row r="235">
      <c r="J235" s="69"/>
    </row>
    <row r="236">
      <c r="J236" s="69"/>
    </row>
    <row r="237">
      <c r="J237" s="69"/>
    </row>
    <row r="238">
      <c r="J238" s="69"/>
    </row>
    <row r="239">
      <c r="J239" s="69"/>
    </row>
    <row r="240">
      <c r="J240" s="69"/>
    </row>
    <row r="241">
      <c r="J241" s="69"/>
    </row>
    <row r="242">
      <c r="J242" s="69"/>
    </row>
    <row r="243">
      <c r="J243" s="69"/>
    </row>
    <row r="244">
      <c r="J244" s="69"/>
    </row>
    <row r="245">
      <c r="J245" s="69"/>
    </row>
    <row r="246">
      <c r="J246" s="69"/>
    </row>
    <row r="247">
      <c r="J247" s="69"/>
    </row>
    <row r="248">
      <c r="J248" s="69"/>
    </row>
    <row r="249">
      <c r="J249" s="69"/>
    </row>
    <row r="250">
      <c r="J250" s="69"/>
    </row>
    <row r="251">
      <c r="J251" s="69"/>
    </row>
    <row r="252">
      <c r="J252" s="69"/>
    </row>
    <row r="253">
      <c r="J253" s="69"/>
    </row>
    <row r="254">
      <c r="J254" s="69"/>
    </row>
    <row r="255">
      <c r="J255" s="69"/>
    </row>
    <row r="256">
      <c r="J256" s="69"/>
    </row>
    <row r="257">
      <c r="J257" s="69"/>
    </row>
    <row r="258">
      <c r="J258" s="69"/>
    </row>
    <row r="259">
      <c r="J259" s="69"/>
    </row>
    <row r="260">
      <c r="J260" s="69"/>
    </row>
    <row r="261">
      <c r="J261" s="69"/>
    </row>
    <row r="262">
      <c r="J262" s="69"/>
    </row>
    <row r="263">
      <c r="J263" s="69"/>
    </row>
    <row r="264">
      <c r="J264" s="69"/>
    </row>
    <row r="265">
      <c r="J265" s="69"/>
    </row>
    <row r="266">
      <c r="J266" s="69"/>
    </row>
    <row r="267">
      <c r="J267" s="69"/>
    </row>
    <row r="268">
      <c r="J268" s="69"/>
    </row>
    <row r="269">
      <c r="J269" s="69"/>
    </row>
    <row r="270">
      <c r="J270" s="69"/>
    </row>
    <row r="271">
      <c r="J271" s="69"/>
    </row>
    <row r="272">
      <c r="J272" s="69"/>
    </row>
    <row r="273">
      <c r="J273" s="69"/>
    </row>
    <row r="274">
      <c r="J274" s="69"/>
    </row>
    <row r="275">
      <c r="J275" s="69"/>
    </row>
    <row r="276">
      <c r="J276" s="69"/>
    </row>
    <row r="277">
      <c r="J277" s="69"/>
    </row>
    <row r="278">
      <c r="J278" s="69"/>
    </row>
    <row r="279">
      <c r="J279" s="69"/>
    </row>
    <row r="280">
      <c r="J280" s="69"/>
    </row>
    <row r="281">
      <c r="J281" s="69"/>
    </row>
    <row r="282">
      <c r="J282" s="69"/>
    </row>
    <row r="283">
      <c r="J283" s="69"/>
    </row>
    <row r="284">
      <c r="J284" s="69"/>
    </row>
    <row r="285">
      <c r="J285" s="69"/>
    </row>
    <row r="286">
      <c r="J286" s="69"/>
    </row>
    <row r="287">
      <c r="J287" s="69"/>
    </row>
    <row r="288">
      <c r="J288" s="69"/>
    </row>
    <row r="289">
      <c r="J289" s="69"/>
    </row>
    <row r="290">
      <c r="J290" s="69"/>
    </row>
    <row r="291">
      <c r="J291" s="69"/>
    </row>
    <row r="292">
      <c r="J292" s="69"/>
    </row>
    <row r="293">
      <c r="J293" s="69"/>
    </row>
    <row r="294">
      <c r="J294" s="69"/>
    </row>
    <row r="295">
      <c r="J295" s="69"/>
    </row>
    <row r="296">
      <c r="J296" s="69"/>
    </row>
    <row r="297">
      <c r="J297" s="69"/>
    </row>
    <row r="298">
      <c r="J298" s="69"/>
    </row>
    <row r="299">
      <c r="J299" s="69"/>
    </row>
    <row r="300">
      <c r="J300" s="69"/>
    </row>
    <row r="301">
      <c r="J301" s="69"/>
    </row>
    <row r="302">
      <c r="J302" s="69"/>
    </row>
    <row r="303">
      <c r="J303" s="69"/>
    </row>
    <row r="304">
      <c r="J304" s="69"/>
    </row>
    <row r="305">
      <c r="J305" s="69"/>
    </row>
    <row r="306">
      <c r="J306" s="69"/>
    </row>
    <row r="307">
      <c r="J307" s="69"/>
    </row>
    <row r="308">
      <c r="J308" s="69"/>
    </row>
    <row r="309">
      <c r="J309" s="69"/>
    </row>
    <row r="310">
      <c r="J310" s="69"/>
    </row>
    <row r="311">
      <c r="J311" s="69"/>
    </row>
    <row r="312">
      <c r="J312" s="69"/>
    </row>
    <row r="313">
      <c r="J313" s="69"/>
    </row>
    <row r="314">
      <c r="J314" s="69"/>
    </row>
    <row r="315">
      <c r="J315" s="69"/>
    </row>
    <row r="316">
      <c r="J316" s="69"/>
    </row>
    <row r="317">
      <c r="J317" s="69"/>
    </row>
    <row r="318">
      <c r="J318" s="69"/>
    </row>
    <row r="319">
      <c r="J319" s="69"/>
    </row>
    <row r="320">
      <c r="J320" s="69"/>
    </row>
    <row r="321">
      <c r="J321" s="69"/>
    </row>
    <row r="322">
      <c r="J322" s="69"/>
    </row>
    <row r="323">
      <c r="J323" s="69"/>
    </row>
    <row r="324">
      <c r="J324" s="69"/>
    </row>
    <row r="325">
      <c r="J325" s="69"/>
    </row>
    <row r="326">
      <c r="J326" s="69"/>
    </row>
    <row r="327">
      <c r="J327" s="69"/>
    </row>
    <row r="328">
      <c r="J328" s="69"/>
    </row>
    <row r="329">
      <c r="J329" s="69"/>
    </row>
    <row r="330">
      <c r="J330" s="69"/>
    </row>
    <row r="331">
      <c r="J331" s="69"/>
    </row>
    <row r="332">
      <c r="J332" s="69"/>
    </row>
    <row r="333">
      <c r="J333" s="69"/>
    </row>
    <row r="334">
      <c r="J334" s="69"/>
    </row>
    <row r="335">
      <c r="J335" s="69"/>
    </row>
    <row r="336">
      <c r="J336" s="69"/>
    </row>
    <row r="337">
      <c r="J337" s="69"/>
    </row>
    <row r="338">
      <c r="J338" s="69"/>
    </row>
    <row r="339">
      <c r="J339" s="69"/>
    </row>
    <row r="340">
      <c r="J340" s="69"/>
    </row>
    <row r="341">
      <c r="J341" s="69"/>
    </row>
    <row r="342">
      <c r="J342" s="69"/>
    </row>
    <row r="343">
      <c r="J343" s="69"/>
    </row>
    <row r="344">
      <c r="J344" s="69"/>
    </row>
    <row r="345">
      <c r="J345" s="69"/>
    </row>
    <row r="346">
      <c r="J346" s="69"/>
    </row>
    <row r="347">
      <c r="J347" s="69"/>
    </row>
    <row r="348">
      <c r="J348" s="69"/>
    </row>
    <row r="349">
      <c r="J349" s="69"/>
    </row>
    <row r="350">
      <c r="J350" s="69"/>
    </row>
    <row r="351">
      <c r="J351" s="69"/>
    </row>
    <row r="352">
      <c r="J352" s="69"/>
    </row>
    <row r="353">
      <c r="J353" s="69"/>
    </row>
    <row r="354">
      <c r="J354" s="69"/>
    </row>
    <row r="355">
      <c r="J355" s="69"/>
    </row>
    <row r="356">
      <c r="J356" s="69"/>
    </row>
    <row r="357">
      <c r="J357" s="69"/>
    </row>
    <row r="358">
      <c r="J358" s="69"/>
    </row>
    <row r="359">
      <c r="J359" s="69"/>
    </row>
    <row r="360">
      <c r="J360" s="69"/>
    </row>
    <row r="361">
      <c r="J361" s="69"/>
    </row>
    <row r="362">
      <c r="J362" s="69"/>
    </row>
    <row r="363">
      <c r="J363" s="69"/>
    </row>
    <row r="364">
      <c r="J364" s="69"/>
    </row>
    <row r="365">
      <c r="J365" s="69"/>
    </row>
    <row r="366">
      <c r="J366" s="69"/>
    </row>
    <row r="367">
      <c r="J367" s="69"/>
    </row>
    <row r="368">
      <c r="J368" s="69"/>
    </row>
    <row r="369">
      <c r="J369" s="69"/>
    </row>
    <row r="370">
      <c r="J370" s="69"/>
    </row>
    <row r="371">
      <c r="J371" s="69"/>
    </row>
    <row r="372">
      <c r="J372" s="69"/>
    </row>
    <row r="373">
      <c r="J373" s="69"/>
    </row>
    <row r="374">
      <c r="J374" s="69"/>
    </row>
    <row r="375">
      <c r="J375" s="69"/>
    </row>
    <row r="376">
      <c r="J376" s="69"/>
    </row>
    <row r="377">
      <c r="J377" s="69"/>
    </row>
    <row r="378">
      <c r="J378" s="69"/>
    </row>
    <row r="379">
      <c r="J379" s="69"/>
    </row>
    <row r="380">
      <c r="J380" s="69"/>
    </row>
    <row r="381">
      <c r="J381" s="69"/>
    </row>
    <row r="382">
      <c r="J382" s="69"/>
    </row>
    <row r="383">
      <c r="J383" s="69"/>
    </row>
    <row r="384">
      <c r="J384" s="69"/>
    </row>
    <row r="385">
      <c r="J385" s="69"/>
    </row>
    <row r="386">
      <c r="J386" s="69"/>
    </row>
    <row r="387">
      <c r="J387" s="69"/>
    </row>
    <row r="388">
      <c r="J388" s="69"/>
    </row>
    <row r="389">
      <c r="J389" s="69"/>
    </row>
    <row r="390">
      <c r="J390" s="69"/>
    </row>
    <row r="391">
      <c r="J391" s="69"/>
    </row>
    <row r="392">
      <c r="J392" s="69"/>
    </row>
    <row r="393">
      <c r="J393" s="69"/>
    </row>
    <row r="394">
      <c r="J394" s="69"/>
    </row>
    <row r="395">
      <c r="J395" s="69"/>
    </row>
    <row r="396">
      <c r="J396" s="69"/>
    </row>
    <row r="397">
      <c r="J397" s="69"/>
    </row>
    <row r="398">
      <c r="J398" s="69"/>
    </row>
    <row r="399">
      <c r="J399" s="69"/>
    </row>
    <row r="400">
      <c r="J400" s="69"/>
    </row>
    <row r="401">
      <c r="J401" s="69"/>
    </row>
    <row r="402">
      <c r="J402" s="69"/>
    </row>
    <row r="403">
      <c r="J403" s="69"/>
    </row>
    <row r="404">
      <c r="J404" s="69"/>
    </row>
    <row r="405">
      <c r="J405" s="69"/>
    </row>
    <row r="406">
      <c r="J406" s="69"/>
    </row>
    <row r="407">
      <c r="J407" s="69"/>
    </row>
    <row r="408">
      <c r="J408" s="69"/>
    </row>
    <row r="409">
      <c r="J409" s="69"/>
    </row>
    <row r="410">
      <c r="J410" s="69"/>
    </row>
    <row r="411">
      <c r="J411" s="69"/>
    </row>
    <row r="412">
      <c r="J412" s="69"/>
    </row>
    <row r="413">
      <c r="J413" s="69"/>
    </row>
    <row r="414">
      <c r="J414" s="69"/>
    </row>
    <row r="415">
      <c r="J415" s="69"/>
    </row>
    <row r="416">
      <c r="J416" s="69"/>
    </row>
    <row r="417">
      <c r="J417" s="69"/>
    </row>
    <row r="418">
      <c r="J418" s="69"/>
    </row>
    <row r="419">
      <c r="J419" s="69"/>
    </row>
    <row r="420">
      <c r="J420" s="69"/>
    </row>
    <row r="421">
      <c r="J421" s="69"/>
    </row>
    <row r="422">
      <c r="J422" s="69"/>
    </row>
    <row r="423">
      <c r="J423" s="69"/>
    </row>
    <row r="424">
      <c r="J424" s="69"/>
    </row>
    <row r="425">
      <c r="J425" s="69"/>
    </row>
    <row r="426">
      <c r="J426" s="69"/>
    </row>
    <row r="427">
      <c r="J427" s="69"/>
    </row>
    <row r="428">
      <c r="J428" s="69"/>
    </row>
    <row r="429">
      <c r="J429" s="69"/>
    </row>
    <row r="430">
      <c r="J430" s="69"/>
    </row>
    <row r="431">
      <c r="J431" s="69"/>
    </row>
    <row r="432">
      <c r="J432" s="69"/>
    </row>
    <row r="433">
      <c r="J433" s="69"/>
    </row>
    <row r="434">
      <c r="J434" s="69"/>
    </row>
    <row r="435">
      <c r="J435" s="69"/>
    </row>
    <row r="436">
      <c r="J436" s="69"/>
    </row>
    <row r="437">
      <c r="J437" s="69"/>
    </row>
    <row r="438">
      <c r="J438" s="69"/>
    </row>
    <row r="439">
      <c r="J439" s="69"/>
    </row>
    <row r="440">
      <c r="J440" s="69"/>
    </row>
    <row r="441">
      <c r="J441" s="69"/>
    </row>
    <row r="442">
      <c r="J442" s="69"/>
    </row>
    <row r="443">
      <c r="J443" s="69"/>
    </row>
    <row r="444">
      <c r="J444" s="69"/>
    </row>
    <row r="445">
      <c r="J445" s="69"/>
    </row>
    <row r="446">
      <c r="J446" s="69"/>
    </row>
    <row r="447">
      <c r="J447" s="69"/>
    </row>
    <row r="448">
      <c r="J448" s="69"/>
    </row>
    <row r="449">
      <c r="J449" s="69"/>
    </row>
    <row r="450">
      <c r="J450" s="69"/>
    </row>
    <row r="451">
      <c r="J451" s="69"/>
    </row>
    <row r="452">
      <c r="J452" s="69"/>
    </row>
    <row r="453">
      <c r="J453" s="69"/>
    </row>
    <row r="454">
      <c r="J454" s="69"/>
    </row>
    <row r="455">
      <c r="J455" s="69"/>
    </row>
    <row r="456">
      <c r="J456" s="69"/>
    </row>
    <row r="457">
      <c r="J457" s="69"/>
    </row>
    <row r="458">
      <c r="J458" s="69"/>
    </row>
    <row r="459">
      <c r="J459" s="69"/>
    </row>
    <row r="460">
      <c r="J460" s="69"/>
    </row>
    <row r="461">
      <c r="J461" s="69"/>
    </row>
    <row r="462">
      <c r="J462" s="69"/>
    </row>
    <row r="463">
      <c r="J463" s="69"/>
    </row>
    <row r="464">
      <c r="J464" s="69"/>
    </row>
    <row r="465">
      <c r="J465" s="69"/>
    </row>
    <row r="466">
      <c r="J466" s="69"/>
    </row>
    <row r="467">
      <c r="J467" s="69"/>
    </row>
    <row r="468">
      <c r="J468" s="69"/>
    </row>
    <row r="469">
      <c r="J469" s="69"/>
    </row>
    <row r="470">
      <c r="J470" s="69"/>
    </row>
    <row r="471">
      <c r="J471" s="69"/>
    </row>
    <row r="472">
      <c r="J472" s="69"/>
    </row>
    <row r="473">
      <c r="J473" s="69"/>
    </row>
    <row r="474">
      <c r="J474" s="69"/>
    </row>
    <row r="475">
      <c r="J475" s="69"/>
    </row>
    <row r="476">
      <c r="J476" s="69"/>
    </row>
    <row r="477">
      <c r="J477" s="69"/>
    </row>
    <row r="478">
      <c r="J478" s="69"/>
    </row>
    <row r="479">
      <c r="J479" s="69"/>
    </row>
    <row r="480">
      <c r="J480" s="69"/>
    </row>
    <row r="481">
      <c r="J481" s="69"/>
    </row>
    <row r="482">
      <c r="J482" s="69"/>
    </row>
    <row r="483">
      <c r="J483" s="69"/>
    </row>
    <row r="484">
      <c r="J484" s="69"/>
    </row>
    <row r="485">
      <c r="J485" s="69"/>
    </row>
    <row r="486">
      <c r="J486" s="69"/>
    </row>
    <row r="487">
      <c r="J487" s="69"/>
    </row>
    <row r="488">
      <c r="J488" s="69"/>
    </row>
    <row r="489">
      <c r="J489" s="69"/>
    </row>
    <row r="490">
      <c r="J490" s="69"/>
    </row>
    <row r="491">
      <c r="J491" s="69"/>
    </row>
    <row r="492">
      <c r="J492" s="69"/>
    </row>
    <row r="493">
      <c r="J493" s="69"/>
    </row>
    <row r="494">
      <c r="J494" s="69"/>
    </row>
    <row r="495">
      <c r="J495" s="69"/>
    </row>
    <row r="496">
      <c r="J496" s="69"/>
    </row>
    <row r="497">
      <c r="J497" s="69"/>
    </row>
    <row r="498">
      <c r="J498" s="69"/>
    </row>
    <row r="499">
      <c r="J499" s="69"/>
    </row>
    <row r="500">
      <c r="J500" s="69"/>
    </row>
    <row r="501">
      <c r="J501" s="69"/>
    </row>
    <row r="502">
      <c r="J502" s="69"/>
    </row>
    <row r="503">
      <c r="J503" s="69"/>
    </row>
    <row r="504">
      <c r="J504" s="69"/>
    </row>
    <row r="505">
      <c r="J505" s="69"/>
    </row>
    <row r="506">
      <c r="J506" s="69"/>
    </row>
    <row r="507">
      <c r="J507" s="69"/>
    </row>
    <row r="508">
      <c r="J508" s="69"/>
    </row>
    <row r="509">
      <c r="J509" s="69"/>
    </row>
    <row r="510">
      <c r="J510" s="69"/>
    </row>
    <row r="511">
      <c r="J511" s="69"/>
    </row>
    <row r="512">
      <c r="J512" s="69"/>
    </row>
    <row r="513">
      <c r="J513" s="69"/>
    </row>
    <row r="514">
      <c r="J514" s="69"/>
    </row>
    <row r="515">
      <c r="J515" s="69"/>
    </row>
    <row r="516">
      <c r="J516" s="69"/>
    </row>
    <row r="517">
      <c r="J517" s="69"/>
    </row>
    <row r="518">
      <c r="J518" s="69"/>
    </row>
    <row r="519">
      <c r="J519" s="69"/>
    </row>
    <row r="520">
      <c r="J520" s="69"/>
    </row>
    <row r="521">
      <c r="J521" s="69"/>
    </row>
    <row r="522">
      <c r="J522" s="69"/>
    </row>
    <row r="523">
      <c r="J523" s="69"/>
    </row>
    <row r="524">
      <c r="J524" s="69"/>
    </row>
    <row r="525">
      <c r="J525" s="69"/>
    </row>
    <row r="526">
      <c r="J526" s="69"/>
    </row>
    <row r="527">
      <c r="J527" s="69"/>
    </row>
    <row r="528">
      <c r="J528" s="69"/>
    </row>
    <row r="529">
      <c r="J529" s="69"/>
    </row>
    <row r="530">
      <c r="J530" s="69"/>
    </row>
    <row r="531">
      <c r="J531" s="69"/>
    </row>
    <row r="532">
      <c r="J532" s="69"/>
    </row>
    <row r="533">
      <c r="J533" s="69"/>
    </row>
    <row r="534">
      <c r="J534" s="69"/>
    </row>
    <row r="535">
      <c r="J535" s="69"/>
    </row>
    <row r="536">
      <c r="J536" s="69"/>
    </row>
    <row r="537">
      <c r="J537" s="69"/>
    </row>
    <row r="538">
      <c r="J538" s="69"/>
    </row>
    <row r="539">
      <c r="J539" s="69"/>
    </row>
    <row r="540">
      <c r="J540" s="69"/>
    </row>
    <row r="541">
      <c r="J541" s="69"/>
    </row>
    <row r="542">
      <c r="J542" s="69"/>
    </row>
    <row r="543">
      <c r="J543" s="69"/>
    </row>
    <row r="544">
      <c r="J544" s="69"/>
    </row>
    <row r="545">
      <c r="J545" s="69"/>
    </row>
    <row r="546">
      <c r="J546" s="69"/>
    </row>
    <row r="547">
      <c r="J547" s="69"/>
    </row>
    <row r="548">
      <c r="J548" s="69"/>
    </row>
    <row r="549">
      <c r="J549" s="69"/>
    </row>
    <row r="550">
      <c r="J550" s="69"/>
    </row>
    <row r="551">
      <c r="J551" s="69"/>
    </row>
    <row r="552">
      <c r="J552" s="69"/>
    </row>
    <row r="553">
      <c r="J553" s="69"/>
    </row>
    <row r="554">
      <c r="J554" s="69"/>
    </row>
    <row r="555">
      <c r="J555" s="69"/>
    </row>
    <row r="556">
      <c r="J556" s="69"/>
    </row>
    <row r="557">
      <c r="J557" s="69"/>
    </row>
    <row r="558">
      <c r="J558" s="69"/>
    </row>
    <row r="559">
      <c r="J559" s="69"/>
    </row>
    <row r="560">
      <c r="J560" s="69"/>
    </row>
    <row r="561">
      <c r="J561" s="69"/>
    </row>
    <row r="562">
      <c r="J562" s="69"/>
    </row>
    <row r="563">
      <c r="J563" s="69"/>
    </row>
    <row r="564">
      <c r="J564" s="69"/>
    </row>
    <row r="565">
      <c r="J565" s="69"/>
    </row>
    <row r="566">
      <c r="J566" s="69"/>
    </row>
    <row r="567">
      <c r="J567" s="69"/>
    </row>
    <row r="568">
      <c r="J568" s="69"/>
    </row>
    <row r="569">
      <c r="J569" s="69"/>
    </row>
    <row r="570">
      <c r="J570" s="69"/>
    </row>
    <row r="571">
      <c r="J571" s="69"/>
    </row>
    <row r="572">
      <c r="J572" s="69"/>
    </row>
    <row r="573">
      <c r="J573" s="69"/>
    </row>
    <row r="574">
      <c r="J574" s="69"/>
    </row>
    <row r="575">
      <c r="J575" s="69"/>
    </row>
    <row r="576">
      <c r="J576" s="69"/>
    </row>
    <row r="577">
      <c r="J577" s="69"/>
    </row>
    <row r="578">
      <c r="J578" s="69"/>
    </row>
    <row r="579">
      <c r="J579" s="69"/>
    </row>
    <row r="580">
      <c r="J580" s="69"/>
    </row>
    <row r="581">
      <c r="J581" s="69"/>
    </row>
    <row r="582">
      <c r="J582" s="69"/>
    </row>
    <row r="583">
      <c r="J583" s="69"/>
    </row>
    <row r="584">
      <c r="J584" s="69"/>
    </row>
    <row r="585">
      <c r="J585" s="69"/>
    </row>
    <row r="586">
      <c r="J586" s="69"/>
    </row>
    <row r="587">
      <c r="J587" s="69"/>
    </row>
    <row r="588">
      <c r="J588" s="69"/>
    </row>
    <row r="589">
      <c r="J589" s="69"/>
    </row>
    <row r="590">
      <c r="J590" s="69"/>
    </row>
    <row r="591">
      <c r="J591" s="69"/>
    </row>
    <row r="592">
      <c r="J592" s="69"/>
    </row>
    <row r="593">
      <c r="J593" s="69"/>
    </row>
    <row r="594">
      <c r="J594" s="69"/>
    </row>
    <row r="595">
      <c r="J595" s="69"/>
    </row>
    <row r="596">
      <c r="J596" s="69"/>
    </row>
    <row r="597">
      <c r="J597" s="69"/>
    </row>
    <row r="598">
      <c r="J598" s="69"/>
    </row>
    <row r="599">
      <c r="J599" s="69"/>
    </row>
    <row r="600">
      <c r="J600" s="69"/>
    </row>
    <row r="601">
      <c r="J601" s="69"/>
    </row>
    <row r="602">
      <c r="J602" s="69"/>
    </row>
    <row r="603">
      <c r="J603" s="69"/>
    </row>
    <row r="604">
      <c r="J604" s="69"/>
    </row>
    <row r="605">
      <c r="J605" s="69"/>
    </row>
    <row r="606">
      <c r="J606" s="69"/>
    </row>
    <row r="607">
      <c r="J607" s="69"/>
    </row>
    <row r="608">
      <c r="J608" s="69"/>
    </row>
    <row r="609">
      <c r="J609" s="69"/>
    </row>
    <row r="610">
      <c r="J610" s="69"/>
    </row>
    <row r="611">
      <c r="J611" s="69"/>
    </row>
    <row r="612">
      <c r="J612" s="69"/>
    </row>
    <row r="613">
      <c r="J613" s="69"/>
    </row>
    <row r="614">
      <c r="J614" s="69"/>
    </row>
    <row r="615">
      <c r="J615" s="69"/>
    </row>
    <row r="616">
      <c r="J616" s="69"/>
    </row>
    <row r="617">
      <c r="J617" s="69"/>
    </row>
    <row r="618">
      <c r="J618" s="69"/>
    </row>
    <row r="619">
      <c r="J619" s="69"/>
    </row>
    <row r="620">
      <c r="J620" s="69"/>
    </row>
    <row r="621">
      <c r="J621" s="69"/>
    </row>
    <row r="622">
      <c r="J622" s="69"/>
    </row>
    <row r="623">
      <c r="J623" s="69"/>
    </row>
    <row r="624">
      <c r="J624" s="69"/>
    </row>
    <row r="625">
      <c r="J625" s="69"/>
    </row>
    <row r="626">
      <c r="J626" s="69"/>
    </row>
    <row r="627">
      <c r="J627" s="69"/>
    </row>
    <row r="628">
      <c r="J628" s="69"/>
    </row>
    <row r="629">
      <c r="J629" s="69"/>
    </row>
    <row r="630">
      <c r="J630" s="69"/>
    </row>
    <row r="631">
      <c r="J631" s="69"/>
    </row>
    <row r="632">
      <c r="J632" s="69"/>
    </row>
    <row r="633">
      <c r="J633" s="69"/>
    </row>
    <row r="634">
      <c r="J634" s="69"/>
    </row>
    <row r="635">
      <c r="J635" s="69"/>
    </row>
    <row r="636">
      <c r="J636" s="69"/>
    </row>
    <row r="637">
      <c r="J637" s="69"/>
    </row>
    <row r="638">
      <c r="J638" s="69"/>
    </row>
    <row r="639">
      <c r="J639" s="69"/>
    </row>
    <row r="640">
      <c r="J640" s="69"/>
    </row>
    <row r="641">
      <c r="J641" s="69"/>
    </row>
    <row r="642">
      <c r="J642" s="69"/>
    </row>
    <row r="643">
      <c r="J643" s="69"/>
    </row>
    <row r="644">
      <c r="J644" s="69"/>
    </row>
    <row r="645">
      <c r="J645" s="69"/>
    </row>
    <row r="646">
      <c r="J646" s="69"/>
    </row>
    <row r="647">
      <c r="J647" s="69"/>
    </row>
    <row r="648">
      <c r="J648" s="69"/>
    </row>
    <row r="649">
      <c r="J649" s="69"/>
    </row>
    <row r="650">
      <c r="J650" s="69"/>
    </row>
    <row r="651">
      <c r="J651" s="69"/>
    </row>
    <row r="652">
      <c r="J652" s="69"/>
    </row>
    <row r="653">
      <c r="J653" s="69"/>
    </row>
    <row r="654">
      <c r="J654" s="69"/>
    </row>
    <row r="655">
      <c r="J655" s="69"/>
    </row>
    <row r="656">
      <c r="J656" s="69"/>
    </row>
    <row r="657">
      <c r="J657" s="69"/>
    </row>
    <row r="658">
      <c r="J658" s="69"/>
    </row>
    <row r="659">
      <c r="J659" s="69"/>
    </row>
    <row r="660">
      <c r="J660" s="69"/>
    </row>
    <row r="661">
      <c r="J661" s="69"/>
    </row>
    <row r="662">
      <c r="J662" s="69"/>
    </row>
    <row r="663">
      <c r="J663" s="69"/>
    </row>
    <row r="664">
      <c r="J664" s="69"/>
    </row>
    <row r="665">
      <c r="J665" s="69"/>
    </row>
    <row r="666">
      <c r="J666" s="69"/>
    </row>
    <row r="667">
      <c r="J667" s="69"/>
    </row>
    <row r="668">
      <c r="J668" s="69"/>
    </row>
    <row r="669">
      <c r="J669" s="69"/>
    </row>
    <row r="670">
      <c r="J670" s="69"/>
    </row>
    <row r="671">
      <c r="J671" s="69"/>
    </row>
    <row r="672">
      <c r="J672" s="69"/>
    </row>
    <row r="673">
      <c r="J673" s="69"/>
    </row>
    <row r="674">
      <c r="J674" s="69"/>
    </row>
    <row r="675">
      <c r="J675" s="69"/>
    </row>
    <row r="676">
      <c r="J676" s="69"/>
    </row>
    <row r="677">
      <c r="J677" s="69"/>
    </row>
    <row r="678">
      <c r="J678" s="69"/>
    </row>
    <row r="679">
      <c r="J679" s="69"/>
    </row>
    <row r="680">
      <c r="J680" s="69"/>
    </row>
    <row r="681">
      <c r="J681" s="69"/>
    </row>
    <row r="682">
      <c r="J682" s="69"/>
    </row>
    <row r="683">
      <c r="J683" s="69"/>
    </row>
    <row r="684">
      <c r="J684" s="69"/>
    </row>
    <row r="685">
      <c r="J685" s="69"/>
    </row>
    <row r="686">
      <c r="J686" s="69"/>
    </row>
    <row r="687">
      <c r="J687" s="69"/>
    </row>
    <row r="688">
      <c r="J688" s="69"/>
    </row>
    <row r="689">
      <c r="J689" s="69"/>
    </row>
    <row r="690">
      <c r="J690" s="69"/>
    </row>
    <row r="691">
      <c r="J691" s="69"/>
    </row>
    <row r="692">
      <c r="J692" s="69"/>
    </row>
    <row r="693">
      <c r="J693" s="69"/>
    </row>
    <row r="694">
      <c r="J694" s="69"/>
    </row>
    <row r="695">
      <c r="J695" s="69"/>
    </row>
    <row r="696">
      <c r="J696" s="69"/>
    </row>
    <row r="697">
      <c r="J697" s="69"/>
    </row>
    <row r="698">
      <c r="J698" s="69"/>
    </row>
    <row r="699">
      <c r="J699" s="69"/>
    </row>
    <row r="700">
      <c r="J700" s="69"/>
    </row>
    <row r="701">
      <c r="J701" s="69"/>
    </row>
    <row r="702">
      <c r="J702" s="69"/>
    </row>
    <row r="703">
      <c r="J703" s="69"/>
    </row>
    <row r="704">
      <c r="J704" s="69"/>
    </row>
    <row r="705">
      <c r="J705" s="69"/>
    </row>
    <row r="706">
      <c r="J706" s="69"/>
    </row>
    <row r="707">
      <c r="J707" s="69"/>
    </row>
    <row r="708">
      <c r="J708" s="69"/>
    </row>
    <row r="709">
      <c r="J709" s="69"/>
    </row>
    <row r="710">
      <c r="J710" s="69"/>
    </row>
    <row r="711">
      <c r="J711" s="69"/>
    </row>
    <row r="712">
      <c r="J712" s="69"/>
    </row>
    <row r="713">
      <c r="J713" s="69"/>
    </row>
    <row r="714">
      <c r="J714" s="69"/>
    </row>
    <row r="715">
      <c r="J715" s="69"/>
    </row>
    <row r="716">
      <c r="J716" s="69"/>
    </row>
    <row r="717">
      <c r="J717" s="69"/>
    </row>
    <row r="718">
      <c r="J718" s="69"/>
    </row>
    <row r="719">
      <c r="J719" s="69"/>
    </row>
    <row r="720">
      <c r="J720" s="69"/>
    </row>
    <row r="721">
      <c r="J721" s="69"/>
    </row>
    <row r="722">
      <c r="J722" s="69"/>
    </row>
    <row r="723">
      <c r="J723" s="69"/>
    </row>
    <row r="724">
      <c r="J724" s="69"/>
    </row>
    <row r="725">
      <c r="J725" s="69"/>
    </row>
    <row r="726">
      <c r="J726" s="69"/>
    </row>
    <row r="727">
      <c r="J727" s="69"/>
    </row>
    <row r="728">
      <c r="J728" s="69"/>
    </row>
    <row r="729">
      <c r="J729" s="69"/>
    </row>
    <row r="730">
      <c r="J730" s="69"/>
    </row>
    <row r="731">
      <c r="J731" s="69"/>
    </row>
    <row r="732">
      <c r="J732" s="69"/>
    </row>
    <row r="733">
      <c r="J733" s="69"/>
    </row>
    <row r="734">
      <c r="J734" s="69"/>
    </row>
    <row r="735">
      <c r="J735" s="69"/>
    </row>
    <row r="736">
      <c r="J736" s="69"/>
    </row>
    <row r="737">
      <c r="J737" s="69"/>
    </row>
    <row r="738">
      <c r="J738" s="69"/>
    </row>
    <row r="739">
      <c r="J739" s="69"/>
    </row>
    <row r="740">
      <c r="J740" s="69"/>
    </row>
    <row r="741">
      <c r="J741" s="69"/>
    </row>
    <row r="742">
      <c r="J742" s="69"/>
    </row>
    <row r="743">
      <c r="J743" s="69"/>
    </row>
    <row r="744">
      <c r="J744" s="69"/>
    </row>
    <row r="745">
      <c r="J745" s="69"/>
    </row>
    <row r="746">
      <c r="J746" s="69"/>
    </row>
    <row r="747">
      <c r="J747" s="69"/>
    </row>
    <row r="748">
      <c r="J748" s="69"/>
    </row>
    <row r="749">
      <c r="J749" s="69"/>
    </row>
    <row r="750">
      <c r="J750" s="69"/>
    </row>
    <row r="751">
      <c r="J751" s="69"/>
    </row>
    <row r="752">
      <c r="J752" s="69"/>
    </row>
    <row r="753">
      <c r="J753" s="69"/>
    </row>
    <row r="754">
      <c r="J754" s="69"/>
    </row>
    <row r="755">
      <c r="J755" s="69"/>
    </row>
    <row r="756">
      <c r="J756" s="69"/>
    </row>
    <row r="757">
      <c r="J757" s="69"/>
    </row>
    <row r="758">
      <c r="J758" s="69"/>
    </row>
    <row r="759">
      <c r="J759" s="69"/>
    </row>
    <row r="760">
      <c r="J760" s="69"/>
    </row>
    <row r="761">
      <c r="J761" s="69"/>
    </row>
    <row r="762">
      <c r="J762" s="69"/>
    </row>
    <row r="763">
      <c r="J763" s="69"/>
    </row>
    <row r="764">
      <c r="J764" s="69"/>
    </row>
    <row r="765">
      <c r="J765" s="69"/>
    </row>
    <row r="766">
      <c r="J766" s="69"/>
    </row>
    <row r="767">
      <c r="J767" s="69"/>
    </row>
    <row r="768">
      <c r="J768" s="69"/>
    </row>
    <row r="769">
      <c r="J769" s="69"/>
    </row>
    <row r="770">
      <c r="J770" s="69"/>
    </row>
    <row r="771">
      <c r="J771" s="69"/>
    </row>
    <row r="772">
      <c r="J772" s="69"/>
    </row>
    <row r="773">
      <c r="J773" s="69"/>
    </row>
    <row r="774">
      <c r="J774" s="69"/>
    </row>
    <row r="775">
      <c r="J775" s="69"/>
    </row>
    <row r="776">
      <c r="J776" s="69"/>
    </row>
    <row r="777">
      <c r="J777" s="69"/>
    </row>
    <row r="778">
      <c r="J778" s="69"/>
    </row>
    <row r="779">
      <c r="J779" s="69"/>
    </row>
    <row r="780">
      <c r="J780" s="69"/>
    </row>
    <row r="781">
      <c r="J781" s="69"/>
    </row>
    <row r="782">
      <c r="J782" s="69"/>
    </row>
    <row r="783">
      <c r="J783" s="69"/>
    </row>
    <row r="784">
      <c r="J784" s="69"/>
    </row>
    <row r="785">
      <c r="J785" s="69"/>
    </row>
    <row r="786">
      <c r="J786" s="69"/>
    </row>
    <row r="787">
      <c r="J787" s="69"/>
    </row>
    <row r="788">
      <c r="J788" s="69"/>
    </row>
    <row r="789">
      <c r="J789" s="69"/>
    </row>
    <row r="790">
      <c r="J790" s="69"/>
    </row>
    <row r="791">
      <c r="J791" s="69"/>
    </row>
    <row r="792">
      <c r="J792" s="69"/>
    </row>
    <row r="793">
      <c r="J793" s="69"/>
    </row>
    <row r="794">
      <c r="J794" s="69"/>
    </row>
    <row r="795">
      <c r="J795" s="69"/>
    </row>
    <row r="796">
      <c r="J796" s="69"/>
    </row>
    <row r="797">
      <c r="J797" s="69"/>
    </row>
    <row r="798">
      <c r="J798" s="69"/>
    </row>
    <row r="799">
      <c r="J799" s="69"/>
    </row>
    <row r="800">
      <c r="J800" s="69"/>
    </row>
    <row r="801">
      <c r="J801" s="69"/>
    </row>
    <row r="802">
      <c r="J802" s="69"/>
    </row>
    <row r="803">
      <c r="J803" s="69"/>
    </row>
    <row r="804">
      <c r="J804" s="69"/>
    </row>
    <row r="805">
      <c r="J805" s="69"/>
    </row>
    <row r="806">
      <c r="J806" s="69"/>
    </row>
    <row r="807">
      <c r="J807" s="69"/>
    </row>
    <row r="808">
      <c r="J808" s="69"/>
    </row>
    <row r="809">
      <c r="J809" s="69"/>
    </row>
    <row r="810">
      <c r="J810" s="69"/>
    </row>
    <row r="811">
      <c r="J811" s="69"/>
    </row>
    <row r="812">
      <c r="J812" s="69"/>
    </row>
    <row r="813">
      <c r="J813" s="69"/>
    </row>
    <row r="814">
      <c r="J814" s="69"/>
    </row>
    <row r="815">
      <c r="J815" s="69"/>
    </row>
    <row r="816">
      <c r="J816" s="69"/>
    </row>
    <row r="817">
      <c r="J817" s="69"/>
    </row>
    <row r="818">
      <c r="J818" s="69"/>
    </row>
    <row r="819">
      <c r="J819" s="69"/>
    </row>
    <row r="820">
      <c r="J820" s="69"/>
    </row>
    <row r="821">
      <c r="J821" s="69"/>
    </row>
    <row r="822">
      <c r="J822" s="69"/>
    </row>
    <row r="823">
      <c r="J823" s="69"/>
    </row>
    <row r="824">
      <c r="J824" s="69"/>
    </row>
    <row r="825">
      <c r="J825" s="69"/>
    </row>
    <row r="826">
      <c r="J826" s="69"/>
    </row>
    <row r="827">
      <c r="J827" s="69"/>
    </row>
    <row r="828">
      <c r="J828" s="69"/>
    </row>
    <row r="829">
      <c r="J829" s="69"/>
    </row>
    <row r="830">
      <c r="J830" s="69"/>
    </row>
    <row r="831">
      <c r="J831" s="69"/>
    </row>
    <row r="832">
      <c r="J832" s="69"/>
    </row>
    <row r="833">
      <c r="J833" s="69"/>
    </row>
    <row r="834">
      <c r="J834" s="69"/>
    </row>
    <row r="835">
      <c r="J835" s="69"/>
    </row>
    <row r="836">
      <c r="J836" s="69"/>
    </row>
    <row r="837">
      <c r="J837" s="69"/>
    </row>
    <row r="838">
      <c r="J838" s="69"/>
    </row>
    <row r="839">
      <c r="J839" s="69"/>
    </row>
    <row r="840">
      <c r="J840" s="69"/>
    </row>
    <row r="841">
      <c r="J841" s="69"/>
    </row>
    <row r="842">
      <c r="J842" s="69"/>
    </row>
    <row r="843">
      <c r="J843" s="69"/>
    </row>
    <row r="844">
      <c r="J844" s="69"/>
    </row>
    <row r="845">
      <c r="J845" s="69"/>
    </row>
    <row r="846">
      <c r="J846" s="69"/>
    </row>
    <row r="847">
      <c r="J847" s="69"/>
    </row>
    <row r="848">
      <c r="J848" s="69"/>
    </row>
    <row r="849">
      <c r="J849" s="69"/>
    </row>
    <row r="850">
      <c r="J850" s="69"/>
    </row>
    <row r="851">
      <c r="J851" s="69"/>
    </row>
    <row r="852">
      <c r="J852" s="69"/>
    </row>
    <row r="853">
      <c r="J853" s="69"/>
    </row>
    <row r="854">
      <c r="J854" s="69"/>
    </row>
    <row r="855">
      <c r="J855" s="69"/>
    </row>
    <row r="856">
      <c r="J856" s="69"/>
    </row>
    <row r="857">
      <c r="J857" s="69"/>
    </row>
    <row r="858">
      <c r="J858" s="69"/>
    </row>
    <row r="859">
      <c r="J859" s="69"/>
    </row>
    <row r="860">
      <c r="J860" s="69"/>
    </row>
    <row r="861">
      <c r="J861" s="69"/>
    </row>
    <row r="862">
      <c r="J862" s="69"/>
    </row>
    <row r="863">
      <c r="J863" s="69"/>
    </row>
    <row r="864">
      <c r="J864" s="69"/>
    </row>
    <row r="865">
      <c r="J865" s="69"/>
    </row>
    <row r="866">
      <c r="J866" s="69"/>
    </row>
    <row r="867">
      <c r="J867" s="69"/>
    </row>
    <row r="868">
      <c r="J868" s="69"/>
    </row>
    <row r="869">
      <c r="J869" s="69"/>
    </row>
    <row r="870">
      <c r="J870" s="69"/>
    </row>
    <row r="871">
      <c r="J871" s="69"/>
    </row>
    <row r="872">
      <c r="J872" s="69"/>
    </row>
    <row r="873">
      <c r="J873" s="69"/>
    </row>
    <row r="874">
      <c r="J874" s="69"/>
    </row>
    <row r="875">
      <c r="J875" s="69"/>
    </row>
    <row r="876">
      <c r="J876" s="69"/>
    </row>
    <row r="877">
      <c r="J877" s="69"/>
    </row>
    <row r="878">
      <c r="J878" s="69"/>
    </row>
    <row r="879">
      <c r="J879" s="69"/>
    </row>
    <row r="880">
      <c r="J880" s="69"/>
    </row>
    <row r="881">
      <c r="J881" s="69"/>
    </row>
    <row r="882">
      <c r="J882" s="69"/>
    </row>
    <row r="883">
      <c r="J883" s="69"/>
    </row>
    <row r="884">
      <c r="J884" s="69"/>
    </row>
    <row r="885">
      <c r="J885" s="69"/>
    </row>
    <row r="886">
      <c r="J886" s="69"/>
    </row>
    <row r="887">
      <c r="J887" s="69"/>
    </row>
    <row r="888">
      <c r="J888" s="69"/>
    </row>
    <row r="889">
      <c r="J889" s="69"/>
    </row>
    <row r="890">
      <c r="J890" s="69"/>
    </row>
    <row r="891">
      <c r="J891" s="69"/>
    </row>
    <row r="892">
      <c r="J892" s="69"/>
    </row>
    <row r="893">
      <c r="J893" s="69"/>
    </row>
    <row r="894">
      <c r="J894" s="69"/>
    </row>
    <row r="895">
      <c r="J895" s="69"/>
    </row>
    <row r="896">
      <c r="J896" s="69"/>
    </row>
    <row r="897">
      <c r="J897" s="69"/>
    </row>
    <row r="898">
      <c r="J898" s="69"/>
    </row>
    <row r="899">
      <c r="J899" s="69"/>
    </row>
    <row r="900">
      <c r="J900" s="69"/>
    </row>
    <row r="901">
      <c r="J901" s="69"/>
    </row>
    <row r="902">
      <c r="J902" s="69"/>
    </row>
    <row r="903">
      <c r="J903" s="69"/>
    </row>
    <row r="904">
      <c r="J904" s="69"/>
    </row>
    <row r="905">
      <c r="J905" s="69"/>
    </row>
    <row r="906">
      <c r="J906" s="69"/>
    </row>
    <row r="907">
      <c r="J907" s="69"/>
    </row>
    <row r="908">
      <c r="J908" s="69"/>
    </row>
    <row r="909">
      <c r="J909" s="69"/>
    </row>
    <row r="910">
      <c r="J910" s="69"/>
    </row>
    <row r="911">
      <c r="J911" s="69"/>
    </row>
    <row r="912">
      <c r="J912" s="69"/>
    </row>
    <row r="913">
      <c r="J913" s="69"/>
    </row>
    <row r="914">
      <c r="J914" s="69"/>
    </row>
    <row r="915">
      <c r="J915" s="69"/>
    </row>
    <row r="916">
      <c r="J916" s="69"/>
    </row>
    <row r="917">
      <c r="J917" s="69"/>
    </row>
    <row r="918">
      <c r="J918" s="69"/>
    </row>
    <row r="919">
      <c r="J919" s="69"/>
    </row>
    <row r="920">
      <c r="J920" s="69"/>
    </row>
    <row r="921">
      <c r="J921" s="69"/>
    </row>
    <row r="922">
      <c r="J922" s="69"/>
    </row>
    <row r="923">
      <c r="J923" s="69"/>
    </row>
    <row r="924">
      <c r="J924" s="69"/>
    </row>
    <row r="925">
      <c r="J925" s="69"/>
    </row>
    <row r="926">
      <c r="J926" s="69"/>
    </row>
    <row r="927">
      <c r="J927" s="69"/>
    </row>
    <row r="928">
      <c r="J928" s="69"/>
    </row>
    <row r="929">
      <c r="J929" s="69"/>
    </row>
    <row r="930">
      <c r="J930" s="69"/>
    </row>
    <row r="931">
      <c r="J931" s="69"/>
    </row>
    <row r="932">
      <c r="J932" s="69"/>
    </row>
    <row r="933">
      <c r="J933" s="69"/>
    </row>
    <row r="934">
      <c r="J934" s="69"/>
    </row>
    <row r="935">
      <c r="J935" s="69"/>
    </row>
    <row r="936">
      <c r="J936" s="69"/>
    </row>
    <row r="937">
      <c r="J937" s="69"/>
    </row>
    <row r="938">
      <c r="J938" s="69"/>
    </row>
    <row r="939">
      <c r="J939" s="69"/>
    </row>
    <row r="940">
      <c r="J940" s="69"/>
    </row>
    <row r="941">
      <c r="J941" s="69"/>
    </row>
    <row r="942">
      <c r="J942" s="69"/>
    </row>
    <row r="943">
      <c r="J943" s="69"/>
    </row>
    <row r="944">
      <c r="J944" s="69"/>
    </row>
    <row r="945">
      <c r="J945" s="69"/>
    </row>
    <row r="946">
      <c r="J946" s="69"/>
    </row>
    <row r="947">
      <c r="J947" s="69"/>
    </row>
    <row r="948">
      <c r="J948" s="69"/>
    </row>
    <row r="949">
      <c r="J949" s="69"/>
    </row>
    <row r="950">
      <c r="J950" s="69"/>
    </row>
    <row r="951">
      <c r="J951" s="69"/>
    </row>
    <row r="952">
      <c r="J952" s="69"/>
    </row>
    <row r="953">
      <c r="J953" s="69"/>
    </row>
    <row r="954">
      <c r="J954" s="69"/>
    </row>
    <row r="955">
      <c r="J955" s="69"/>
    </row>
    <row r="956">
      <c r="J956" s="69"/>
    </row>
    <row r="957">
      <c r="J957" s="69"/>
    </row>
    <row r="958">
      <c r="J958" s="69"/>
    </row>
    <row r="959">
      <c r="J959" s="69"/>
    </row>
    <row r="960">
      <c r="J960" s="69"/>
    </row>
    <row r="961">
      <c r="J961" s="69"/>
    </row>
    <row r="962">
      <c r="J962" s="69"/>
    </row>
    <row r="963">
      <c r="J963" s="69"/>
    </row>
    <row r="964">
      <c r="J964" s="69"/>
    </row>
    <row r="965">
      <c r="J965" s="69"/>
    </row>
    <row r="966">
      <c r="J966" s="69"/>
    </row>
    <row r="967">
      <c r="J967" s="69"/>
    </row>
    <row r="968">
      <c r="J968" s="69"/>
    </row>
    <row r="969">
      <c r="J969" s="69"/>
    </row>
    <row r="970">
      <c r="J970" s="69"/>
    </row>
    <row r="971">
      <c r="J971" s="69"/>
    </row>
    <row r="972">
      <c r="J972" s="69"/>
    </row>
    <row r="973">
      <c r="J973" s="69"/>
    </row>
    <row r="974">
      <c r="J974" s="69"/>
    </row>
    <row r="975">
      <c r="J975" s="69"/>
    </row>
    <row r="976">
      <c r="J976" s="69"/>
    </row>
    <row r="977">
      <c r="J977" s="69"/>
    </row>
    <row r="978">
      <c r="J978" s="69"/>
    </row>
    <row r="979">
      <c r="J979" s="69"/>
    </row>
    <row r="980">
      <c r="J980" s="69"/>
    </row>
    <row r="981">
      <c r="J981" s="69"/>
    </row>
    <row r="982">
      <c r="J982" s="69"/>
    </row>
    <row r="983">
      <c r="J983" s="69"/>
    </row>
    <row r="984">
      <c r="J984" s="69"/>
    </row>
    <row r="985">
      <c r="J985" s="69"/>
    </row>
    <row r="986">
      <c r="J986" s="69"/>
    </row>
    <row r="987">
      <c r="J987" s="69"/>
    </row>
    <row r="988">
      <c r="J988" s="69"/>
    </row>
    <row r="989">
      <c r="J989" s="69"/>
    </row>
    <row r="990">
      <c r="J990" s="69"/>
    </row>
    <row r="991">
      <c r="J991" s="69"/>
    </row>
    <row r="992">
      <c r="J992" s="69"/>
    </row>
    <row r="993">
      <c r="J993" s="69"/>
    </row>
    <row r="994">
      <c r="J994" s="69"/>
    </row>
    <row r="995">
      <c r="J995" s="69"/>
    </row>
    <row r="996">
      <c r="J996" s="69"/>
    </row>
    <row r="997">
      <c r="J997" s="69"/>
    </row>
    <row r="998">
      <c r="J998" s="69"/>
    </row>
    <row r="999">
      <c r="J999" s="69"/>
    </row>
    <row r="1000">
      <c r="J1000" s="69"/>
    </row>
    <row r="1001">
      <c r="J1001" s="69"/>
    </row>
    <row r="1002">
      <c r="J1002" s="69"/>
    </row>
    <row r="1003">
      <c r="J1003" s="69"/>
    </row>
    <row r="1004">
      <c r="J1004" s="69"/>
    </row>
    <row r="1005">
      <c r="J1005" s="69"/>
    </row>
    <row r="1006">
      <c r="J1006" s="69"/>
    </row>
    <row r="1007">
      <c r="J1007" s="69"/>
    </row>
  </sheetData>
  <mergeCells count="1">
    <mergeCell ref="A24:D24"/>
  </mergeCell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63"/>
    <col customWidth="1" min="7" max="7" width="10.0"/>
    <col customWidth="1" min="8" max="8" width="12.38"/>
    <col customWidth="1" min="9" max="9" width="14.38"/>
  </cols>
  <sheetData>
    <row r="1">
      <c r="A1" s="366" t="s">
        <v>67</v>
      </c>
      <c r="B1" s="253" t="s">
        <v>195</v>
      </c>
      <c r="C1" s="253" t="s">
        <v>196</v>
      </c>
      <c r="D1" s="253" t="s">
        <v>197</v>
      </c>
      <c r="E1" s="367" t="s">
        <v>4</v>
      </c>
      <c r="F1" s="368" t="s">
        <v>5</v>
      </c>
      <c r="G1" s="321" t="s">
        <v>9</v>
      </c>
      <c r="H1" s="368" t="s">
        <v>6</v>
      </c>
      <c r="I1" s="254" t="s">
        <v>198</v>
      </c>
    </row>
    <row r="2">
      <c r="A2" s="337" t="s">
        <v>147</v>
      </c>
      <c r="B2" s="58">
        <f>'Исходные данные'!D43</f>
        <v>334</v>
      </c>
      <c r="C2" s="369">
        <f>'Исходные данные'!D42</f>
        <v>55</v>
      </c>
      <c r="D2" s="369"/>
      <c r="E2" s="323">
        <v>278297.0</v>
      </c>
      <c r="F2" s="325">
        <v>12.0</v>
      </c>
      <c r="G2" s="146"/>
      <c r="H2" s="58">
        <f t="shared" ref="H2:H3" si="1">E2/F2</f>
        <v>23191.41667</v>
      </c>
      <c r="I2" s="370">
        <f>H2/B2*C2</f>
        <v>3818.945858</v>
      </c>
    </row>
    <row r="3">
      <c r="A3" s="87" t="s">
        <v>148</v>
      </c>
      <c r="B3" s="146"/>
      <c r="C3" s="58"/>
      <c r="D3" s="58"/>
      <c r="E3" s="323">
        <f>2854+382.5</f>
        <v>3236.5</v>
      </c>
      <c r="F3" s="325">
        <v>12.0</v>
      </c>
      <c r="G3" s="325"/>
      <c r="H3" s="58">
        <f t="shared" si="1"/>
        <v>269.7083333</v>
      </c>
      <c r="I3" s="370">
        <f>H3</f>
        <v>269.7083333</v>
      </c>
    </row>
    <row r="4">
      <c r="A4" s="337" t="s">
        <v>291</v>
      </c>
      <c r="B4" s="146"/>
      <c r="C4" s="58"/>
      <c r="D4" s="338">
        <f>B9+B10</f>
        <v>888</v>
      </c>
      <c r="E4" s="146"/>
      <c r="F4" s="324"/>
      <c r="G4" s="339">
        <f>'Общие расходы г. Альметьевск'!F4</f>
        <v>0.5757010515</v>
      </c>
      <c r="H4" s="146"/>
      <c r="I4" s="370">
        <f t="shared" ref="I4:I6" si="2">D4*G4</f>
        <v>511.2225337</v>
      </c>
    </row>
    <row r="5">
      <c r="A5" s="337" t="s">
        <v>152</v>
      </c>
      <c r="B5" s="146"/>
      <c r="C5" s="58"/>
      <c r="D5" s="338">
        <f>B9+B10</f>
        <v>888</v>
      </c>
      <c r="E5" s="146"/>
      <c r="F5" s="324"/>
      <c r="G5" s="339">
        <f>'Общие расходы ГЭ'!G16</f>
        <v>9.195626292</v>
      </c>
      <c r="H5" s="146"/>
      <c r="I5" s="370">
        <f t="shared" si="2"/>
        <v>8165.716147</v>
      </c>
    </row>
    <row r="6">
      <c r="A6" s="337" t="s">
        <v>292</v>
      </c>
      <c r="B6" s="146"/>
      <c r="C6" s="58"/>
      <c r="D6" s="338">
        <f>B9+B10</f>
        <v>888</v>
      </c>
      <c r="E6" s="146"/>
      <c r="F6" s="324"/>
      <c r="G6" s="339">
        <f>'Общие расходы г. Зеленодольск'!F12</f>
        <v>0.9242115565</v>
      </c>
      <c r="H6" s="146"/>
      <c r="I6" s="370">
        <f t="shared" si="2"/>
        <v>820.6998622</v>
      </c>
    </row>
    <row r="7">
      <c r="A7" s="371"/>
      <c r="B7" s="372"/>
      <c r="C7" s="372"/>
      <c r="D7" s="372"/>
      <c r="E7" s="372"/>
      <c r="F7" s="373"/>
      <c r="G7" s="372"/>
      <c r="H7" s="372"/>
      <c r="I7" s="370">
        <f>SUM(I2:I6)</f>
        <v>13586.29273</v>
      </c>
    </row>
    <row r="9">
      <c r="A9" s="68" t="s">
        <v>205</v>
      </c>
      <c r="B9" s="260">
        <f>'Исходные данные'!B42</f>
        <v>888</v>
      </c>
    </row>
    <row r="10">
      <c r="A10" s="68" t="s">
        <v>206</v>
      </c>
      <c r="B10" s="260" t="str">
        <f>'Исходные данные'!C42</f>
        <v/>
      </c>
    </row>
    <row r="11">
      <c r="A11" s="68" t="s">
        <v>207</v>
      </c>
      <c r="B11" s="260">
        <f>'Исходные данные'!D42</f>
        <v>55</v>
      </c>
    </row>
    <row r="13">
      <c r="A13" s="266" t="s">
        <v>208</v>
      </c>
      <c r="B13" s="263"/>
      <c r="C13" s="263"/>
      <c r="D13" s="185"/>
    </row>
    <row r="14">
      <c r="A14" s="268" t="s">
        <v>209</v>
      </c>
      <c r="B14" s="269" t="s">
        <v>210</v>
      </c>
      <c r="C14" s="93" t="s">
        <v>5</v>
      </c>
      <c r="D14" s="269" t="s">
        <v>211</v>
      </c>
    </row>
    <row r="15">
      <c r="A15" s="300"/>
      <c r="B15" s="303"/>
      <c r="C15" s="303"/>
      <c r="D15" s="301"/>
    </row>
    <row r="16">
      <c r="A16" s="68"/>
      <c r="B16" s="303"/>
      <c r="C16" s="303"/>
      <c r="D16" s="301"/>
    </row>
    <row r="17">
      <c r="A17" s="305"/>
      <c r="B17" s="303"/>
      <c r="C17" s="303"/>
      <c r="D17" s="301"/>
    </row>
    <row r="18">
      <c r="A18" s="68"/>
      <c r="B18" s="303"/>
      <c r="C18" s="303"/>
      <c r="D18" s="177"/>
    </row>
    <row r="19">
      <c r="A19" s="304"/>
      <c r="B19" s="303"/>
      <c r="C19" s="303"/>
      <c r="D19" s="303"/>
    </row>
    <row r="20">
      <c r="A20" s="34"/>
      <c r="B20" s="72"/>
      <c r="C20" s="72"/>
      <c r="D20" s="72"/>
    </row>
    <row r="21">
      <c r="A21" s="34"/>
      <c r="B21" s="72"/>
      <c r="C21" s="72"/>
      <c r="D21" s="72"/>
    </row>
  </sheetData>
  <mergeCells count="1">
    <mergeCell ref="A13:D13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5"/>
    <col customWidth="1" min="7" max="7" width="10.0"/>
    <col customWidth="1" min="8" max="8" width="14.88"/>
    <col customWidth="1" min="9" max="9" width="14.5"/>
  </cols>
  <sheetData>
    <row r="1">
      <c r="A1" s="353" t="s">
        <v>134</v>
      </c>
      <c r="B1" s="253" t="s">
        <v>195</v>
      </c>
      <c r="C1" s="253" t="s">
        <v>196</v>
      </c>
      <c r="D1" s="253" t="s">
        <v>197</v>
      </c>
      <c r="E1" s="374" t="s">
        <v>4</v>
      </c>
      <c r="F1" s="45" t="s">
        <v>5</v>
      </c>
      <c r="G1" s="355" t="s">
        <v>9</v>
      </c>
      <c r="H1" s="45" t="s">
        <v>6</v>
      </c>
      <c r="I1" s="254" t="s">
        <v>198</v>
      </c>
    </row>
    <row r="2">
      <c r="A2" s="337" t="s">
        <v>293</v>
      </c>
      <c r="B2" s="375">
        <f>'Исходные данные'!D53</f>
        <v>635</v>
      </c>
      <c r="C2" s="375">
        <f>'Исходные данные'!D46</f>
        <v>597</v>
      </c>
      <c r="D2" s="58"/>
      <c r="E2" s="51">
        <f>8200+902051</f>
        <v>910251</v>
      </c>
      <c r="F2" s="356">
        <v>12.0</v>
      </c>
      <c r="G2" s="321"/>
      <c r="H2" s="58">
        <f t="shared" ref="H2:H10" si="1">E2/F2</f>
        <v>75854.25</v>
      </c>
      <c r="I2" s="357">
        <f>H2/B2*C2</f>
        <v>71314.94055</v>
      </c>
      <c r="J2" s="69"/>
    </row>
    <row r="3">
      <c r="A3" s="327" t="s">
        <v>294</v>
      </c>
      <c r="B3" s="328"/>
      <c r="C3" s="328"/>
      <c r="D3" s="328"/>
      <c r="E3" s="376">
        <f>8395+164548</f>
        <v>172943</v>
      </c>
      <c r="F3" s="360">
        <v>12.0</v>
      </c>
      <c r="G3" s="377"/>
      <c r="H3" s="332">
        <f t="shared" si="1"/>
        <v>14411.91667</v>
      </c>
      <c r="I3" s="357">
        <f t="shared" ref="I3:I8" si="2">H3</f>
        <v>14411.91667</v>
      </c>
    </row>
    <row r="4">
      <c r="A4" s="361" t="s">
        <v>259</v>
      </c>
      <c r="B4" s="328"/>
      <c r="C4" s="328"/>
      <c r="D4" s="328"/>
      <c r="E4" s="333"/>
      <c r="F4" s="360">
        <v>12.0</v>
      </c>
      <c r="G4" s="377"/>
      <c r="H4" s="332">
        <f t="shared" si="1"/>
        <v>0</v>
      </c>
      <c r="I4" s="357">
        <f t="shared" si="2"/>
        <v>0</v>
      </c>
    </row>
    <row r="5">
      <c r="A5" s="87" t="s">
        <v>148</v>
      </c>
      <c r="B5" s="328"/>
      <c r="C5" s="328"/>
      <c r="D5" s="328"/>
      <c r="E5" s="333">
        <v>268000.0</v>
      </c>
      <c r="F5" s="360">
        <v>12.0</v>
      </c>
      <c r="G5" s="377"/>
      <c r="H5" s="332">
        <f t="shared" si="1"/>
        <v>22333.33333</v>
      </c>
      <c r="I5" s="357">
        <f t="shared" si="2"/>
        <v>22333.33333</v>
      </c>
    </row>
    <row r="6">
      <c r="A6" s="87" t="s">
        <v>150</v>
      </c>
      <c r="B6" s="328"/>
      <c r="C6" s="328"/>
      <c r="D6" s="328"/>
      <c r="E6" s="333"/>
      <c r="F6" s="360">
        <v>12.0</v>
      </c>
      <c r="G6" s="377"/>
      <c r="H6" s="332">
        <f t="shared" si="1"/>
        <v>0</v>
      </c>
      <c r="I6" s="357">
        <f t="shared" si="2"/>
        <v>0</v>
      </c>
    </row>
    <row r="7">
      <c r="A7" s="87" t="s">
        <v>149</v>
      </c>
      <c r="B7" s="328"/>
      <c r="C7" s="328"/>
      <c r="D7" s="328"/>
      <c r="E7" s="333">
        <f>700000+38000</f>
        <v>738000</v>
      </c>
      <c r="F7" s="360">
        <v>12.0</v>
      </c>
      <c r="G7" s="377"/>
      <c r="H7" s="332">
        <f t="shared" si="1"/>
        <v>61500</v>
      </c>
      <c r="I7" s="357">
        <f t="shared" si="2"/>
        <v>61500</v>
      </c>
    </row>
    <row r="8">
      <c r="A8" s="337" t="s">
        <v>154</v>
      </c>
      <c r="B8" s="58"/>
      <c r="C8" s="146"/>
      <c r="D8" s="146"/>
      <c r="E8" s="329">
        <f>539000+20000</f>
        <v>559000</v>
      </c>
      <c r="F8" s="356">
        <v>12.0</v>
      </c>
      <c r="G8" s="356"/>
      <c r="H8" s="146">
        <f t="shared" si="1"/>
        <v>46583.33333</v>
      </c>
      <c r="I8" s="357">
        <f t="shared" si="2"/>
        <v>46583.33333</v>
      </c>
    </row>
    <row r="9">
      <c r="A9" s="322" t="s">
        <v>295</v>
      </c>
      <c r="B9" s="58"/>
      <c r="C9" s="146"/>
      <c r="D9" s="146"/>
      <c r="E9" s="329">
        <v>40000.0</v>
      </c>
      <c r="F9" s="356">
        <v>12.0</v>
      </c>
      <c r="G9" s="356"/>
      <c r="H9" s="146">
        <f t="shared" si="1"/>
        <v>3333.333333</v>
      </c>
      <c r="I9" s="357"/>
    </row>
    <row r="10">
      <c r="A10" s="378" t="s">
        <v>91</v>
      </c>
      <c r="B10" s="58"/>
      <c r="C10" s="146"/>
      <c r="D10" s="146"/>
      <c r="E10" s="329"/>
      <c r="F10" s="356">
        <v>12.0</v>
      </c>
      <c r="G10" s="356"/>
      <c r="H10" s="146">
        <f t="shared" si="1"/>
        <v>0</v>
      </c>
      <c r="I10" s="357">
        <f t="shared" ref="I10:I11" si="3">H10</f>
        <v>0</v>
      </c>
    </row>
    <row r="11">
      <c r="A11" s="379" t="s">
        <v>241</v>
      </c>
      <c r="B11" s="58"/>
      <c r="C11" s="146"/>
      <c r="D11" s="380"/>
      <c r="E11" s="328"/>
      <c r="F11" s="321"/>
      <c r="G11" s="356"/>
      <c r="H11" s="146">
        <f>D29</f>
        <v>25416.66667</v>
      </c>
      <c r="I11" s="357">
        <f t="shared" si="3"/>
        <v>25416.66667</v>
      </c>
    </row>
    <row r="12">
      <c r="A12" s="381" t="s">
        <v>152</v>
      </c>
      <c r="B12" s="58"/>
      <c r="C12" s="146"/>
      <c r="D12" s="382">
        <f>B17+B18</f>
        <v>10796</v>
      </c>
      <c r="E12" s="328"/>
      <c r="F12" s="321"/>
      <c r="G12" s="340">
        <f>'Общие расходы ГЭ'!G16</f>
        <v>9.195626292</v>
      </c>
      <c r="H12" s="146"/>
      <c r="I12" s="357">
        <f t="shared" ref="I12:I14" si="4">D12*G12</f>
        <v>99275.98145</v>
      </c>
    </row>
    <row r="13">
      <c r="A13" s="337" t="s">
        <v>290</v>
      </c>
      <c r="B13" s="58"/>
      <c r="C13" s="146"/>
      <c r="D13" s="382">
        <f>B17+B18</f>
        <v>10796</v>
      </c>
      <c r="E13" s="146"/>
      <c r="F13" s="321"/>
      <c r="G13" s="340">
        <f>'Общие расходы г. Зеленодольск'!G4</f>
        <v>2.134690484</v>
      </c>
      <c r="H13" s="146"/>
      <c r="I13" s="357">
        <f t="shared" si="4"/>
        <v>23046.11847</v>
      </c>
    </row>
    <row r="14">
      <c r="A14" s="337" t="s">
        <v>292</v>
      </c>
      <c r="B14" s="58"/>
      <c r="C14" s="146"/>
      <c r="D14" s="382">
        <f>B17+B18</f>
        <v>10796</v>
      </c>
      <c r="E14" s="146"/>
      <c r="F14" s="321"/>
      <c r="G14" s="340">
        <f>'Общие расходы г. Зеленодольск'!F12</f>
        <v>0.9242115565</v>
      </c>
      <c r="H14" s="146"/>
      <c r="I14" s="357">
        <f t="shared" si="4"/>
        <v>9977.787964</v>
      </c>
    </row>
    <row r="15">
      <c r="A15" s="341"/>
      <c r="B15" s="342"/>
      <c r="C15" s="342"/>
      <c r="D15" s="342"/>
      <c r="E15" s="342"/>
      <c r="F15" s="344"/>
      <c r="G15" s="344"/>
      <c r="H15" s="342"/>
      <c r="I15" s="363">
        <f>SUM(I2:I14)</f>
        <v>373860.0784</v>
      </c>
    </row>
    <row r="17">
      <c r="A17" s="68" t="s">
        <v>205</v>
      </c>
      <c r="B17" s="260">
        <f>'Исходные данные'!B46</f>
        <v>10796</v>
      </c>
    </row>
    <row r="18">
      <c r="A18" s="68" t="s">
        <v>206</v>
      </c>
      <c r="B18" s="260">
        <f>'Исходные данные'!C46</f>
        <v>0</v>
      </c>
    </row>
    <row r="19">
      <c r="A19" s="68" t="s">
        <v>207</v>
      </c>
      <c r="B19" s="260">
        <f>'Исходные данные'!D46</f>
        <v>597</v>
      </c>
      <c r="I19" s="383">
        <f>I15/B19</f>
        <v>626.2312872</v>
      </c>
      <c r="J19" s="70">
        <v>530.0</v>
      </c>
    </row>
    <row r="21">
      <c r="A21" s="266" t="s">
        <v>296</v>
      </c>
      <c r="B21" s="263"/>
      <c r="C21" s="263"/>
      <c r="D21" s="185"/>
    </row>
    <row r="22">
      <c r="A22" s="268" t="s">
        <v>209</v>
      </c>
      <c r="B22" s="269" t="s">
        <v>210</v>
      </c>
      <c r="C22" s="93" t="s">
        <v>5</v>
      </c>
      <c r="D22" s="269" t="s">
        <v>211</v>
      </c>
    </row>
    <row r="23">
      <c r="A23" s="300" t="s">
        <v>297</v>
      </c>
      <c r="B23" s="301">
        <v>276000.0</v>
      </c>
      <c r="C23" s="301">
        <v>12.0</v>
      </c>
      <c r="D23" s="301">
        <f t="shared" ref="D23:D24" si="5">B23/C23</f>
        <v>23000</v>
      </c>
    </row>
    <row r="24">
      <c r="A24" s="68" t="s">
        <v>213</v>
      </c>
      <c r="B24" s="301">
        <v>29000.0</v>
      </c>
      <c r="C24" s="301">
        <v>12.0</v>
      </c>
      <c r="D24" s="301">
        <f t="shared" si="5"/>
        <v>2416.666667</v>
      </c>
    </row>
    <row r="25">
      <c r="A25" s="305"/>
      <c r="B25" s="303"/>
      <c r="C25" s="303"/>
      <c r="D25" s="301"/>
    </row>
    <row r="26">
      <c r="A26" s="68"/>
      <c r="B26" s="303"/>
      <c r="C26" s="303"/>
      <c r="D26" s="177"/>
    </row>
    <row r="27">
      <c r="A27" s="304"/>
      <c r="B27" s="303"/>
      <c r="C27" s="303"/>
      <c r="D27" s="303"/>
    </row>
    <row r="28">
      <c r="A28" s="34"/>
      <c r="B28" s="72"/>
      <c r="C28" s="72"/>
      <c r="D28" s="72"/>
    </row>
    <row r="29">
      <c r="A29" s="54" t="s">
        <v>62</v>
      </c>
      <c r="B29" s="72"/>
      <c r="C29" s="72"/>
      <c r="D29" s="72">
        <f>SUM(D23:D28)</f>
        <v>25416.66667</v>
      </c>
    </row>
  </sheetData>
  <mergeCells count="1">
    <mergeCell ref="A21:D2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88"/>
    <col customWidth="1" min="7" max="7" width="7.25"/>
    <col customWidth="1" min="8" max="8" width="14.0"/>
  </cols>
  <sheetData>
    <row r="1">
      <c r="A1" s="353" t="s">
        <v>298</v>
      </c>
      <c r="B1" s="253" t="s">
        <v>195</v>
      </c>
      <c r="C1" s="253" t="s">
        <v>196</v>
      </c>
      <c r="D1" s="253" t="s">
        <v>197</v>
      </c>
      <c r="E1" s="374" t="s">
        <v>4</v>
      </c>
      <c r="F1" s="45" t="s">
        <v>5</v>
      </c>
      <c r="G1" s="355" t="s">
        <v>9</v>
      </c>
      <c r="H1" s="45" t="s">
        <v>6</v>
      </c>
      <c r="I1" s="254" t="s">
        <v>198</v>
      </c>
    </row>
    <row r="2">
      <c r="A2" s="337" t="s">
        <v>293</v>
      </c>
      <c r="B2" s="375">
        <f>'Исходные данные'!D53</f>
        <v>635</v>
      </c>
      <c r="C2" s="369">
        <f>'Исходные данные'!D48</f>
        <v>3</v>
      </c>
      <c r="D2" s="58"/>
      <c r="E2" s="51">
        <v>902051.0</v>
      </c>
      <c r="F2" s="356">
        <v>12.0</v>
      </c>
      <c r="G2" s="321"/>
      <c r="H2" s="58">
        <f t="shared" ref="H2:H5" si="1">E2/F2</f>
        <v>75170.91667</v>
      </c>
      <c r="I2" s="357">
        <f>H2/B2*C2</f>
        <v>355.138189</v>
      </c>
    </row>
    <row r="3">
      <c r="A3" s="327" t="s">
        <v>202</v>
      </c>
      <c r="B3" s="328"/>
      <c r="C3" s="328"/>
      <c r="D3" s="328"/>
      <c r="E3" s="329">
        <f>21200+200</f>
        <v>21400</v>
      </c>
      <c r="F3" s="360">
        <v>12.0</v>
      </c>
      <c r="G3" s="377"/>
      <c r="H3" s="328">
        <f t="shared" si="1"/>
        <v>1783.333333</v>
      </c>
      <c r="I3" s="357">
        <f t="shared" ref="I3:I5" si="2">H3</f>
        <v>1783.333333</v>
      </c>
    </row>
    <row r="4">
      <c r="A4" s="87" t="s">
        <v>148</v>
      </c>
      <c r="B4" s="328"/>
      <c r="C4" s="328"/>
      <c r="D4" s="328"/>
      <c r="E4" s="329">
        <v>0.0</v>
      </c>
      <c r="F4" s="360">
        <v>12.0</v>
      </c>
      <c r="G4" s="377"/>
      <c r="H4" s="328">
        <f t="shared" si="1"/>
        <v>0</v>
      </c>
      <c r="I4" s="357">
        <f t="shared" si="2"/>
        <v>0</v>
      </c>
    </row>
    <row r="5">
      <c r="A5" s="327" t="s">
        <v>259</v>
      </c>
      <c r="B5" s="328"/>
      <c r="C5" s="328"/>
      <c r="D5" s="328"/>
      <c r="E5" s="329"/>
      <c r="F5" s="360">
        <v>12.0</v>
      </c>
      <c r="G5" s="377"/>
      <c r="H5" s="328">
        <f t="shared" si="1"/>
        <v>0</v>
      </c>
      <c r="I5" s="357">
        <f t="shared" si="2"/>
        <v>0</v>
      </c>
    </row>
    <row r="6">
      <c r="A6" s="337" t="s">
        <v>152</v>
      </c>
      <c r="B6" s="332"/>
      <c r="C6" s="146"/>
      <c r="D6" s="384">
        <f>B11+B12</f>
        <v>492</v>
      </c>
      <c r="E6" s="146"/>
      <c r="F6" s="321"/>
      <c r="G6" s="340">
        <f>'Общие расходы ГЭ'!G16</f>
        <v>9.195626292</v>
      </c>
      <c r="H6" s="146"/>
      <c r="I6" s="357">
        <f t="shared" ref="I6:I8" si="3">D6*G6</f>
        <v>4524.248136</v>
      </c>
    </row>
    <row r="7">
      <c r="A7" s="337" t="s">
        <v>290</v>
      </c>
      <c r="B7" s="58"/>
      <c r="C7" s="146"/>
      <c r="D7" s="384">
        <f>B11+B12</f>
        <v>492</v>
      </c>
      <c r="E7" s="146"/>
      <c r="F7" s="321"/>
      <c r="G7" s="340">
        <f>'Общие расходы г. Зеленодольск'!G4</f>
        <v>2.134690484</v>
      </c>
      <c r="H7" s="146"/>
      <c r="I7" s="357">
        <f t="shared" si="3"/>
        <v>1050.267718</v>
      </c>
    </row>
    <row r="8">
      <c r="A8" s="337" t="s">
        <v>292</v>
      </c>
      <c r="B8" s="58"/>
      <c r="C8" s="146"/>
      <c r="D8" s="384">
        <f>B11+B12</f>
        <v>492</v>
      </c>
      <c r="E8" s="146"/>
      <c r="F8" s="321"/>
      <c r="G8" s="340">
        <f>'Общие расходы г. Зеленодольск'!F12</f>
        <v>0.9242115565</v>
      </c>
      <c r="H8" s="146"/>
      <c r="I8" s="357">
        <f t="shared" si="3"/>
        <v>454.7120858</v>
      </c>
    </row>
    <row r="9">
      <c r="A9" s="385"/>
      <c r="B9" s="342"/>
      <c r="C9" s="342"/>
      <c r="D9" s="342"/>
      <c r="E9" s="342"/>
      <c r="F9" s="386"/>
      <c r="G9" s="386"/>
      <c r="H9" s="342"/>
      <c r="I9" s="363">
        <f>SUM(I2:I8)</f>
        <v>8167.699462</v>
      </c>
    </row>
    <row r="10">
      <c r="A10" s="46"/>
      <c r="B10" s="65"/>
      <c r="C10" s="65"/>
      <c r="D10" s="65"/>
      <c r="E10" s="65"/>
      <c r="F10" s="46"/>
      <c r="G10" s="46"/>
      <c r="H10" s="65"/>
      <c r="I10" s="65"/>
    </row>
    <row r="11">
      <c r="A11" s="68" t="s">
        <v>205</v>
      </c>
      <c r="B11" s="260">
        <f>'Исходные данные'!B48</f>
        <v>246</v>
      </c>
      <c r="E11" s="65"/>
      <c r="F11" s="46"/>
      <c r="G11" s="46"/>
      <c r="H11" s="65"/>
      <c r="I11" s="65"/>
    </row>
    <row r="12">
      <c r="A12" s="68" t="s">
        <v>206</v>
      </c>
      <c r="B12" s="260">
        <f>'Исходные данные'!C48</f>
        <v>246</v>
      </c>
      <c r="E12" s="65"/>
      <c r="F12" s="46"/>
      <c r="G12" s="46"/>
      <c r="H12" s="65"/>
      <c r="I12" s="65"/>
    </row>
    <row r="13">
      <c r="A13" s="68" t="s">
        <v>207</v>
      </c>
      <c r="B13" s="260">
        <f>'Исходные данные'!D48</f>
        <v>3</v>
      </c>
      <c r="E13" s="65"/>
      <c r="F13" s="46"/>
      <c r="G13" s="46"/>
      <c r="H13" s="65"/>
      <c r="I13" s="65"/>
    </row>
    <row r="14">
      <c r="E14" s="65"/>
      <c r="F14" s="46"/>
      <c r="G14" s="46"/>
      <c r="H14" s="65"/>
      <c r="I14" s="65"/>
    </row>
    <row r="15">
      <c r="A15" s="266" t="s">
        <v>208</v>
      </c>
      <c r="B15" s="263"/>
      <c r="C15" s="263"/>
      <c r="D15" s="185"/>
    </row>
    <row r="16">
      <c r="A16" s="268" t="s">
        <v>209</v>
      </c>
      <c r="B16" s="269" t="s">
        <v>210</v>
      </c>
      <c r="C16" s="93" t="s">
        <v>5</v>
      </c>
      <c r="D16" s="269" t="s">
        <v>211</v>
      </c>
    </row>
    <row r="17">
      <c r="A17" s="300"/>
      <c r="B17" s="303"/>
      <c r="C17" s="303"/>
      <c r="D17" s="301"/>
    </row>
    <row r="18">
      <c r="A18" s="68"/>
      <c r="B18" s="303"/>
      <c r="C18" s="303"/>
      <c r="D18" s="301"/>
    </row>
    <row r="19">
      <c r="A19" s="305"/>
      <c r="B19" s="303"/>
      <c r="C19" s="303"/>
      <c r="D19" s="301"/>
    </row>
    <row r="20">
      <c r="A20" s="68"/>
      <c r="B20" s="303"/>
      <c r="C20" s="303"/>
      <c r="D20" s="177"/>
    </row>
    <row r="21">
      <c r="A21" s="304"/>
      <c r="B21" s="303"/>
      <c r="C21" s="303"/>
      <c r="D21" s="303"/>
    </row>
    <row r="22">
      <c r="A22" s="34"/>
      <c r="B22" s="72"/>
      <c r="C22" s="72"/>
      <c r="D22" s="72"/>
    </row>
    <row r="23">
      <c r="A23" s="34"/>
      <c r="B23" s="72"/>
      <c r="C23" s="72"/>
      <c r="D23" s="72"/>
    </row>
  </sheetData>
  <mergeCells count="1">
    <mergeCell ref="A15:D15"/>
  </mergeCell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0"/>
    <col customWidth="1" min="2" max="2" width="16.63"/>
    <col customWidth="1" min="3" max="3" width="11.5"/>
    <col customWidth="1" min="4" max="4" width="14.0"/>
    <col customWidth="1" min="7" max="7" width="9.0"/>
    <col customWidth="1" min="8" max="8" width="15.88"/>
  </cols>
  <sheetData>
    <row r="1">
      <c r="A1" s="387" t="s">
        <v>299</v>
      </c>
      <c r="B1" s="253" t="s">
        <v>195</v>
      </c>
      <c r="C1" s="253" t="s">
        <v>196</v>
      </c>
      <c r="D1" s="253" t="s">
        <v>197</v>
      </c>
      <c r="E1" s="374" t="s">
        <v>4</v>
      </c>
      <c r="F1" s="45" t="s">
        <v>5</v>
      </c>
      <c r="G1" s="355" t="s">
        <v>9</v>
      </c>
      <c r="H1" s="45" t="s">
        <v>6</v>
      </c>
      <c r="I1" s="254" t="s">
        <v>198</v>
      </c>
    </row>
    <row r="2">
      <c r="A2" s="337" t="s">
        <v>293</v>
      </c>
      <c r="B2" s="51">
        <f>'Исходные данные'!D53</f>
        <v>635</v>
      </c>
      <c r="C2" s="58">
        <f>'Исходные данные'!D48</f>
        <v>3</v>
      </c>
      <c r="D2" s="58"/>
      <c r="E2" s="51">
        <v>902051.0</v>
      </c>
      <c r="F2" s="356">
        <v>12.0</v>
      </c>
      <c r="G2" s="321"/>
      <c r="H2" s="58">
        <f>E2/F2</f>
        <v>75170.91667</v>
      </c>
      <c r="I2" s="357">
        <f>H2/B2*C2</f>
        <v>355.138189</v>
      </c>
    </row>
    <row r="3">
      <c r="A3" s="337" t="s">
        <v>152</v>
      </c>
      <c r="B3" s="58"/>
      <c r="C3" s="146"/>
      <c r="D3" s="384">
        <f>B8+B9</f>
        <v>114</v>
      </c>
      <c r="E3" s="146"/>
      <c r="F3" s="321"/>
      <c r="G3" s="340">
        <f>'Общие расходы ГЭ'!G16</f>
        <v>9.195626292</v>
      </c>
      <c r="H3" s="146"/>
      <c r="I3" s="357">
        <f t="shared" ref="I3:I5" si="1">D3*G3</f>
        <v>1048.301397</v>
      </c>
    </row>
    <row r="4">
      <c r="A4" s="337" t="s">
        <v>290</v>
      </c>
      <c r="B4" s="332"/>
      <c r="C4" s="146"/>
      <c r="D4" s="384">
        <f>B8+B9</f>
        <v>114</v>
      </c>
      <c r="E4" s="146"/>
      <c r="F4" s="321"/>
      <c r="G4" s="340">
        <f>'Общие расходы г. Зеленодольск'!G4</f>
        <v>2.134690484</v>
      </c>
      <c r="H4" s="146"/>
      <c r="I4" s="357">
        <f t="shared" si="1"/>
        <v>243.3547152</v>
      </c>
    </row>
    <row r="5">
      <c r="A5" s="337" t="s">
        <v>292</v>
      </c>
      <c r="B5" s="332"/>
      <c r="C5" s="146"/>
      <c r="D5" s="384">
        <f>B8+B9</f>
        <v>114</v>
      </c>
      <c r="E5" s="146"/>
      <c r="F5" s="321"/>
      <c r="G5" s="340">
        <f>'Общие расходы г. Зеленодольск'!F12</f>
        <v>0.9242115565</v>
      </c>
      <c r="H5" s="146"/>
      <c r="I5" s="357">
        <f t="shared" si="1"/>
        <v>105.3601174</v>
      </c>
    </row>
    <row r="6">
      <c r="A6" s="388"/>
      <c r="B6" s="389"/>
      <c r="C6" s="389"/>
      <c r="D6" s="389"/>
      <c r="E6" s="389"/>
      <c r="F6" s="390"/>
      <c r="G6" s="390"/>
      <c r="H6" s="389"/>
      <c r="I6" s="326">
        <f>SUM(I2:I5)</f>
        <v>1752.154419</v>
      </c>
    </row>
    <row r="7">
      <c r="A7" s="306"/>
      <c r="B7" s="178"/>
    </row>
    <row r="8">
      <c r="A8" s="68" t="s">
        <v>205</v>
      </c>
      <c r="B8" s="260">
        <f>'Исходные данные'!B47</f>
        <v>114</v>
      </c>
    </row>
    <row r="9">
      <c r="A9" s="68" t="s">
        <v>206</v>
      </c>
      <c r="B9" s="260">
        <f>'Исходные данные'!C47</f>
        <v>0</v>
      </c>
    </row>
    <row r="10">
      <c r="A10" s="68" t="s">
        <v>207</v>
      </c>
      <c r="B10" s="260">
        <f>'Исходные данные'!D47</f>
        <v>3</v>
      </c>
    </row>
    <row r="12">
      <c r="A12" s="266" t="s">
        <v>208</v>
      </c>
      <c r="B12" s="263"/>
      <c r="C12" s="263"/>
      <c r="D12" s="185"/>
    </row>
    <row r="13">
      <c r="A13" s="268" t="s">
        <v>209</v>
      </c>
      <c r="B13" s="269" t="s">
        <v>210</v>
      </c>
      <c r="C13" s="93" t="s">
        <v>5</v>
      </c>
      <c r="D13" s="269" t="s">
        <v>211</v>
      </c>
    </row>
    <row r="14">
      <c r="A14" s="300"/>
      <c r="B14" s="303"/>
      <c r="C14" s="303"/>
      <c r="D14" s="301"/>
    </row>
    <row r="15">
      <c r="A15" s="68"/>
      <c r="B15" s="303"/>
      <c r="C15" s="303"/>
      <c r="D15" s="301"/>
    </row>
    <row r="16">
      <c r="A16" s="305"/>
      <c r="B16" s="303"/>
      <c r="C16" s="303"/>
      <c r="D16" s="301"/>
    </row>
    <row r="17">
      <c r="A17" s="68"/>
      <c r="B17" s="303"/>
      <c r="C17" s="303"/>
      <c r="D17" s="177"/>
    </row>
    <row r="18">
      <c r="A18" s="304"/>
      <c r="B18" s="303"/>
      <c r="C18" s="303"/>
      <c r="D18" s="303"/>
    </row>
    <row r="19">
      <c r="A19" s="34"/>
      <c r="B19" s="72"/>
      <c r="C19" s="72"/>
      <c r="D19" s="72"/>
    </row>
    <row r="20">
      <c r="A20" s="34"/>
      <c r="B20" s="72"/>
      <c r="C20" s="72"/>
      <c r="D20" s="72"/>
    </row>
  </sheetData>
  <mergeCells count="1">
    <mergeCell ref="A12:D12"/>
  </mergeCell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13.63"/>
    <col customWidth="1" min="7" max="7" width="7.88"/>
    <col customWidth="1" min="8" max="8" width="15.88"/>
  </cols>
  <sheetData>
    <row r="1">
      <c r="A1" s="353" t="s">
        <v>72</v>
      </c>
      <c r="B1" s="253" t="s">
        <v>195</v>
      </c>
      <c r="C1" s="253" t="s">
        <v>196</v>
      </c>
      <c r="D1" s="253" t="s">
        <v>197</v>
      </c>
      <c r="E1" s="374" t="s">
        <v>4</v>
      </c>
      <c r="F1" s="45" t="s">
        <v>5</v>
      </c>
      <c r="G1" s="355" t="s">
        <v>9</v>
      </c>
      <c r="H1" s="45" t="s">
        <v>6</v>
      </c>
      <c r="I1" s="254" t="s">
        <v>198</v>
      </c>
    </row>
    <row r="2">
      <c r="A2" s="337" t="s">
        <v>293</v>
      </c>
      <c r="B2" s="51">
        <f>'Исходные данные'!D53</f>
        <v>635</v>
      </c>
      <c r="C2" s="58">
        <f>'Исходные данные'!D49</f>
        <v>4</v>
      </c>
      <c r="D2" s="58"/>
      <c r="E2" s="51">
        <v>902051.0</v>
      </c>
      <c r="F2" s="356">
        <v>12.0</v>
      </c>
      <c r="G2" s="321"/>
      <c r="H2" s="58">
        <f t="shared" ref="H2:H3" si="1">E2/F2</f>
        <v>75170.91667</v>
      </c>
      <c r="I2" s="357">
        <f>H2/B2*C2</f>
        <v>473.5175853</v>
      </c>
    </row>
    <row r="3">
      <c r="A3" s="322" t="s">
        <v>151</v>
      </c>
      <c r="B3" s="51"/>
      <c r="C3" s="146"/>
      <c r="D3" s="146"/>
      <c r="E3" s="323">
        <v>6024.0</v>
      </c>
      <c r="F3" s="356">
        <v>12.0</v>
      </c>
      <c r="G3" s="356"/>
      <c r="H3" s="146">
        <f t="shared" si="1"/>
        <v>502</v>
      </c>
      <c r="I3" s="357">
        <f>H3</f>
        <v>502</v>
      </c>
    </row>
    <row r="4">
      <c r="A4" s="322" t="s">
        <v>241</v>
      </c>
      <c r="B4" s="51"/>
      <c r="C4" s="146"/>
      <c r="D4" s="146"/>
      <c r="E4" s="146"/>
      <c r="F4" s="321"/>
      <c r="G4" s="356"/>
      <c r="H4" s="146"/>
      <c r="I4" s="357">
        <f>D23</f>
        <v>0</v>
      </c>
    </row>
    <row r="5">
      <c r="A5" s="87" t="s">
        <v>148</v>
      </c>
      <c r="B5" s="51"/>
      <c r="C5" s="146"/>
      <c r="D5" s="384"/>
      <c r="E5" s="323">
        <v>26.0</v>
      </c>
      <c r="F5" s="356">
        <v>12.0</v>
      </c>
      <c r="G5" s="356"/>
      <c r="H5" s="146">
        <f>E5/F5</f>
        <v>2.166666667</v>
      </c>
      <c r="I5" s="357">
        <f>H5</f>
        <v>2.166666667</v>
      </c>
    </row>
    <row r="6">
      <c r="A6" s="337" t="s">
        <v>152</v>
      </c>
      <c r="B6" s="51"/>
      <c r="C6" s="146"/>
      <c r="D6" s="384">
        <f>B11+B12</f>
        <v>288</v>
      </c>
      <c r="E6" s="146"/>
      <c r="F6" s="321"/>
      <c r="G6" s="340">
        <f>'Общие расходы ГЭ'!G16</f>
        <v>9.195626292</v>
      </c>
      <c r="H6" s="146"/>
      <c r="I6" s="357">
        <f t="shared" ref="I6:I8" si="2">D6*G6</f>
        <v>2648.340372</v>
      </c>
    </row>
    <row r="7">
      <c r="A7" s="337" t="s">
        <v>290</v>
      </c>
      <c r="B7" s="333"/>
      <c r="C7" s="146"/>
      <c r="D7" s="384">
        <f>B11+B12</f>
        <v>288</v>
      </c>
      <c r="E7" s="146"/>
      <c r="F7" s="321"/>
      <c r="G7" s="340">
        <f>'Общие расходы г. Зеленодольск'!G4</f>
        <v>2.134690484</v>
      </c>
      <c r="H7" s="146"/>
      <c r="I7" s="357">
        <f t="shared" si="2"/>
        <v>614.7908594</v>
      </c>
    </row>
    <row r="8">
      <c r="A8" s="337" t="s">
        <v>292</v>
      </c>
      <c r="B8" s="333"/>
      <c r="C8" s="146"/>
      <c r="D8" s="384">
        <f>B11+B12</f>
        <v>288</v>
      </c>
      <c r="E8" s="146"/>
      <c r="F8" s="321"/>
      <c r="G8" s="340">
        <f>'Общие расходы г. Зеленодольск'!F12</f>
        <v>0.9242115565</v>
      </c>
      <c r="H8" s="146"/>
      <c r="I8" s="357">
        <f t="shared" si="2"/>
        <v>266.1729283</v>
      </c>
    </row>
    <row r="9">
      <c r="A9" s="385"/>
      <c r="B9" s="342"/>
      <c r="C9" s="342"/>
      <c r="D9" s="342"/>
      <c r="E9" s="342"/>
      <c r="F9" s="386"/>
      <c r="G9" s="386"/>
      <c r="H9" s="342"/>
      <c r="I9" s="363">
        <f>SUM(I2:I8)</f>
        <v>4506.988412</v>
      </c>
    </row>
    <row r="11">
      <c r="A11" s="68" t="s">
        <v>205</v>
      </c>
      <c r="B11" s="260">
        <f>'Исходные данные'!B49</f>
        <v>288</v>
      </c>
    </row>
    <row r="12">
      <c r="A12" s="68" t="s">
        <v>206</v>
      </c>
      <c r="B12" s="260">
        <f>'Исходные данные'!C49</f>
        <v>0</v>
      </c>
    </row>
    <row r="13">
      <c r="A13" s="68" t="s">
        <v>207</v>
      </c>
      <c r="B13" s="260">
        <f>'Исходные данные'!D49</f>
        <v>4</v>
      </c>
    </row>
    <row r="15">
      <c r="A15" s="266" t="s">
        <v>208</v>
      </c>
      <c r="B15" s="263"/>
      <c r="C15" s="263"/>
      <c r="D15" s="185"/>
    </row>
    <row r="16">
      <c r="A16" s="268" t="s">
        <v>209</v>
      </c>
      <c r="B16" s="269" t="s">
        <v>210</v>
      </c>
      <c r="C16" s="93" t="s">
        <v>5</v>
      </c>
      <c r="D16" s="269" t="s">
        <v>211</v>
      </c>
    </row>
    <row r="17">
      <c r="A17" s="300"/>
      <c r="B17" s="345"/>
      <c r="C17" s="345"/>
      <c r="D17" s="345"/>
    </row>
    <row r="18">
      <c r="A18" s="68"/>
      <c r="B18" s="301"/>
      <c r="C18" s="301"/>
      <c r="D18" s="301"/>
    </row>
    <row r="19">
      <c r="A19" s="305"/>
      <c r="B19" s="303"/>
      <c r="C19" s="303"/>
      <c r="D19" s="301"/>
    </row>
    <row r="20">
      <c r="A20" s="68"/>
      <c r="B20" s="303"/>
      <c r="C20" s="303"/>
      <c r="D20" s="177"/>
    </row>
    <row r="21">
      <c r="A21" s="304"/>
      <c r="B21" s="303"/>
      <c r="C21" s="303"/>
      <c r="D21" s="303"/>
    </row>
    <row r="22">
      <c r="A22" s="34"/>
      <c r="B22" s="72"/>
      <c r="C22" s="72"/>
      <c r="D22" s="72"/>
    </row>
    <row r="23">
      <c r="A23" s="391"/>
      <c r="B23" s="365"/>
      <c r="C23" s="365"/>
      <c r="D23" s="365">
        <f>SUM(D17:D22)</f>
        <v>0</v>
      </c>
    </row>
  </sheetData>
  <mergeCells count="1">
    <mergeCell ref="A15:D15"/>
  </mergeCell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38"/>
    <col customWidth="1" min="7" max="7" width="8.13"/>
    <col customWidth="1" min="8" max="8" width="14.25"/>
    <col customWidth="1" min="9" max="9" width="15.0"/>
  </cols>
  <sheetData>
    <row r="1">
      <c r="A1" s="353" t="s">
        <v>300</v>
      </c>
      <c r="B1" s="253" t="s">
        <v>195</v>
      </c>
      <c r="C1" s="253" t="s">
        <v>196</v>
      </c>
      <c r="D1" s="253" t="s">
        <v>197</v>
      </c>
      <c r="E1" s="374" t="s">
        <v>4</v>
      </c>
      <c r="F1" s="45" t="s">
        <v>5</v>
      </c>
      <c r="G1" s="355" t="s">
        <v>9</v>
      </c>
      <c r="H1" s="45" t="s">
        <v>6</v>
      </c>
      <c r="I1" s="254" t="s">
        <v>198</v>
      </c>
    </row>
    <row r="2">
      <c r="A2" s="337" t="s">
        <v>293</v>
      </c>
      <c r="B2" s="51">
        <f>'Исходные данные'!D53</f>
        <v>635</v>
      </c>
      <c r="C2" s="51">
        <f>'Исходные данные'!D52</f>
        <v>9</v>
      </c>
      <c r="D2" s="58"/>
      <c r="E2" s="51">
        <v>902051.0</v>
      </c>
      <c r="F2" s="356">
        <v>12.0</v>
      </c>
      <c r="G2" s="321"/>
      <c r="H2" s="58">
        <f>E2/F2</f>
        <v>75170.91667</v>
      </c>
      <c r="I2" s="357">
        <f>H2/B2*C2</f>
        <v>1065.414567</v>
      </c>
    </row>
    <row r="3">
      <c r="A3" s="322" t="s">
        <v>301</v>
      </c>
      <c r="B3" s="58"/>
      <c r="C3" s="146"/>
      <c r="D3" s="384"/>
      <c r="E3" s="323">
        <v>0.0</v>
      </c>
      <c r="F3" s="356"/>
      <c r="G3" s="356"/>
      <c r="H3" s="146"/>
      <c r="I3" s="357">
        <f>D22</f>
        <v>0</v>
      </c>
    </row>
    <row r="4">
      <c r="A4" s="87" t="s">
        <v>149</v>
      </c>
      <c r="B4" s="58"/>
      <c r="C4" s="146"/>
      <c r="D4" s="392"/>
      <c r="E4" s="323">
        <v>0.0</v>
      </c>
      <c r="F4" s="356">
        <v>12.0</v>
      </c>
      <c r="G4" s="356"/>
      <c r="H4" s="146">
        <f>E4/F4</f>
        <v>0</v>
      </c>
      <c r="I4" s="357">
        <f>H4</f>
        <v>0</v>
      </c>
    </row>
    <row r="5">
      <c r="A5" s="337" t="s">
        <v>152</v>
      </c>
      <c r="B5" s="58"/>
      <c r="C5" s="146"/>
      <c r="D5" s="384">
        <f>B10+B11</f>
        <v>283</v>
      </c>
      <c r="E5" s="146"/>
      <c r="F5" s="356"/>
      <c r="G5" s="340">
        <f>'Общие расходы ГЭ'!G16</f>
        <v>9.195626292</v>
      </c>
      <c r="H5" s="146"/>
      <c r="I5" s="357">
        <f t="shared" ref="I5:I7" si="1">D5*G5</f>
        <v>2602.362241</v>
      </c>
    </row>
    <row r="6">
      <c r="A6" s="337" t="s">
        <v>290</v>
      </c>
      <c r="B6" s="58"/>
      <c r="C6" s="146"/>
      <c r="D6" s="384">
        <f>B10+B11</f>
        <v>283</v>
      </c>
      <c r="E6" s="146"/>
      <c r="F6" s="356"/>
      <c r="G6" s="340">
        <f>'Общие расходы г. Зеленодольск'!G4</f>
        <v>2.134690484</v>
      </c>
      <c r="H6" s="146"/>
      <c r="I6" s="357">
        <f t="shared" si="1"/>
        <v>604.117407</v>
      </c>
    </row>
    <row r="7">
      <c r="A7" s="337" t="s">
        <v>292</v>
      </c>
      <c r="B7" s="58"/>
      <c r="C7" s="146"/>
      <c r="D7" s="384">
        <f>B10+B11</f>
        <v>283</v>
      </c>
      <c r="E7" s="146"/>
      <c r="F7" s="321"/>
      <c r="G7" s="340">
        <f>'Общие расходы г. Зеленодольск'!F12</f>
        <v>0.9242115565</v>
      </c>
      <c r="H7" s="146"/>
      <c r="I7" s="357">
        <f t="shared" si="1"/>
        <v>261.5518705</v>
      </c>
    </row>
    <row r="8">
      <c r="A8" s="385"/>
      <c r="B8" s="342"/>
      <c r="C8" s="342"/>
      <c r="D8" s="342"/>
      <c r="E8" s="342"/>
      <c r="F8" s="386"/>
      <c r="G8" s="386"/>
      <c r="H8" s="342"/>
      <c r="I8" s="363">
        <f>SUM(I2:I7)</f>
        <v>4533.446085</v>
      </c>
    </row>
    <row r="9">
      <c r="A9" s="46"/>
      <c r="B9" s="65"/>
      <c r="C9" s="65"/>
      <c r="D9" s="65"/>
      <c r="E9" s="65"/>
      <c r="F9" s="46"/>
      <c r="G9" s="46"/>
      <c r="H9" s="65"/>
      <c r="I9" s="65"/>
    </row>
    <row r="10">
      <c r="A10" s="68" t="s">
        <v>205</v>
      </c>
      <c r="B10" s="260">
        <f>'Исходные данные'!B52</f>
        <v>283</v>
      </c>
    </row>
    <row r="11">
      <c r="A11" s="68" t="s">
        <v>206</v>
      </c>
      <c r="B11" s="260">
        <f>'Исходные данные'!C52</f>
        <v>0</v>
      </c>
    </row>
    <row r="12">
      <c r="A12" s="68" t="s">
        <v>207</v>
      </c>
      <c r="B12" s="260">
        <f>'Исходные данные'!D52</f>
        <v>9</v>
      </c>
    </row>
    <row r="14">
      <c r="A14" s="266" t="s">
        <v>208</v>
      </c>
      <c r="B14" s="263"/>
      <c r="C14" s="263"/>
      <c r="D14" s="185"/>
    </row>
    <row r="15">
      <c r="A15" s="268" t="s">
        <v>209</v>
      </c>
      <c r="B15" s="269" t="s">
        <v>210</v>
      </c>
      <c r="C15" s="93" t="s">
        <v>5</v>
      </c>
      <c r="D15" s="269" t="s">
        <v>211</v>
      </c>
    </row>
    <row r="16">
      <c r="A16" s="300" t="s">
        <v>302</v>
      </c>
      <c r="B16" s="301"/>
      <c r="C16" s="301">
        <v>12.0</v>
      </c>
      <c r="D16" s="301">
        <f>B16/C16</f>
        <v>0</v>
      </c>
    </row>
    <row r="17">
      <c r="A17" s="68"/>
      <c r="B17" s="303"/>
      <c r="C17" s="303"/>
      <c r="D17" s="301"/>
    </row>
    <row r="18">
      <c r="A18" s="305"/>
      <c r="B18" s="303"/>
      <c r="C18" s="303"/>
      <c r="D18" s="301"/>
    </row>
    <row r="19">
      <c r="A19" s="68"/>
      <c r="B19" s="303"/>
      <c r="C19" s="303"/>
      <c r="D19" s="177"/>
    </row>
    <row r="20">
      <c r="A20" s="304"/>
      <c r="B20" s="303"/>
      <c r="C20" s="303"/>
      <c r="D20" s="303"/>
    </row>
    <row r="21">
      <c r="A21" s="34"/>
      <c r="B21" s="72"/>
      <c r="C21" s="72"/>
      <c r="D21" s="72"/>
    </row>
    <row r="22">
      <c r="A22" s="34"/>
      <c r="B22" s="72"/>
      <c r="C22" s="72"/>
      <c r="D22" s="72">
        <f>SUM(D16:D21)</f>
        <v>0</v>
      </c>
    </row>
  </sheetData>
  <mergeCells count="1">
    <mergeCell ref="A14:D14"/>
  </mergeCells>
  <drawing r:id="rId2"/>
  <legacyDrawing r:id="rId3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88"/>
    <col customWidth="1" min="6" max="6" width="8.88"/>
    <col customWidth="1" min="7" max="7" width="15.75"/>
    <col customWidth="1" min="8" max="8" width="15.38"/>
  </cols>
  <sheetData>
    <row r="1">
      <c r="A1" s="353" t="s">
        <v>303</v>
      </c>
      <c r="B1" s="354" t="s">
        <v>304</v>
      </c>
      <c r="C1" s="253" t="s">
        <v>197</v>
      </c>
      <c r="D1" s="354" t="s">
        <v>4</v>
      </c>
      <c r="E1" s="355" t="s">
        <v>5</v>
      </c>
      <c r="F1" s="355" t="s">
        <v>9</v>
      </c>
      <c r="G1" s="355" t="s">
        <v>6</v>
      </c>
      <c r="H1" s="254" t="s">
        <v>198</v>
      </c>
      <c r="I1" s="69"/>
    </row>
    <row r="2">
      <c r="A2" s="327" t="s">
        <v>305</v>
      </c>
      <c r="B2" s="329">
        <f>'Исходные данные'!D56</f>
        <v>12</v>
      </c>
      <c r="C2" s="328">
        <f>B2</f>
        <v>12</v>
      </c>
      <c r="D2" s="329">
        <v>112500.0</v>
      </c>
      <c r="E2" s="331">
        <v>12.0</v>
      </c>
      <c r="F2" s="328"/>
      <c r="G2" s="328">
        <f t="shared" ref="G2:G9" si="1">D2/E2</f>
        <v>9375</v>
      </c>
      <c r="H2" s="393">
        <f>G2/B2*C2</f>
        <v>9375</v>
      </c>
      <c r="I2" s="69"/>
    </row>
    <row r="3">
      <c r="A3" s="327" t="s">
        <v>306</v>
      </c>
      <c r="B3" s="328"/>
      <c r="C3" s="328"/>
      <c r="D3" s="329">
        <v>2000.0</v>
      </c>
      <c r="E3" s="331">
        <v>12.0</v>
      </c>
      <c r="F3" s="328"/>
      <c r="G3" s="328">
        <f t="shared" si="1"/>
        <v>166.6666667</v>
      </c>
      <c r="H3" s="393">
        <f t="shared" ref="H3:H9" si="2">G3</f>
        <v>166.6666667</v>
      </c>
      <c r="I3" s="69"/>
    </row>
    <row r="4">
      <c r="A4" s="327" t="s">
        <v>202</v>
      </c>
      <c r="B4" s="328"/>
      <c r="C4" s="332"/>
      <c r="D4" s="329">
        <f>90246+4015</f>
        <v>94261</v>
      </c>
      <c r="E4" s="331">
        <v>12.0</v>
      </c>
      <c r="F4" s="332"/>
      <c r="G4" s="328">
        <f t="shared" si="1"/>
        <v>7855.083333</v>
      </c>
      <c r="H4" s="393">
        <f t="shared" si="2"/>
        <v>7855.083333</v>
      </c>
      <c r="I4" s="69"/>
    </row>
    <row r="5">
      <c r="A5" s="87" t="s">
        <v>150</v>
      </c>
      <c r="B5" s="328"/>
      <c r="C5" s="332"/>
      <c r="D5" s="329">
        <v>139522.0</v>
      </c>
      <c r="E5" s="331">
        <v>12.0</v>
      </c>
      <c r="F5" s="333"/>
      <c r="G5" s="328">
        <f t="shared" si="1"/>
        <v>11626.83333</v>
      </c>
      <c r="H5" s="393">
        <f t="shared" si="2"/>
        <v>11626.83333</v>
      </c>
      <c r="I5" s="69"/>
    </row>
    <row r="6">
      <c r="A6" s="87" t="s">
        <v>148</v>
      </c>
      <c r="B6" s="328"/>
      <c r="C6" s="332"/>
      <c r="D6" s="329">
        <f>11400+2250</f>
        <v>13650</v>
      </c>
      <c r="E6" s="331">
        <v>12.0</v>
      </c>
      <c r="F6" s="333"/>
      <c r="G6" s="328">
        <f t="shared" si="1"/>
        <v>1137.5</v>
      </c>
      <c r="H6" s="393">
        <f t="shared" si="2"/>
        <v>1137.5</v>
      </c>
      <c r="I6" s="69"/>
    </row>
    <row r="7">
      <c r="A7" s="334" t="s">
        <v>265</v>
      </c>
      <c r="B7" s="328"/>
      <c r="C7" s="332"/>
      <c r="D7" s="329">
        <f>2966.44+840</f>
        <v>3806.44</v>
      </c>
      <c r="E7" s="331">
        <v>12.0</v>
      </c>
      <c r="F7" s="333"/>
      <c r="G7" s="328">
        <f t="shared" si="1"/>
        <v>317.2033333</v>
      </c>
      <c r="H7" s="393">
        <f t="shared" si="2"/>
        <v>317.2033333</v>
      </c>
    </row>
    <row r="8">
      <c r="A8" s="394" t="s">
        <v>203</v>
      </c>
      <c r="B8" s="328"/>
      <c r="C8" s="332"/>
      <c r="D8" s="329">
        <v>6530.0</v>
      </c>
      <c r="E8" s="331">
        <v>12.0</v>
      </c>
      <c r="F8" s="333"/>
      <c r="G8" s="328">
        <f t="shared" si="1"/>
        <v>544.1666667</v>
      </c>
      <c r="H8" s="393">
        <f t="shared" si="2"/>
        <v>544.1666667</v>
      </c>
    </row>
    <row r="9">
      <c r="A9" s="394" t="s">
        <v>307</v>
      </c>
      <c r="B9" s="328"/>
      <c r="C9" s="332"/>
      <c r="D9" s="329">
        <v>624.0</v>
      </c>
      <c r="E9" s="331">
        <v>12.0</v>
      </c>
      <c r="F9" s="333"/>
      <c r="G9" s="328">
        <f t="shared" si="1"/>
        <v>52</v>
      </c>
      <c r="H9" s="393">
        <f t="shared" si="2"/>
        <v>52</v>
      </c>
    </row>
    <row r="10">
      <c r="A10" s="394" t="s">
        <v>155</v>
      </c>
      <c r="B10" s="328"/>
      <c r="C10" s="332"/>
      <c r="D10" s="329"/>
      <c r="E10" s="331"/>
      <c r="F10" s="333"/>
      <c r="G10" s="328"/>
      <c r="H10" s="393">
        <f>D29</f>
        <v>5400</v>
      </c>
    </row>
    <row r="11">
      <c r="A11" s="337" t="s">
        <v>267</v>
      </c>
      <c r="B11" s="146"/>
      <c r="C11" s="338">
        <f>B16+B17</f>
        <v>1482</v>
      </c>
      <c r="D11" s="146"/>
      <c r="E11" s="324"/>
      <c r="F11" s="51">
        <f>'Общие расходы г. Казань'!F4</f>
        <v>0</v>
      </c>
      <c r="G11" s="146"/>
      <c r="H11" s="357">
        <f t="shared" ref="H11:H13" si="3">C11*F11</f>
        <v>0</v>
      </c>
    </row>
    <row r="12">
      <c r="A12" s="337" t="s">
        <v>152</v>
      </c>
      <c r="B12" s="328"/>
      <c r="C12" s="338">
        <f>B16+B17</f>
        <v>1482</v>
      </c>
      <c r="D12" s="146"/>
      <c r="E12" s="324"/>
      <c r="F12" s="51">
        <f>'Общие расходы ГЭ'!G16</f>
        <v>9.195626292</v>
      </c>
      <c r="G12" s="146"/>
      <c r="H12" s="357">
        <f t="shared" si="3"/>
        <v>13627.91816</v>
      </c>
    </row>
    <row r="13">
      <c r="A13" s="322" t="s">
        <v>156</v>
      </c>
      <c r="B13" s="146"/>
      <c r="C13" s="384">
        <f>B16+B17</f>
        <v>1482</v>
      </c>
      <c r="D13" s="146"/>
      <c r="E13" s="324"/>
      <c r="F13" s="323">
        <f>'Общие расходы г. Зеленодольск'!F12</f>
        <v>0.9242115565</v>
      </c>
      <c r="G13" s="146"/>
      <c r="H13" s="357">
        <f t="shared" si="3"/>
        <v>1369.681527</v>
      </c>
    </row>
    <row r="14">
      <c r="A14" s="395"/>
      <c r="B14" s="395"/>
      <c r="C14" s="395"/>
      <c r="D14" s="395"/>
      <c r="E14" s="395"/>
      <c r="F14" s="395"/>
      <c r="G14" s="395"/>
      <c r="H14" s="326">
        <f>SUM(H2:H13)</f>
        <v>51472.05302</v>
      </c>
    </row>
    <row r="16">
      <c r="A16" s="68" t="s">
        <v>205</v>
      </c>
      <c r="B16" s="265" t="str">
        <f>'Исходные данные'!B56</f>
        <v/>
      </c>
    </row>
    <row r="17">
      <c r="A17" s="68" t="s">
        <v>206</v>
      </c>
      <c r="B17" s="265">
        <f>'Исходные данные'!C56</f>
        <v>1482</v>
      </c>
    </row>
    <row r="18">
      <c r="A18" s="68" t="s">
        <v>207</v>
      </c>
      <c r="B18" s="265">
        <f>'Исходные данные'!D56</f>
        <v>12</v>
      </c>
    </row>
    <row r="20">
      <c r="A20" s="266" t="s">
        <v>208</v>
      </c>
      <c r="B20" s="263"/>
      <c r="C20" s="263"/>
      <c r="D20" s="185"/>
    </row>
    <row r="21">
      <c r="A21" s="268" t="s">
        <v>209</v>
      </c>
      <c r="B21" s="269" t="s">
        <v>210</v>
      </c>
      <c r="C21" s="93" t="s">
        <v>5</v>
      </c>
      <c r="D21" s="269" t="s">
        <v>211</v>
      </c>
    </row>
    <row r="22">
      <c r="A22" s="300" t="s">
        <v>302</v>
      </c>
      <c r="B22" s="301">
        <f>5000+34500</f>
        <v>39500</v>
      </c>
      <c r="C22" s="301">
        <v>12.0</v>
      </c>
      <c r="D22" s="301">
        <f t="shared" ref="D22:D24" si="4">B22/C22</f>
        <v>3291.666667</v>
      </c>
    </row>
    <row r="23">
      <c r="A23" s="68" t="s">
        <v>308</v>
      </c>
      <c r="B23" s="301">
        <v>25300.0</v>
      </c>
      <c r="C23" s="301">
        <v>12.0</v>
      </c>
      <c r="D23" s="301">
        <f t="shared" si="4"/>
        <v>2108.333333</v>
      </c>
    </row>
    <row r="24">
      <c r="A24" s="68" t="s">
        <v>222</v>
      </c>
      <c r="B24" s="301"/>
      <c r="C24" s="301">
        <v>12.0</v>
      </c>
      <c r="D24" s="301">
        <f t="shared" si="4"/>
        <v>0</v>
      </c>
    </row>
    <row r="25">
      <c r="A25" s="305"/>
      <c r="B25" s="301"/>
      <c r="C25" s="303"/>
      <c r="D25" s="301"/>
    </row>
    <row r="26">
      <c r="A26" s="68"/>
      <c r="B26" s="303"/>
      <c r="C26" s="303"/>
      <c r="D26" s="177"/>
    </row>
    <row r="27">
      <c r="A27" s="304"/>
      <c r="B27" s="303"/>
      <c r="C27" s="303"/>
      <c r="D27" s="303"/>
    </row>
    <row r="28">
      <c r="A28" s="34"/>
      <c r="B28" s="72"/>
      <c r="C28" s="72"/>
      <c r="D28" s="72"/>
    </row>
    <row r="29">
      <c r="A29" s="34"/>
      <c r="B29" s="72"/>
      <c r="C29" s="72"/>
      <c r="D29" s="72">
        <f>SUM(D22:D28)</f>
        <v>5400</v>
      </c>
    </row>
  </sheetData>
  <mergeCells count="1">
    <mergeCell ref="A20:D20"/>
  </mergeCells>
  <drawing r:id="rId2"/>
  <legacyDrawing r:id="rId3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7" max="7" width="8.13"/>
    <col customWidth="1" min="8" max="8" width="15.5"/>
  </cols>
  <sheetData>
    <row r="1">
      <c r="A1" s="353" t="s">
        <v>309</v>
      </c>
      <c r="B1" s="253" t="s">
        <v>195</v>
      </c>
      <c r="C1" s="253" t="s">
        <v>196</v>
      </c>
      <c r="D1" s="253" t="s">
        <v>197</v>
      </c>
      <c r="E1" s="354" t="s">
        <v>4</v>
      </c>
      <c r="F1" s="355" t="s">
        <v>5</v>
      </c>
      <c r="G1" s="355" t="s">
        <v>9</v>
      </c>
      <c r="H1" s="355" t="s">
        <v>6</v>
      </c>
      <c r="I1" s="254" t="s">
        <v>198</v>
      </c>
    </row>
    <row r="2">
      <c r="A2" s="327" t="s">
        <v>310</v>
      </c>
      <c r="B2" s="376">
        <f>'Исходные данные'!D61</f>
        <v>96</v>
      </c>
      <c r="C2" s="396">
        <f>'Исходные данные'!D58</f>
        <v>75</v>
      </c>
      <c r="D2" s="333"/>
      <c r="E2" s="333">
        <v>130524.0</v>
      </c>
      <c r="F2" s="360">
        <v>12.0</v>
      </c>
      <c r="G2" s="377"/>
      <c r="H2" s="332">
        <f t="shared" ref="H2:H6" si="1">E2/F2</f>
        <v>10877</v>
      </c>
      <c r="I2" s="357">
        <f>H2/B2*C2</f>
        <v>8497.65625</v>
      </c>
    </row>
    <row r="3">
      <c r="A3" s="327" t="s">
        <v>202</v>
      </c>
      <c r="B3" s="328"/>
      <c r="C3" s="328"/>
      <c r="D3" s="332"/>
      <c r="E3" s="329">
        <f>6110+30</f>
        <v>6140</v>
      </c>
      <c r="F3" s="360">
        <v>12.0</v>
      </c>
      <c r="G3" s="332"/>
      <c r="H3" s="332">
        <f t="shared" si="1"/>
        <v>511.6666667</v>
      </c>
      <c r="I3" s="357">
        <f>H3</f>
        <v>511.6666667</v>
      </c>
    </row>
    <row r="4">
      <c r="A4" s="327" t="s">
        <v>226</v>
      </c>
      <c r="B4" s="328"/>
      <c r="C4" s="328"/>
      <c r="D4" s="332"/>
      <c r="E4" s="329"/>
      <c r="F4" s="360">
        <v>12.0</v>
      </c>
      <c r="G4" s="332"/>
      <c r="H4" s="332">
        <f t="shared" si="1"/>
        <v>0</v>
      </c>
      <c r="I4" s="357"/>
    </row>
    <row r="5">
      <c r="A5" s="327" t="s">
        <v>155</v>
      </c>
      <c r="B5" s="328"/>
      <c r="C5" s="328"/>
      <c r="D5" s="332"/>
      <c r="E5" s="329">
        <v>26676.0</v>
      </c>
      <c r="F5" s="360">
        <v>12.0</v>
      </c>
      <c r="G5" s="332"/>
      <c r="H5" s="332">
        <f t="shared" si="1"/>
        <v>2223</v>
      </c>
      <c r="I5" s="357">
        <f>D24</f>
        <v>0</v>
      </c>
    </row>
    <row r="6">
      <c r="A6" s="327" t="s">
        <v>259</v>
      </c>
      <c r="B6" s="328"/>
      <c r="C6" s="328"/>
      <c r="D6" s="396"/>
      <c r="E6" s="329"/>
      <c r="F6" s="360">
        <v>12.0</v>
      </c>
      <c r="G6" s="332"/>
      <c r="H6" s="328">
        <f t="shared" si="1"/>
        <v>0</v>
      </c>
      <c r="I6" s="357">
        <f>H6</f>
        <v>0</v>
      </c>
    </row>
    <row r="7">
      <c r="A7" s="337" t="s">
        <v>267</v>
      </c>
      <c r="B7" s="146"/>
      <c r="C7" s="146"/>
      <c r="D7" s="397">
        <f>B12+B13</f>
        <v>1271</v>
      </c>
      <c r="E7" s="146"/>
      <c r="F7" s="321"/>
      <c r="G7" s="51">
        <f>'Общие расходы г. Казань'!F4</f>
        <v>0</v>
      </c>
      <c r="H7" s="146"/>
      <c r="I7" s="357">
        <f t="shared" ref="I7:I9" si="2">D7*G7</f>
        <v>0</v>
      </c>
    </row>
    <row r="8">
      <c r="A8" s="337" t="s">
        <v>152</v>
      </c>
      <c r="B8" s="328"/>
      <c r="C8" s="146"/>
      <c r="D8" s="397">
        <f>B12+B13</f>
        <v>1271</v>
      </c>
      <c r="E8" s="146"/>
      <c r="F8" s="321"/>
      <c r="G8" s="51">
        <f>'Общие расходы ГЭ'!G16</f>
        <v>9.195626292</v>
      </c>
      <c r="H8" s="146"/>
      <c r="I8" s="357">
        <f t="shared" si="2"/>
        <v>11687.64102</v>
      </c>
    </row>
    <row r="9">
      <c r="A9" s="337" t="s">
        <v>156</v>
      </c>
      <c r="B9" s="146"/>
      <c r="C9" s="146"/>
      <c r="D9" s="397">
        <f>B12+B13</f>
        <v>1271</v>
      </c>
      <c r="E9" s="146"/>
      <c r="F9" s="321"/>
      <c r="G9" s="51">
        <f>'Общие расходы г. Зеленодольск'!F12</f>
        <v>0.9242115565</v>
      </c>
      <c r="H9" s="146"/>
      <c r="I9" s="357">
        <f t="shared" si="2"/>
        <v>1174.672888</v>
      </c>
    </row>
    <row r="10">
      <c r="A10" s="385"/>
      <c r="B10" s="342"/>
      <c r="C10" s="342"/>
      <c r="D10" s="342"/>
      <c r="E10" s="342"/>
      <c r="F10" s="386"/>
      <c r="G10" s="386"/>
      <c r="H10" s="342"/>
      <c r="I10" s="363">
        <f>SUM(I2:I9)</f>
        <v>21871.63682</v>
      </c>
    </row>
    <row r="12">
      <c r="A12" s="68" t="s">
        <v>205</v>
      </c>
      <c r="B12" s="265">
        <f>'Исходные данные'!B58</f>
        <v>1271</v>
      </c>
    </row>
    <row r="13">
      <c r="A13" s="68" t="s">
        <v>206</v>
      </c>
      <c r="B13" s="265" t="str">
        <f>'Исходные данные'!C58</f>
        <v/>
      </c>
    </row>
    <row r="14">
      <c r="A14" s="68" t="s">
        <v>207</v>
      </c>
      <c r="B14" s="265">
        <f>'Исходные данные'!D58</f>
        <v>75</v>
      </c>
    </row>
    <row r="16">
      <c r="A16" s="266" t="s">
        <v>208</v>
      </c>
      <c r="B16" s="263"/>
      <c r="C16" s="263"/>
      <c r="D16" s="185"/>
    </row>
    <row r="17">
      <c r="A17" s="268" t="s">
        <v>209</v>
      </c>
      <c r="B17" s="269" t="s">
        <v>210</v>
      </c>
      <c r="C17" s="93" t="s">
        <v>5</v>
      </c>
      <c r="D17" s="269" t="s">
        <v>211</v>
      </c>
    </row>
    <row r="18">
      <c r="A18" s="300"/>
      <c r="B18" s="345"/>
      <c r="C18" s="345">
        <v>12.0</v>
      </c>
      <c r="D18" s="345">
        <f>B18/C18</f>
        <v>0</v>
      </c>
    </row>
    <row r="19">
      <c r="A19" s="87"/>
      <c r="B19" s="329"/>
      <c r="C19" s="345"/>
      <c r="D19" s="345"/>
    </row>
    <row r="20">
      <c r="A20" s="305"/>
      <c r="B20" s="303"/>
      <c r="C20" s="303"/>
      <c r="D20" s="301"/>
    </row>
    <row r="21">
      <c r="A21" s="68"/>
      <c r="B21" s="303"/>
      <c r="C21" s="303"/>
      <c r="D21" s="177"/>
    </row>
    <row r="22">
      <c r="A22" s="304"/>
      <c r="B22" s="303"/>
      <c r="C22" s="303"/>
      <c r="D22" s="303"/>
    </row>
    <row r="23">
      <c r="A23" s="34"/>
      <c r="B23" s="72"/>
      <c r="C23" s="72"/>
      <c r="D23" s="72"/>
    </row>
    <row r="24">
      <c r="A24" s="299" t="s">
        <v>62</v>
      </c>
      <c r="B24" s="291"/>
      <c r="C24" s="291"/>
      <c r="D24" s="291">
        <f>SUM(D18:D23)</f>
        <v>0</v>
      </c>
    </row>
  </sheetData>
  <mergeCells count="1">
    <mergeCell ref="A16:D16"/>
  </mergeCells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7" max="7" width="9.13"/>
    <col customWidth="1" min="8" max="8" width="17.13"/>
  </cols>
  <sheetData>
    <row r="1">
      <c r="A1" s="353" t="s">
        <v>311</v>
      </c>
      <c r="B1" s="253" t="s">
        <v>195</v>
      </c>
      <c r="C1" s="253" t="s">
        <v>196</v>
      </c>
      <c r="D1" s="253" t="s">
        <v>197</v>
      </c>
      <c r="E1" s="374" t="s">
        <v>4</v>
      </c>
      <c r="F1" s="45" t="s">
        <v>5</v>
      </c>
      <c r="G1" s="355" t="s">
        <v>9</v>
      </c>
      <c r="H1" s="45" t="s">
        <v>6</v>
      </c>
      <c r="I1" s="254" t="s">
        <v>198</v>
      </c>
    </row>
    <row r="2">
      <c r="A2" s="327" t="s">
        <v>312</v>
      </c>
      <c r="B2" s="333">
        <f>'Исходные данные'!D61</f>
        <v>96</v>
      </c>
      <c r="C2" s="332">
        <f>'Исходные данные'!D57</f>
        <v>5</v>
      </c>
      <c r="D2" s="332"/>
      <c r="E2" s="333">
        <v>130524.0</v>
      </c>
      <c r="F2" s="360">
        <v>12.0</v>
      </c>
      <c r="G2" s="328"/>
      <c r="H2" s="332">
        <f t="shared" ref="H2:H3" si="1">E2/F2</f>
        <v>10877</v>
      </c>
      <c r="I2" s="357">
        <f>H2/B2*C2</f>
        <v>566.5104167</v>
      </c>
    </row>
    <row r="3">
      <c r="A3" s="327" t="s">
        <v>313</v>
      </c>
      <c r="B3" s="328"/>
      <c r="C3" s="328"/>
      <c r="D3" s="328"/>
      <c r="E3" s="329">
        <v>0.0</v>
      </c>
      <c r="F3" s="360">
        <v>12.0</v>
      </c>
      <c r="G3" s="333"/>
      <c r="H3" s="332">
        <f t="shared" si="1"/>
        <v>0</v>
      </c>
      <c r="I3" s="357">
        <f>H3</f>
        <v>0</v>
      </c>
    </row>
    <row r="4">
      <c r="A4" s="337" t="s">
        <v>267</v>
      </c>
      <c r="B4" s="146"/>
      <c r="C4" s="146"/>
      <c r="D4" s="384">
        <f>B9+B10</f>
        <v>40</v>
      </c>
      <c r="E4" s="146"/>
      <c r="F4" s="321"/>
      <c r="G4" s="51">
        <f>'Общие расходы г. Казань'!F4</f>
        <v>0</v>
      </c>
      <c r="H4" s="146"/>
      <c r="I4" s="357">
        <f t="shared" ref="I4:I5" si="2">D4*G4</f>
        <v>0</v>
      </c>
    </row>
    <row r="5">
      <c r="A5" s="337" t="s">
        <v>152</v>
      </c>
      <c r="B5" s="328"/>
      <c r="C5" s="146"/>
      <c r="D5" s="384">
        <f>B9+B10</f>
        <v>40</v>
      </c>
      <c r="E5" s="146"/>
      <c r="F5" s="321"/>
      <c r="G5" s="51">
        <f>'Общие расходы ГЭ'!G16</f>
        <v>9.195626292</v>
      </c>
      <c r="H5" s="146"/>
      <c r="I5" s="357">
        <f t="shared" si="2"/>
        <v>367.8250517</v>
      </c>
    </row>
    <row r="6">
      <c r="A6" s="337" t="s">
        <v>292</v>
      </c>
      <c r="B6" s="146"/>
      <c r="C6" s="146"/>
      <c r="D6" s="384">
        <f>B9+B10</f>
        <v>40</v>
      </c>
      <c r="E6" s="146"/>
      <c r="F6" s="321"/>
      <c r="G6" s="323"/>
      <c r="H6" s="146"/>
      <c r="I6" s="357"/>
    </row>
    <row r="7">
      <c r="A7" s="385"/>
      <c r="B7" s="342"/>
      <c r="C7" s="342"/>
      <c r="D7" s="342"/>
      <c r="E7" s="342"/>
      <c r="F7" s="386"/>
      <c r="G7" s="342"/>
      <c r="H7" s="342"/>
      <c r="I7" s="363">
        <f>SUM(I2:I6)</f>
        <v>934.3354683</v>
      </c>
    </row>
    <row r="9">
      <c r="A9" s="68" t="s">
        <v>205</v>
      </c>
      <c r="B9" s="265">
        <f>'Исходные данные'!B57</f>
        <v>40</v>
      </c>
    </row>
    <row r="10">
      <c r="A10" s="68" t="s">
        <v>206</v>
      </c>
      <c r="B10" s="265" t="str">
        <f>'Исходные данные'!C57</f>
        <v/>
      </c>
    </row>
    <row r="11">
      <c r="A11" s="68" t="s">
        <v>207</v>
      </c>
      <c r="B11" s="265">
        <f>'Исходные данные'!D57</f>
        <v>5</v>
      </c>
    </row>
    <row r="13">
      <c r="A13" s="266" t="s">
        <v>208</v>
      </c>
      <c r="B13" s="263"/>
      <c r="C13" s="263"/>
      <c r="D13" s="185"/>
    </row>
    <row r="14">
      <c r="A14" s="268" t="s">
        <v>209</v>
      </c>
      <c r="B14" s="269" t="s">
        <v>210</v>
      </c>
      <c r="C14" s="93" t="s">
        <v>5</v>
      </c>
      <c r="D14" s="269" t="s">
        <v>211</v>
      </c>
    </row>
    <row r="15">
      <c r="A15" s="300"/>
      <c r="B15" s="303"/>
      <c r="C15" s="303"/>
      <c r="D15" s="301"/>
    </row>
    <row r="16">
      <c r="A16" s="68"/>
      <c r="B16" s="303"/>
      <c r="C16" s="303"/>
      <c r="D16" s="301"/>
    </row>
    <row r="17">
      <c r="A17" s="305"/>
      <c r="B17" s="303"/>
      <c r="C17" s="303"/>
      <c r="D17" s="301"/>
    </row>
    <row r="18">
      <c r="A18" s="68"/>
      <c r="B18" s="303"/>
      <c r="C18" s="303"/>
      <c r="D18" s="177"/>
    </row>
    <row r="19">
      <c r="A19" s="304"/>
      <c r="B19" s="303"/>
      <c r="C19" s="303"/>
      <c r="D19" s="303"/>
    </row>
    <row r="20">
      <c r="A20" s="34"/>
      <c r="B20" s="72"/>
      <c r="C20" s="72"/>
      <c r="D20" s="72"/>
    </row>
    <row r="21">
      <c r="A21" s="34"/>
      <c r="B21" s="72"/>
      <c r="C21" s="72"/>
      <c r="D21" s="72"/>
    </row>
  </sheetData>
  <mergeCells count="1">
    <mergeCell ref="A13:D13"/>
  </mergeCells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13"/>
    <col customWidth="1" min="2" max="2" width="12.13"/>
    <col customWidth="1" min="3" max="3" width="10.63"/>
    <col customWidth="1" min="4" max="4" width="14.38"/>
    <col customWidth="1" min="6" max="6" width="9.63"/>
    <col customWidth="1" min="7" max="7" width="14.88"/>
    <col customWidth="1" min="8" max="8" width="8.88"/>
    <col customWidth="1" min="9" max="9" width="16.38"/>
  </cols>
  <sheetData>
    <row r="1">
      <c r="A1" s="251"/>
      <c r="B1" s="74"/>
      <c r="C1" s="74"/>
      <c r="D1" s="74"/>
      <c r="E1" s="178"/>
      <c r="F1" s="235"/>
      <c r="G1" s="179"/>
      <c r="H1" s="179"/>
      <c r="I1" s="297"/>
    </row>
    <row r="2">
      <c r="A2" s="252" t="s">
        <v>41</v>
      </c>
      <c r="B2" s="253" t="s">
        <v>195</v>
      </c>
      <c r="C2" s="253" t="s">
        <v>196</v>
      </c>
      <c r="D2" s="253" t="s">
        <v>197</v>
      </c>
      <c r="E2" s="253" t="s">
        <v>4</v>
      </c>
      <c r="F2" s="249" t="s">
        <v>5</v>
      </c>
      <c r="G2" s="249" t="s">
        <v>6</v>
      </c>
      <c r="H2" s="253" t="s">
        <v>9</v>
      </c>
      <c r="I2" s="254" t="s">
        <v>198</v>
      </c>
    </row>
    <row r="3">
      <c r="A3" s="87" t="s">
        <v>314</v>
      </c>
      <c r="B3" s="98">
        <f>'Исходные данные'!D61</f>
        <v>96</v>
      </c>
      <c r="C3" s="98">
        <f>'Исходные данные'!D59</f>
        <v>4</v>
      </c>
      <c r="D3" s="134"/>
      <c r="E3" s="333">
        <v>130524.0</v>
      </c>
      <c r="F3" s="256">
        <v>12.0</v>
      </c>
      <c r="G3" s="163">
        <f t="shared" ref="G3:G9" si="1">E3/F3</f>
        <v>10877</v>
      </c>
      <c r="H3" s="72"/>
      <c r="I3" s="282">
        <f>G3/B3*C3</f>
        <v>453.2083333</v>
      </c>
    </row>
    <row r="4">
      <c r="A4" s="87" t="s">
        <v>245</v>
      </c>
      <c r="B4" s="134"/>
      <c r="C4" s="134"/>
      <c r="D4" s="134"/>
      <c r="E4" s="255"/>
      <c r="F4" s="256">
        <v>12.0</v>
      </c>
      <c r="G4" s="163">
        <f t="shared" si="1"/>
        <v>0</v>
      </c>
      <c r="H4" s="72"/>
      <c r="I4" s="282">
        <f t="shared" ref="I4:I9" si="2">G4</f>
        <v>0</v>
      </c>
    </row>
    <row r="5">
      <c r="A5" s="87" t="s">
        <v>315</v>
      </c>
      <c r="B5" s="134"/>
      <c r="C5" s="134"/>
      <c r="D5" s="134"/>
      <c r="E5" s="255"/>
      <c r="F5" s="256">
        <v>12.0</v>
      </c>
      <c r="G5" s="163">
        <f t="shared" si="1"/>
        <v>0</v>
      </c>
      <c r="H5" s="72"/>
      <c r="I5" s="282">
        <f t="shared" si="2"/>
        <v>0</v>
      </c>
    </row>
    <row r="6">
      <c r="A6" s="87" t="s">
        <v>148</v>
      </c>
      <c r="B6" s="134"/>
      <c r="C6" s="134"/>
      <c r="D6" s="134"/>
      <c r="E6" s="177">
        <v>1075.0</v>
      </c>
      <c r="F6" s="256">
        <v>12.0</v>
      </c>
      <c r="G6" s="163">
        <f t="shared" si="1"/>
        <v>89.58333333</v>
      </c>
      <c r="H6" s="72"/>
      <c r="I6" s="282">
        <f t="shared" si="2"/>
        <v>89.58333333</v>
      </c>
    </row>
    <row r="7">
      <c r="A7" s="87" t="s">
        <v>150</v>
      </c>
      <c r="B7" s="134"/>
      <c r="C7" s="134"/>
      <c r="D7" s="134"/>
      <c r="E7" s="177">
        <v>0.0</v>
      </c>
      <c r="F7" s="256">
        <v>12.0</v>
      </c>
      <c r="G7" s="163">
        <f t="shared" si="1"/>
        <v>0</v>
      </c>
      <c r="H7" s="72"/>
      <c r="I7" s="282">
        <f t="shared" si="2"/>
        <v>0</v>
      </c>
    </row>
    <row r="8">
      <c r="A8" s="87" t="s">
        <v>149</v>
      </c>
      <c r="B8" s="134"/>
      <c r="C8" s="134"/>
      <c r="D8" s="134"/>
      <c r="E8" s="177">
        <v>0.0</v>
      </c>
      <c r="F8" s="256">
        <v>12.0</v>
      </c>
      <c r="G8" s="163">
        <f t="shared" si="1"/>
        <v>0</v>
      </c>
      <c r="H8" s="72"/>
      <c r="I8" s="282">
        <f t="shared" si="2"/>
        <v>0</v>
      </c>
    </row>
    <row r="9">
      <c r="A9" s="293" t="s">
        <v>203</v>
      </c>
      <c r="B9" s="134"/>
      <c r="C9" s="134"/>
      <c r="D9" s="134"/>
      <c r="E9" s="177"/>
      <c r="F9" s="256">
        <v>12.0</v>
      </c>
      <c r="G9" s="163">
        <f t="shared" si="1"/>
        <v>0</v>
      </c>
      <c r="H9" s="72"/>
      <c r="I9" s="282">
        <f t="shared" si="2"/>
        <v>0</v>
      </c>
    </row>
    <row r="10">
      <c r="A10" s="293" t="s">
        <v>246</v>
      </c>
      <c r="B10" s="134"/>
      <c r="C10" s="134"/>
      <c r="D10" s="134"/>
      <c r="E10" s="177"/>
      <c r="F10" s="256"/>
      <c r="G10" s="163"/>
      <c r="H10" s="72"/>
      <c r="I10" s="282">
        <f>D23</f>
        <v>0</v>
      </c>
    </row>
    <row r="11">
      <c r="A11" s="293" t="s">
        <v>204</v>
      </c>
      <c r="B11" s="134"/>
      <c r="C11" s="134"/>
      <c r="D11" s="134"/>
      <c r="E11" s="177"/>
      <c r="F11" s="256">
        <v>12.0</v>
      </c>
      <c r="G11" s="163">
        <f>E11/F11</f>
        <v>0</v>
      </c>
      <c r="H11" s="72"/>
      <c r="I11" s="282">
        <f>G11</f>
        <v>0</v>
      </c>
    </row>
    <row r="12">
      <c r="A12" s="68" t="s">
        <v>152</v>
      </c>
      <c r="B12" s="72"/>
      <c r="C12" s="71"/>
      <c r="D12" s="265">
        <f>B17+B18</f>
        <v>360</v>
      </c>
      <c r="E12" s="72"/>
      <c r="F12" s="249"/>
      <c r="G12" s="72"/>
      <c r="H12" s="259">
        <f>'Общие расходы ГЭ'!G16</f>
        <v>9.195626292</v>
      </c>
      <c r="I12" s="282">
        <f t="shared" ref="I12:I14" si="3">D12*H12</f>
        <v>3310.425465</v>
      </c>
    </row>
    <row r="13">
      <c r="A13" s="68" t="s">
        <v>316</v>
      </c>
      <c r="B13" s="72"/>
      <c r="C13" s="71"/>
      <c r="D13" s="265">
        <f>B17+B18</f>
        <v>360</v>
      </c>
      <c r="E13" s="72"/>
      <c r="F13" s="249"/>
      <c r="G13" s="72"/>
      <c r="H13" s="259">
        <f>'Общие расходы г. Казань'!F4</f>
        <v>0</v>
      </c>
      <c r="I13" s="282">
        <f t="shared" si="3"/>
        <v>0</v>
      </c>
    </row>
    <row r="14">
      <c r="A14" s="68" t="s">
        <v>156</v>
      </c>
      <c r="B14" s="72"/>
      <c r="C14" s="71"/>
      <c r="D14" s="265">
        <f>B17+B18</f>
        <v>360</v>
      </c>
      <c r="E14" s="72"/>
      <c r="F14" s="249"/>
      <c r="G14" s="72"/>
      <c r="H14" s="259">
        <f>'Общие расходы г. Зеленодольск'!F12</f>
        <v>0.9242115565</v>
      </c>
      <c r="I14" s="282">
        <f t="shared" si="3"/>
        <v>332.7161603</v>
      </c>
    </row>
    <row r="15">
      <c r="A15" s="311"/>
      <c r="B15" s="291"/>
      <c r="C15" s="289"/>
      <c r="D15" s="289"/>
      <c r="E15" s="291"/>
      <c r="F15" s="290"/>
      <c r="G15" s="291"/>
      <c r="H15" s="290"/>
      <c r="I15" s="282">
        <f>SUM(I3:I14)</f>
        <v>4185.933292</v>
      </c>
    </row>
    <row r="16">
      <c r="A16" s="251"/>
      <c r="B16" s="179"/>
      <c r="C16" s="179"/>
      <c r="D16" s="179"/>
      <c r="E16" s="179"/>
      <c r="F16" s="235"/>
      <c r="G16" s="179"/>
      <c r="H16" s="179"/>
      <c r="I16" s="297"/>
    </row>
    <row r="17">
      <c r="A17" s="68" t="s">
        <v>205</v>
      </c>
      <c r="B17" s="260">
        <f>'Исходные данные'!B59</f>
        <v>360</v>
      </c>
      <c r="C17" s="179"/>
      <c r="D17" s="179"/>
      <c r="E17" s="179"/>
      <c r="F17" s="235"/>
      <c r="G17" s="179"/>
      <c r="H17" s="179"/>
      <c r="I17" s="297"/>
    </row>
    <row r="18">
      <c r="A18" s="68" t="s">
        <v>206</v>
      </c>
      <c r="B18" s="260">
        <f>'Исходные данные'!C64</f>
        <v>0</v>
      </c>
      <c r="C18" s="179"/>
      <c r="D18" s="179"/>
      <c r="E18" s="179"/>
      <c r="F18" s="235"/>
      <c r="G18" s="179"/>
      <c r="H18" s="179"/>
      <c r="I18" s="297"/>
    </row>
    <row r="19">
      <c r="A19" s="68" t="s">
        <v>207</v>
      </c>
      <c r="B19" s="260">
        <f>'Исходные данные'!D59</f>
        <v>4</v>
      </c>
      <c r="C19" s="179"/>
      <c r="D19" s="179"/>
      <c r="E19" s="179"/>
      <c r="F19" s="235"/>
      <c r="G19" s="179"/>
      <c r="H19" s="179"/>
      <c r="I19" s="297"/>
    </row>
    <row r="20">
      <c r="A20" s="292"/>
      <c r="B20" s="248"/>
      <c r="C20" s="248"/>
      <c r="D20" s="248"/>
      <c r="E20" s="248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</row>
    <row r="21">
      <c r="A21" s="266" t="s">
        <v>208</v>
      </c>
      <c r="B21" s="263"/>
      <c r="C21" s="263"/>
      <c r="D21" s="185"/>
    </row>
    <row r="22">
      <c r="A22" s="268" t="s">
        <v>209</v>
      </c>
      <c r="B22" s="269" t="s">
        <v>210</v>
      </c>
      <c r="C22" s="93" t="s">
        <v>5</v>
      </c>
      <c r="D22" s="269" t="s">
        <v>211</v>
      </c>
    </row>
    <row r="23">
      <c r="A23" s="300" t="s">
        <v>317</v>
      </c>
      <c r="B23" s="301"/>
      <c r="C23" s="301">
        <v>12.0</v>
      </c>
      <c r="D23" s="301">
        <f>B23/C23</f>
        <v>0</v>
      </c>
    </row>
    <row r="24">
      <c r="A24" s="68"/>
      <c r="B24" s="303"/>
      <c r="C24" s="303"/>
      <c r="D24" s="301"/>
    </row>
    <row r="25">
      <c r="A25" s="305"/>
      <c r="B25" s="303"/>
      <c r="C25" s="303"/>
      <c r="D25" s="301"/>
    </row>
    <row r="26">
      <c r="A26" s="68"/>
      <c r="B26" s="303"/>
      <c r="C26" s="303"/>
      <c r="D26" s="177"/>
    </row>
    <row r="27">
      <c r="A27" s="304"/>
      <c r="B27" s="303"/>
      <c r="C27" s="303"/>
      <c r="D27" s="303"/>
    </row>
    <row r="28">
      <c r="A28" s="251"/>
    </row>
    <row r="29">
      <c r="A29" s="251"/>
    </row>
    <row r="30">
      <c r="A30" s="251"/>
    </row>
    <row r="31">
      <c r="A31" s="251"/>
    </row>
    <row r="32">
      <c r="A32" s="251"/>
    </row>
    <row r="33">
      <c r="A33" s="251"/>
    </row>
    <row r="34">
      <c r="A34" s="251"/>
    </row>
    <row r="35">
      <c r="A35" s="251"/>
    </row>
    <row r="36">
      <c r="A36" s="251"/>
    </row>
    <row r="37">
      <c r="A37" s="251"/>
    </row>
    <row r="38">
      <c r="A38" s="251"/>
    </row>
    <row r="39">
      <c r="A39" s="251"/>
    </row>
    <row r="40">
      <c r="A40" s="251"/>
    </row>
    <row r="41">
      <c r="A41" s="251"/>
    </row>
    <row r="42">
      <c r="A42" s="251"/>
    </row>
    <row r="43">
      <c r="A43" s="251"/>
    </row>
    <row r="44">
      <c r="A44" s="251"/>
    </row>
    <row r="45">
      <c r="A45" s="251"/>
    </row>
    <row r="46">
      <c r="A46" s="251"/>
    </row>
    <row r="47">
      <c r="A47" s="251"/>
    </row>
    <row r="48">
      <c r="A48" s="251"/>
    </row>
    <row r="49">
      <c r="A49" s="251"/>
    </row>
    <row r="50">
      <c r="A50" s="251"/>
    </row>
    <row r="51">
      <c r="A51" s="251"/>
    </row>
    <row r="52">
      <c r="A52" s="251"/>
    </row>
    <row r="53">
      <c r="A53" s="251"/>
    </row>
    <row r="54">
      <c r="A54" s="251"/>
    </row>
    <row r="55">
      <c r="A55" s="251"/>
    </row>
    <row r="56">
      <c r="A56" s="251"/>
    </row>
    <row r="57">
      <c r="A57" s="251"/>
    </row>
    <row r="58">
      <c r="A58" s="251"/>
    </row>
    <row r="59">
      <c r="A59" s="251"/>
    </row>
    <row r="60">
      <c r="A60" s="251"/>
    </row>
    <row r="61">
      <c r="A61" s="251"/>
    </row>
    <row r="62">
      <c r="A62" s="251"/>
    </row>
    <row r="63">
      <c r="A63" s="251"/>
    </row>
    <row r="64">
      <c r="A64" s="251"/>
    </row>
    <row r="65">
      <c r="A65" s="251"/>
    </row>
    <row r="66">
      <c r="A66" s="251"/>
    </row>
    <row r="67">
      <c r="A67" s="251"/>
    </row>
    <row r="68">
      <c r="A68" s="251"/>
    </row>
    <row r="69">
      <c r="A69" s="251"/>
    </row>
    <row r="70">
      <c r="A70" s="251"/>
    </row>
    <row r="71">
      <c r="A71" s="251"/>
    </row>
    <row r="72">
      <c r="A72" s="251"/>
    </row>
    <row r="73">
      <c r="A73" s="251"/>
    </row>
    <row r="74">
      <c r="A74" s="251"/>
    </row>
    <row r="75">
      <c r="A75" s="251"/>
    </row>
    <row r="76">
      <c r="A76" s="251"/>
    </row>
    <row r="77">
      <c r="A77" s="251"/>
    </row>
    <row r="78">
      <c r="A78" s="251"/>
    </row>
    <row r="79">
      <c r="A79" s="251"/>
    </row>
    <row r="80">
      <c r="A80" s="251"/>
    </row>
    <row r="81">
      <c r="A81" s="251"/>
    </row>
    <row r="82">
      <c r="A82" s="251"/>
    </row>
    <row r="83">
      <c r="A83" s="251"/>
    </row>
    <row r="84">
      <c r="A84" s="251"/>
    </row>
    <row r="85">
      <c r="A85" s="251"/>
    </row>
    <row r="86">
      <c r="A86" s="251"/>
    </row>
    <row r="87">
      <c r="A87" s="251"/>
    </row>
    <row r="88">
      <c r="A88" s="251"/>
    </row>
    <row r="89">
      <c r="A89" s="251"/>
    </row>
    <row r="90">
      <c r="A90" s="251"/>
    </row>
    <row r="91">
      <c r="A91" s="251"/>
    </row>
    <row r="92">
      <c r="A92" s="251"/>
    </row>
    <row r="93">
      <c r="A93" s="251"/>
    </row>
    <row r="94">
      <c r="A94" s="251"/>
    </row>
    <row r="95">
      <c r="A95" s="251"/>
    </row>
    <row r="96">
      <c r="A96" s="251"/>
    </row>
    <row r="97">
      <c r="A97" s="251"/>
    </row>
    <row r="98">
      <c r="A98" s="251"/>
    </row>
    <row r="99">
      <c r="A99" s="251"/>
    </row>
    <row r="100">
      <c r="A100" s="251"/>
    </row>
    <row r="101">
      <c r="A101" s="251"/>
    </row>
    <row r="102">
      <c r="A102" s="251"/>
    </row>
    <row r="103">
      <c r="A103" s="251"/>
    </row>
    <row r="104">
      <c r="A104" s="251"/>
    </row>
    <row r="105">
      <c r="A105" s="251"/>
    </row>
    <row r="106">
      <c r="A106" s="251"/>
    </row>
    <row r="107">
      <c r="A107" s="251"/>
    </row>
    <row r="108">
      <c r="A108" s="251"/>
    </row>
    <row r="109">
      <c r="A109" s="251"/>
    </row>
    <row r="110">
      <c r="A110" s="251"/>
    </row>
    <row r="111">
      <c r="A111" s="251"/>
    </row>
    <row r="112">
      <c r="A112" s="251"/>
    </row>
    <row r="113">
      <c r="A113" s="251"/>
    </row>
    <row r="114">
      <c r="A114" s="251"/>
    </row>
    <row r="115">
      <c r="A115" s="251"/>
    </row>
    <row r="116">
      <c r="A116" s="251"/>
    </row>
    <row r="117">
      <c r="A117" s="251"/>
    </row>
    <row r="118">
      <c r="A118" s="251"/>
    </row>
    <row r="119">
      <c r="A119" s="251"/>
    </row>
    <row r="120">
      <c r="A120" s="251"/>
    </row>
    <row r="121">
      <c r="A121" s="251"/>
    </row>
    <row r="122">
      <c r="A122" s="251"/>
    </row>
    <row r="123">
      <c r="A123" s="251"/>
    </row>
    <row r="124">
      <c r="A124" s="251"/>
    </row>
    <row r="125">
      <c r="A125" s="251"/>
    </row>
    <row r="126">
      <c r="A126" s="251"/>
    </row>
    <row r="127">
      <c r="A127" s="251"/>
    </row>
    <row r="128">
      <c r="A128" s="251"/>
    </row>
    <row r="129">
      <c r="A129" s="251"/>
    </row>
    <row r="130">
      <c r="A130" s="251"/>
    </row>
    <row r="131">
      <c r="A131" s="251"/>
    </row>
    <row r="132">
      <c r="A132" s="251"/>
    </row>
    <row r="133">
      <c r="A133" s="251"/>
    </row>
    <row r="134">
      <c r="A134" s="251"/>
    </row>
    <row r="135">
      <c r="A135" s="251"/>
    </row>
    <row r="136">
      <c r="A136" s="251"/>
    </row>
    <row r="137">
      <c r="A137" s="251"/>
    </row>
    <row r="138">
      <c r="A138" s="251"/>
    </row>
    <row r="139">
      <c r="A139" s="251"/>
    </row>
    <row r="140">
      <c r="A140" s="251"/>
    </row>
    <row r="141">
      <c r="A141" s="251"/>
    </row>
    <row r="142">
      <c r="A142" s="251"/>
    </row>
    <row r="143">
      <c r="A143" s="251"/>
    </row>
    <row r="144">
      <c r="A144" s="251"/>
    </row>
    <row r="145">
      <c r="A145" s="251"/>
    </row>
    <row r="146">
      <c r="A146" s="251"/>
    </row>
    <row r="147">
      <c r="A147" s="251"/>
    </row>
    <row r="148">
      <c r="A148" s="251"/>
    </row>
    <row r="149">
      <c r="A149" s="251"/>
    </row>
    <row r="150">
      <c r="A150" s="251"/>
    </row>
    <row r="151">
      <c r="A151" s="251"/>
    </row>
    <row r="152">
      <c r="A152" s="251"/>
    </row>
    <row r="153">
      <c r="A153" s="251"/>
    </row>
    <row r="154">
      <c r="A154" s="251"/>
    </row>
    <row r="155">
      <c r="A155" s="251"/>
    </row>
    <row r="156">
      <c r="A156" s="251"/>
    </row>
    <row r="157">
      <c r="A157" s="251"/>
    </row>
    <row r="158">
      <c r="A158" s="251"/>
    </row>
    <row r="159">
      <c r="A159" s="251"/>
    </row>
    <row r="160">
      <c r="A160" s="251"/>
    </row>
    <row r="161">
      <c r="A161" s="251"/>
    </row>
    <row r="162">
      <c r="A162" s="251"/>
    </row>
    <row r="163">
      <c r="A163" s="251"/>
    </row>
    <row r="164">
      <c r="A164" s="251"/>
    </row>
    <row r="165">
      <c r="A165" s="251"/>
    </row>
    <row r="166">
      <c r="A166" s="251"/>
    </row>
    <row r="167">
      <c r="A167" s="251"/>
    </row>
    <row r="168">
      <c r="A168" s="251"/>
    </row>
    <row r="169">
      <c r="A169" s="251"/>
    </row>
    <row r="170">
      <c r="A170" s="251"/>
    </row>
    <row r="171">
      <c r="A171" s="251"/>
    </row>
    <row r="172">
      <c r="A172" s="251"/>
    </row>
    <row r="173">
      <c r="A173" s="251"/>
    </row>
    <row r="174">
      <c r="A174" s="251"/>
    </row>
    <row r="175">
      <c r="A175" s="251"/>
    </row>
    <row r="176">
      <c r="A176" s="251"/>
    </row>
    <row r="177">
      <c r="A177" s="251"/>
    </row>
    <row r="178">
      <c r="A178" s="251"/>
    </row>
    <row r="179">
      <c r="A179" s="251"/>
    </row>
    <row r="180">
      <c r="A180" s="251"/>
    </row>
    <row r="181">
      <c r="A181" s="251"/>
    </row>
    <row r="182">
      <c r="A182" s="251"/>
    </row>
    <row r="183">
      <c r="A183" s="251"/>
    </row>
    <row r="184">
      <c r="A184" s="251"/>
    </row>
    <row r="185">
      <c r="A185" s="251"/>
    </row>
    <row r="186">
      <c r="A186" s="251"/>
    </row>
    <row r="187">
      <c r="A187" s="251"/>
    </row>
    <row r="188">
      <c r="A188" s="251"/>
    </row>
    <row r="189">
      <c r="A189" s="251"/>
    </row>
    <row r="190">
      <c r="A190" s="251"/>
    </row>
    <row r="191">
      <c r="A191" s="251"/>
    </row>
    <row r="192">
      <c r="A192" s="251"/>
    </row>
    <row r="193">
      <c r="A193" s="251"/>
    </row>
    <row r="194">
      <c r="A194" s="251"/>
    </row>
    <row r="195">
      <c r="A195" s="251"/>
    </row>
    <row r="196">
      <c r="A196" s="251"/>
    </row>
    <row r="197">
      <c r="A197" s="251"/>
    </row>
    <row r="198">
      <c r="A198" s="251"/>
    </row>
    <row r="199">
      <c r="A199" s="251"/>
    </row>
    <row r="200">
      <c r="A200" s="251"/>
    </row>
    <row r="201">
      <c r="A201" s="251"/>
    </row>
    <row r="202">
      <c r="A202" s="251"/>
    </row>
    <row r="203">
      <c r="A203" s="251"/>
    </row>
    <row r="204">
      <c r="A204" s="251"/>
    </row>
    <row r="205">
      <c r="A205" s="251"/>
    </row>
    <row r="206">
      <c r="A206" s="251"/>
    </row>
    <row r="207">
      <c r="A207" s="251"/>
    </row>
    <row r="208">
      <c r="A208" s="251"/>
    </row>
    <row r="209">
      <c r="A209" s="251"/>
    </row>
    <row r="210">
      <c r="A210" s="251"/>
    </row>
    <row r="211">
      <c r="A211" s="251"/>
    </row>
    <row r="212">
      <c r="A212" s="251"/>
    </row>
    <row r="213">
      <c r="A213" s="251"/>
    </row>
    <row r="214">
      <c r="A214" s="251"/>
    </row>
    <row r="215">
      <c r="A215" s="251"/>
    </row>
    <row r="216">
      <c r="A216" s="251"/>
    </row>
    <row r="217">
      <c r="A217" s="251"/>
    </row>
    <row r="218">
      <c r="A218" s="251"/>
    </row>
    <row r="219">
      <c r="A219" s="251"/>
    </row>
    <row r="220">
      <c r="A220" s="251"/>
    </row>
    <row r="221">
      <c r="A221" s="251"/>
    </row>
    <row r="222">
      <c r="A222" s="251"/>
    </row>
    <row r="223">
      <c r="A223" s="251"/>
    </row>
    <row r="224">
      <c r="A224" s="251"/>
    </row>
    <row r="225">
      <c r="A225" s="251"/>
    </row>
    <row r="226">
      <c r="A226" s="251"/>
    </row>
    <row r="227">
      <c r="A227" s="251"/>
    </row>
    <row r="228">
      <c r="A228" s="251"/>
    </row>
    <row r="229">
      <c r="A229" s="251"/>
    </row>
    <row r="230">
      <c r="A230" s="251"/>
    </row>
    <row r="231">
      <c r="A231" s="251"/>
    </row>
    <row r="232">
      <c r="A232" s="251"/>
    </row>
    <row r="233">
      <c r="A233" s="251"/>
    </row>
    <row r="234">
      <c r="A234" s="251"/>
    </row>
    <row r="235">
      <c r="A235" s="251"/>
    </row>
    <row r="236">
      <c r="A236" s="251"/>
    </row>
    <row r="237">
      <c r="A237" s="251"/>
    </row>
    <row r="238">
      <c r="A238" s="251"/>
    </row>
    <row r="239">
      <c r="A239" s="251"/>
    </row>
    <row r="240">
      <c r="A240" s="251"/>
    </row>
    <row r="241">
      <c r="A241" s="251"/>
    </row>
    <row r="242">
      <c r="A242" s="251"/>
    </row>
    <row r="243">
      <c r="A243" s="251"/>
    </row>
    <row r="244">
      <c r="A244" s="251"/>
    </row>
    <row r="245">
      <c r="A245" s="251"/>
    </row>
    <row r="246">
      <c r="A246" s="251"/>
    </row>
    <row r="247">
      <c r="A247" s="251"/>
    </row>
    <row r="248">
      <c r="A248" s="251"/>
    </row>
    <row r="249">
      <c r="A249" s="251"/>
    </row>
    <row r="250">
      <c r="A250" s="251"/>
    </row>
    <row r="251">
      <c r="A251" s="251"/>
    </row>
    <row r="252">
      <c r="A252" s="251"/>
    </row>
    <row r="253">
      <c r="A253" s="251"/>
    </row>
    <row r="254">
      <c r="A254" s="251"/>
    </row>
    <row r="255">
      <c r="A255" s="251"/>
    </row>
    <row r="256">
      <c r="A256" s="251"/>
    </row>
    <row r="257">
      <c r="A257" s="251"/>
    </row>
    <row r="258">
      <c r="A258" s="251"/>
    </row>
    <row r="259">
      <c r="A259" s="251"/>
    </row>
    <row r="260">
      <c r="A260" s="251"/>
    </row>
    <row r="261">
      <c r="A261" s="251"/>
    </row>
    <row r="262">
      <c r="A262" s="251"/>
    </row>
    <row r="263">
      <c r="A263" s="251"/>
    </row>
    <row r="264">
      <c r="A264" s="251"/>
    </row>
    <row r="265">
      <c r="A265" s="251"/>
    </row>
    <row r="266">
      <c r="A266" s="251"/>
    </row>
    <row r="267">
      <c r="A267" s="251"/>
    </row>
    <row r="268">
      <c r="A268" s="251"/>
    </row>
    <row r="269">
      <c r="A269" s="251"/>
    </row>
    <row r="270">
      <c r="A270" s="251"/>
    </row>
    <row r="271">
      <c r="A271" s="251"/>
    </row>
    <row r="272">
      <c r="A272" s="251"/>
    </row>
    <row r="273">
      <c r="A273" s="251"/>
    </row>
    <row r="274">
      <c r="A274" s="251"/>
    </row>
    <row r="275">
      <c r="A275" s="251"/>
    </row>
    <row r="276">
      <c r="A276" s="251"/>
    </row>
    <row r="277">
      <c r="A277" s="251"/>
    </row>
    <row r="278">
      <c r="A278" s="251"/>
    </row>
    <row r="279">
      <c r="A279" s="251"/>
    </row>
    <row r="280">
      <c r="A280" s="251"/>
    </row>
    <row r="281">
      <c r="A281" s="251"/>
    </row>
    <row r="282">
      <c r="A282" s="251"/>
    </row>
    <row r="283">
      <c r="A283" s="251"/>
    </row>
    <row r="284">
      <c r="A284" s="251"/>
    </row>
    <row r="285">
      <c r="A285" s="251"/>
    </row>
    <row r="286">
      <c r="A286" s="251"/>
    </row>
    <row r="287">
      <c r="A287" s="251"/>
    </row>
    <row r="288">
      <c r="A288" s="251"/>
    </row>
    <row r="289">
      <c r="A289" s="251"/>
    </row>
    <row r="290">
      <c r="A290" s="251"/>
    </row>
    <row r="291">
      <c r="A291" s="251"/>
    </row>
    <row r="292">
      <c r="A292" s="251"/>
    </row>
    <row r="293">
      <c r="A293" s="251"/>
    </row>
    <row r="294">
      <c r="A294" s="251"/>
    </row>
    <row r="295">
      <c r="A295" s="251"/>
    </row>
    <row r="296">
      <c r="A296" s="251"/>
    </row>
    <row r="297">
      <c r="A297" s="251"/>
    </row>
    <row r="298">
      <c r="A298" s="251"/>
    </row>
    <row r="299">
      <c r="A299" s="251"/>
    </row>
    <row r="300">
      <c r="A300" s="251"/>
    </row>
    <row r="301">
      <c r="A301" s="251"/>
    </row>
    <row r="302">
      <c r="A302" s="251"/>
    </row>
    <row r="303">
      <c r="A303" s="251"/>
    </row>
    <row r="304">
      <c r="A304" s="251"/>
    </row>
    <row r="305">
      <c r="A305" s="251"/>
    </row>
    <row r="306">
      <c r="A306" s="251"/>
    </row>
    <row r="307">
      <c r="A307" s="251"/>
    </row>
    <row r="308">
      <c r="A308" s="251"/>
    </row>
    <row r="309">
      <c r="A309" s="251"/>
    </row>
    <row r="310">
      <c r="A310" s="251"/>
    </row>
    <row r="311">
      <c r="A311" s="251"/>
    </row>
    <row r="312">
      <c r="A312" s="251"/>
    </row>
    <row r="313">
      <c r="A313" s="251"/>
    </row>
    <row r="314">
      <c r="A314" s="251"/>
    </row>
    <row r="315">
      <c r="A315" s="251"/>
    </row>
    <row r="316">
      <c r="A316" s="251"/>
    </row>
    <row r="317">
      <c r="A317" s="251"/>
    </row>
    <row r="318">
      <c r="A318" s="251"/>
    </row>
    <row r="319">
      <c r="A319" s="251"/>
    </row>
    <row r="320">
      <c r="A320" s="251"/>
    </row>
    <row r="321">
      <c r="A321" s="251"/>
    </row>
    <row r="322">
      <c r="A322" s="251"/>
    </row>
    <row r="323">
      <c r="A323" s="251"/>
    </row>
    <row r="324">
      <c r="A324" s="251"/>
    </row>
    <row r="325">
      <c r="A325" s="251"/>
    </row>
    <row r="326">
      <c r="A326" s="251"/>
    </row>
    <row r="327">
      <c r="A327" s="251"/>
    </row>
    <row r="328">
      <c r="A328" s="251"/>
    </row>
    <row r="329">
      <c r="A329" s="251"/>
    </row>
    <row r="330">
      <c r="A330" s="251"/>
    </row>
    <row r="331">
      <c r="A331" s="251"/>
    </row>
    <row r="332">
      <c r="A332" s="251"/>
    </row>
    <row r="333">
      <c r="A333" s="251"/>
    </row>
    <row r="334">
      <c r="A334" s="251"/>
    </row>
    <row r="335">
      <c r="A335" s="251"/>
    </row>
    <row r="336">
      <c r="A336" s="251"/>
    </row>
    <row r="337">
      <c r="A337" s="251"/>
    </row>
    <row r="338">
      <c r="A338" s="251"/>
    </row>
    <row r="339">
      <c r="A339" s="251"/>
    </row>
    <row r="340">
      <c r="A340" s="251"/>
    </row>
    <row r="341">
      <c r="A341" s="251"/>
    </row>
    <row r="342">
      <c r="A342" s="251"/>
    </row>
    <row r="343">
      <c r="A343" s="251"/>
    </row>
    <row r="344">
      <c r="A344" s="251"/>
    </row>
    <row r="345">
      <c r="A345" s="251"/>
    </row>
    <row r="346">
      <c r="A346" s="251"/>
    </row>
    <row r="347">
      <c r="A347" s="251"/>
    </row>
    <row r="348">
      <c r="A348" s="251"/>
    </row>
    <row r="349">
      <c r="A349" s="251"/>
    </row>
    <row r="350">
      <c r="A350" s="251"/>
    </row>
    <row r="351">
      <c r="A351" s="251"/>
    </row>
    <row r="352">
      <c r="A352" s="251"/>
    </row>
    <row r="353">
      <c r="A353" s="251"/>
    </row>
    <row r="354">
      <c r="A354" s="251"/>
    </row>
    <row r="355">
      <c r="A355" s="251"/>
    </row>
    <row r="356">
      <c r="A356" s="251"/>
    </row>
    <row r="357">
      <c r="A357" s="251"/>
    </row>
    <row r="358">
      <c r="A358" s="251"/>
    </row>
    <row r="359">
      <c r="A359" s="251"/>
    </row>
    <row r="360">
      <c r="A360" s="251"/>
    </row>
    <row r="361">
      <c r="A361" s="251"/>
    </row>
    <row r="362">
      <c r="A362" s="251"/>
    </row>
    <row r="363">
      <c r="A363" s="251"/>
    </row>
    <row r="364">
      <c r="A364" s="251"/>
    </row>
    <row r="365">
      <c r="A365" s="251"/>
    </row>
    <row r="366">
      <c r="A366" s="251"/>
    </row>
    <row r="367">
      <c r="A367" s="251"/>
    </row>
    <row r="368">
      <c r="A368" s="251"/>
    </row>
    <row r="369">
      <c r="A369" s="251"/>
    </row>
    <row r="370">
      <c r="A370" s="251"/>
    </row>
    <row r="371">
      <c r="A371" s="251"/>
    </row>
    <row r="372">
      <c r="A372" s="251"/>
    </row>
    <row r="373">
      <c r="A373" s="251"/>
    </row>
    <row r="374">
      <c r="A374" s="251"/>
    </row>
    <row r="375">
      <c r="A375" s="251"/>
    </row>
    <row r="376">
      <c r="A376" s="251"/>
    </row>
    <row r="377">
      <c r="A377" s="251"/>
    </row>
    <row r="378">
      <c r="A378" s="251"/>
    </row>
    <row r="379">
      <c r="A379" s="251"/>
    </row>
    <row r="380">
      <c r="A380" s="251"/>
    </row>
    <row r="381">
      <c r="A381" s="251"/>
    </row>
    <row r="382">
      <c r="A382" s="251"/>
    </row>
    <row r="383">
      <c r="A383" s="251"/>
    </row>
    <row r="384">
      <c r="A384" s="251"/>
    </row>
    <row r="385">
      <c r="A385" s="251"/>
    </row>
    <row r="386">
      <c r="A386" s="251"/>
    </row>
    <row r="387">
      <c r="A387" s="251"/>
    </row>
    <row r="388">
      <c r="A388" s="251"/>
    </row>
    <row r="389">
      <c r="A389" s="251"/>
    </row>
    <row r="390">
      <c r="A390" s="251"/>
    </row>
    <row r="391">
      <c r="A391" s="251"/>
    </row>
    <row r="392">
      <c r="A392" s="251"/>
    </row>
    <row r="393">
      <c r="A393" s="251"/>
    </row>
    <row r="394">
      <c r="A394" s="251"/>
    </row>
    <row r="395">
      <c r="A395" s="251"/>
    </row>
    <row r="396">
      <c r="A396" s="251"/>
    </row>
    <row r="397">
      <c r="A397" s="251"/>
    </row>
    <row r="398">
      <c r="A398" s="251"/>
    </row>
    <row r="399">
      <c r="A399" s="251"/>
    </row>
    <row r="400">
      <c r="A400" s="251"/>
    </row>
    <row r="401">
      <c r="A401" s="251"/>
    </row>
    <row r="402">
      <c r="A402" s="251"/>
    </row>
    <row r="403">
      <c r="A403" s="251"/>
    </row>
    <row r="404">
      <c r="A404" s="251"/>
    </row>
    <row r="405">
      <c r="A405" s="251"/>
    </row>
    <row r="406">
      <c r="A406" s="251"/>
    </row>
    <row r="407">
      <c r="A407" s="251"/>
    </row>
    <row r="408">
      <c r="A408" s="251"/>
    </row>
    <row r="409">
      <c r="A409" s="251"/>
    </row>
    <row r="410">
      <c r="A410" s="251"/>
    </row>
    <row r="411">
      <c r="A411" s="251"/>
    </row>
    <row r="412">
      <c r="A412" s="251"/>
    </row>
    <row r="413">
      <c r="A413" s="251"/>
    </row>
    <row r="414">
      <c r="A414" s="251"/>
    </row>
    <row r="415">
      <c r="A415" s="251"/>
    </row>
    <row r="416">
      <c r="A416" s="251"/>
    </row>
    <row r="417">
      <c r="A417" s="251"/>
    </row>
    <row r="418">
      <c r="A418" s="251"/>
    </row>
    <row r="419">
      <c r="A419" s="251"/>
    </row>
    <row r="420">
      <c r="A420" s="251"/>
    </row>
    <row r="421">
      <c r="A421" s="251"/>
    </row>
    <row r="422">
      <c r="A422" s="251"/>
    </row>
    <row r="423">
      <c r="A423" s="251"/>
    </row>
    <row r="424">
      <c r="A424" s="251"/>
    </row>
    <row r="425">
      <c r="A425" s="251"/>
    </row>
    <row r="426">
      <c r="A426" s="251"/>
    </row>
    <row r="427">
      <c r="A427" s="251"/>
    </row>
    <row r="428">
      <c r="A428" s="251"/>
    </row>
    <row r="429">
      <c r="A429" s="251"/>
    </row>
    <row r="430">
      <c r="A430" s="251"/>
    </row>
    <row r="431">
      <c r="A431" s="251"/>
    </row>
    <row r="432">
      <c r="A432" s="251"/>
    </row>
    <row r="433">
      <c r="A433" s="251"/>
    </row>
    <row r="434">
      <c r="A434" s="251"/>
    </row>
    <row r="435">
      <c r="A435" s="251"/>
    </row>
    <row r="436">
      <c r="A436" s="251"/>
    </row>
    <row r="437">
      <c r="A437" s="251"/>
    </row>
    <row r="438">
      <c r="A438" s="251"/>
    </row>
    <row r="439">
      <c r="A439" s="251"/>
    </row>
    <row r="440">
      <c r="A440" s="251"/>
    </row>
    <row r="441">
      <c r="A441" s="251"/>
    </row>
    <row r="442">
      <c r="A442" s="251"/>
    </row>
    <row r="443">
      <c r="A443" s="251"/>
    </row>
    <row r="444">
      <c r="A444" s="251"/>
    </row>
    <row r="445">
      <c r="A445" s="251"/>
    </row>
    <row r="446">
      <c r="A446" s="251"/>
    </row>
    <row r="447">
      <c r="A447" s="251"/>
    </row>
    <row r="448">
      <c r="A448" s="251"/>
    </row>
    <row r="449">
      <c r="A449" s="251"/>
    </row>
    <row r="450">
      <c r="A450" s="251"/>
    </row>
    <row r="451">
      <c r="A451" s="251"/>
    </row>
    <row r="452">
      <c r="A452" s="251"/>
    </row>
    <row r="453">
      <c r="A453" s="251"/>
    </row>
    <row r="454">
      <c r="A454" s="251"/>
    </row>
    <row r="455">
      <c r="A455" s="251"/>
    </row>
    <row r="456">
      <c r="A456" s="251"/>
    </row>
    <row r="457">
      <c r="A457" s="251"/>
    </row>
    <row r="458">
      <c r="A458" s="251"/>
    </row>
    <row r="459">
      <c r="A459" s="251"/>
    </row>
    <row r="460">
      <c r="A460" s="251"/>
    </row>
    <row r="461">
      <c r="A461" s="251"/>
    </row>
    <row r="462">
      <c r="A462" s="251"/>
    </row>
    <row r="463">
      <c r="A463" s="251"/>
    </row>
    <row r="464">
      <c r="A464" s="251"/>
    </row>
    <row r="465">
      <c r="A465" s="251"/>
    </row>
    <row r="466">
      <c r="A466" s="251"/>
    </row>
    <row r="467">
      <c r="A467" s="251"/>
    </row>
    <row r="468">
      <c r="A468" s="251"/>
    </row>
    <row r="469">
      <c r="A469" s="251"/>
    </row>
    <row r="470">
      <c r="A470" s="251"/>
    </row>
    <row r="471">
      <c r="A471" s="251"/>
    </row>
    <row r="472">
      <c r="A472" s="251"/>
    </row>
    <row r="473">
      <c r="A473" s="251"/>
    </row>
    <row r="474">
      <c r="A474" s="251"/>
    </row>
    <row r="475">
      <c r="A475" s="251"/>
    </row>
    <row r="476">
      <c r="A476" s="251"/>
    </row>
    <row r="477">
      <c r="A477" s="251"/>
    </row>
    <row r="478">
      <c r="A478" s="251"/>
    </row>
    <row r="479">
      <c r="A479" s="251"/>
    </row>
    <row r="480">
      <c r="A480" s="251"/>
    </row>
    <row r="481">
      <c r="A481" s="251"/>
    </row>
    <row r="482">
      <c r="A482" s="251"/>
    </row>
    <row r="483">
      <c r="A483" s="251"/>
    </row>
    <row r="484">
      <c r="A484" s="251"/>
    </row>
    <row r="485">
      <c r="A485" s="251"/>
    </row>
    <row r="486">
      <c r="A486" s="251"/>
    </row>
    <row r="487">
      <c r="A487" s="251"/>
    </row>
    <row r="488">
      <c r="A488" s="251"/>
    </row>
    <row r="489">
      <c r="A489" s="251"/>
    </row>
    <row r="490">
      <c r="A490" s="251"/>
    </row>
    <row r="491">
      <c r="A491" s="251"/>
    </row>
    <row r="492">
      <c r="A492" s="251"/>
    </row>
    <row r="493">
      <c r="A493" s="251"/>
    </row>
    <row r="494">
      <c r="A494" s="251"/>
    </row>
    <row r="495">
      <c r="A495" s="251"/>
    </row>
    <row r="496">
      <c r="A496" s="251"/>
    </row>
    <row r="497">
      <c r="A497" s="251"/>
    </row>
    <row r="498">
      <c r="A498" s="251"/>
    </row>
    <row r="499">
      <c r="A499" s="251"/>
    </row>
    <row r="500">
      <c r="A500" s="251"/>
    </row>
    <row r="501">
      <c r="A501" s="251"/>
    </row>
    <row r="502">
      <c r="A502" s="251"/>
    </row>
    <row r="503">
      <c r="A503" s="251"/>
    </row>
    <row r="504">
      <c r="A504" s="251"/>
    </row>
    <row r="505">
      <c r="A505" s="251"/>
    </row>
    <row r="506">
      <c r="A506" s="251"/>
    </row>
    <row r="507">
      <c r="A507" s="251"/>
    </row>
    <row r="508">
      <c r="A508" s="251"/>
    </row>
    <row r="509">
      <c r="A509" s="251"/>
    </row>
    <row r="510">
      <c r="A510" s="251"/>
    </row>
    <row r="511">
      <c r="A511" s="251"/>
    </row>
    <row r="512">
      <c r="A512" s="251"/>
    </row>
    <row r="513">
      <c r="A513" s="251"/>
    </row>
    <row r="514">
      <c r="A514" s="251"/>
    </row>
    <row r="515">
      <c r="A515" s="251"/>
    </row>
    <row r="516">
      <c r="A516" s="251"/>
    </row>
    <row r="517">
      <c r="A517" s="251"/>
    </row>
    <row r="518">
      <c r="A518" s="251"/>
    </row>
    <row r="519">
      <c r="A519" s="251"/>
    </row>
    <row r="520">
      <c r="A520" s="251"/>
    </row>
    <row r="521">
      <c r="A521" s="251"/>
    </row>
    <row r="522">
      <c r="A522" s="251"/>
    </row>
    <row r="523">
      <c r="A523" s="251"/>
    </row>
    <row r="524">
      <c r="A524" s="251"/>
    </row>
    <row r="525">
      <c r="A525" s="251"/>
    </row>
    <row r="526">
      <c r="A526" s="251"/>
    </row>
    <row r="527">
      <c r="A527" s="251"/>
    </row>
    <row r="528">
      <c r="A528" s="251"/>
    </row>
    <row r="529">
      <c r="A529" s="251"/>
    </row>
    <row r="530">
      <c r="A530" s="251"/>
    </row>
    <row r="531">
      <c r="A531" s="251"/>
    </row>
    <row r="532">
      <c r="A532" s="251"/>
    </row>
    <row r="533">
      <c r="A533" s="251"/>
    </row>
    <row r="534">
      <c r="A534" s="251"/>
    </row>
    <row r="535">
      <c r="A535" s="251"/>
    </row>
    <row r="536">
      <c r="A536" s="251"/>
    </row>
    <row r="537">
      <c r="A537" s="251"/>
    </row>
    <row r="538">
      <c r="A538" s="251"/>
    </row>
    <row r="539">
      <c r="A539" s="251"/>
    </row>
    <row r="540">
      <c r="A540" s="251"/>
    </row>
    <row r="541">
      <c r="A541" s="251"/>
    </row>
    <row r="542">
      <c r="A542" s="251"/>
    </row>
    <row r="543">
      <c r="A543" s="251"/>
    </row>
    <row r="544">
      <c r="A544" s="251"/>
    </row>
    <row r="545">
      <c r="A545" s="251"/>
    </row>
    <row r="546">
      <c r="A546" s="251"/>
    </row>
    <row r="547">
      <c r="A547" s="251"/>
    </row>
    <row r="548">
      <c r="A548" s="251"/>
    </row>
    <row r="549">
      <c r="A549" s="251"/>
    </row>
    <row r="550">
      <c r="A550" s="251"/>
    </row>
    <row r="551">
      <c r="A551" s="251"/>
    </row>
    <row r="552">
      <c r="A552" s="251"/>
    </row>
    <row r="553">
      <c r="A553" s="251"/>
    </row>
    <row r="554">
      <c r="A554" s="251"/>
    </row>
    <row r="555">
      <c r="A555" s="251"/>
    </row>
    <row r="556">
      <c r="A556" s="251"/>
    </row>
    <row r="557">
      <c r="A557" s="251"/>
    </row>
    <row r="558">
      <c r="A558" s="251"/>
    </row>
    <row r="559">
      <c r="A559" s="251"/>
    </row>
    <row r="560">
      <c r="A560" s="251"/>
    </row>
    <row r="561">
      <c r="A561" s="251"/>
    </row>
    <row r="562">
      <c r="A562" s="251"/>
    </row>
    <row r="563">
      <c r="A563" s="251"/>
    </row>
    <row r="564">
      <c r="A564" s="251"/>
    </row>
    <row r="565">
      <c r="A565" s="251"/>
    </row>
    <row r="566">
      <c r="A566" s="251"/>
    </row>
    <row r="567">
      <c r="A567" s="251"/>
    </row>
    <row r="568">
      <c r="A568" s="251"/>
    </row>
    <row r="569">
      <c r="A569" s="251"/>
    </row>
    <row r="570">
      <c r="A570" s="251"/>
    </row>
    <row r="571">
      <c r="A571" s="251"/>
    </row>
    <row r="572">
      <c r="A572" s="251"/>
    </row>
    <row r="573">
      <c r="A573" s="251"/>
    </row>
    <row r="574">
      <c r="A574" s="251"/>
    </row>
    <row r="575">
      <c r="A575" s="251"/>
    </row>
    <row r="576">
      <c r="A576" s="251"/>
    </row>
    <row r="577">
      <c r="A577" s="251"/>
    </row>
    <row r="578">
      <c r="A578" s="251"/>
    </row>
    <row r="579">
      <c r="A579" s="251"/>
    </row>
    <row r="580">
      <c r="A580" s="251"/>
    </row>
    <row r="581">
      <c r="A581" s="251"/>
    </row>
    <row r="582">
      <c r="A582" s="251"/>
    </row>
    <row r="583">
      <c r="A583" s="251"/>
    </row>
    <row r="584">
      <c r="A584" s="251"/>
    </row>
    <row r="585">
      <c r="A585" s="251"/>
    </row>
    <row r="586">
      <c r="A586" s="251"/>
    </row>
    <row r="587">
      <c r="A587" s="251"/>
    </row>
    <row r="588">
      <c r="A588" s="251"/>
    </row>
    <row r="589">
      <c r="A589" s="251"/>
    </row>
    <row r="590">
      <c r="A590" s="251"/>
    </row>
    <row r="591">
      <c r="A591" s="251"/>
    </row>
    <row r="592">
      <c r="A592" s="251"/>
    </row>
    <row r="593">
      <c r="A593" s="251"/>
    </row>
    <row r="594">
      <c r="A594" s="251"/>
    </row>
    <row r="595">
      <c r="A595" s="251"/>
    </row>
    <row r="596">
      <c r="A596" s="251"/>
    </row>
    <row r="597">
      <c r="A597" s="251"/>
    </row>
    <row r="598">
      <c r="A598" s="251"/>
    </row>
    <row r="599">
      <c r="A599" s="251"/>
    </row>
    <row r="600">
      <c r="A600" s="251"/>
    </row>
    <row r="601">
      <c r="A601" s="251"/>
    </row>
    <row r="602">
      <c r="A602" s="251"/>
    </row>
    <row r="603">
      <c r="A603" s="251"/>
    </row>
    <row r="604">
      <c r="A604" s="251"/>
    </row>
    <row r="605">
      <c r="A605" s="251"/>
    </row>
    <row r="606">
      <c r="A606" s="251"/>
    </row>
    <row r="607">
      <c r="A607" s="251"/>
    </row>
    <row r="608">
      <c r="A608" s="251"/>
    </row>
    <row r="609">
      <c r="A609" s="251"/>
    </row>
    <row r="610">
      <c r="A610" s="251"/>
    </row>
    <row r="611">
      <c r="A611" s="251"/>
    </row>
    <row r="612">
      <c r="A612" s="251"/>
    </row>
    <row r="613">
      <c r="A613" s="251"/>
    </row>
    <row r="614">
      <c r="A614" s="251"/>
    </row>
    <row r="615">
      <c r="A615" s="251"/>
    </row>
    <row r="616">
      <c r="A616" s="251"/>
    </row>
    <row r="617">
      <c r="A617" s="251"/>
    </row>
    <row r="618">
      <c r="A618" s="251"/>
    </row>
    <row r="619">
      <c r="A619" s="251"/>
    </row>
    <row r="620">
      <c r="A620" s="251"/>
    </row>
    <row r="621">
      <c r="A621" s="251"/>
    </row>
    <row r="622">
      <c r="A622" s="251"/>
    </row>
    <row r="623">
      <c r="A623" s="251"/>
    </row>
    <row r="624">
      <c r="A624" s="251"/>
    </row>
    <row r="625">
      <c r="A625" s="251"/>
    </row>
    <row r="626">
      <c r="A626" s="251"/>
    </row>
    <row r="627">
      <c r="A627" s="251"/>
    </row>
    <row r="628">
      <c r="A628" s="251"/>
    </row>
    <row r="629">
      <c r="A629" s="251"/>
    </row>
    <row r="630">
      <c r="A630" s="251"/>
    </row>
    <row r="631">
      <c r="A631" s="251"/>
    </row>
    <row r="632">
      <c r="A632" s="251"/>
    </row>
    <row r="633">
      <c r="A633" s="251"/>
    </row>
    <row r="634">
      <c r="A634" s="251"/>
    </row>
    <row r="635">
      <c r="A635" s="251"/>
    </row>
    <row r="636">
      <c r="A636" s="251"/>
    </row>
    <row r="637">
      <c r="A637" s="251"/>
    </row>
    <row r="638">
      <c r="A638" s="251"/>
    </row>
    <row r="639">
      <c r="A639" s="251"/>
    </row>
    <row r="640">
      <c r="A640" s="251"/>
    </row>
    <row r="641">
      <c r="A641" s="251"/>
    </row>
    <row r="642">
      <c r="A642" s="251"/>
    </row>
    <row r="643">
      <c r="A643" s="251"/>
    </row>
    <row r="644">
      <c r="A644" s="251"/>
    </row>
    <row r="645">
      <c r="A645" s="251"/>
    </row>
    <row r="646">
      <c r="A646" s="251"/>
    </row>
    <row r="647">
      <c r="A647" s="251"/>
    </row>
    <row r="648">
      <c r="A648" s="251"/>
    </row>
    <row r="649">
      <c r="A649" s="251"/>
    </row>
    <row r="650">
      <c r="A650" s="251"/>
    </row>
    <row r="651">
      <c r="A651" s="251"/>
    </row>
    <row r="652">
      <c r="A652" s="251"/>
    </row>
    <row r="653">
      <c r="A653" s="251"/>
    </row>
    <row r="654">
      <c r="A654" s="251"/>
    </row>
    <row r="655">
      <c r="A655" s="251"/>
    </row>
    <row r="656">
      <c r="A656" s="251"/>
    </row>
    <row r="657">
      <c r="A657" s="251"/>
    </row>
    <row r="658">
      <c r="A658" s="251"/>
    </row>
    <row r="659">
      <c r="A659" s="251"/>
    </row>
    <row r="660">
      <c r="A660" s="251"/>
    </row>
    <row r="661">
      <c r="A661" s="251"/>
    </row>
    <row r="662">
      <c r="A662" s="251"/>
    </row>
    <row r="663">
      <c r="A663" s="251"/>
    </row>
    <row r="664">
      <c r="A664" s="251"/>
    </row>
    <row r="665">
      <c r="A665" s="251"/>
    </row>
    <row r="666">
      <c r="A666" s="251"/>
    </row>
    <row r="667">
      <c r="A667" s="251"/>
    </row>
    <row r="668">
      <c r="A668" s="251"/>
    </row>
    <row r="669">
      <c r="A669" s="251"/>
    </row>
    <row r="670">
      <c r="A670" s="251"/>
    </row>
    <row r="671">
      <c r="A671" s="251"/>
    </row>
    <row r="672">
      <c r="A672" s="251"/>
    </row>
    <row r="673">
      <c r="A673" s="251"/>
    </row>
    <row r="674">
      <c r="A674" s="251"/>
    </row>
    <row r="675">
      <c r="A675" s="251"/>
    </row>
    <row r="676">
      <c r="A676" s="251"/>
    </row>
    <row r="677">
      <c r="A677" s="251"/>
    </row>
    <row r="678">
      <c r="A678" s="251"/>
    </row>
    <row r="679">
      <c r="A679" s="251"/>
    </row>
    <row r="680">
      <c r="A680" s="251"/>
    </row>
    <row r="681">
      <c r="A681" s="251"/>
    </row>
    <row r="682">
      <c r="A682" s="251"/>
    </row>
    <row r="683">
      <c r="A683" s="251"/>
    </row>
    <row r="684">
      <c r="A684" s="251"/>
    </row>
    <row r="685">
      <c r="A685" s="251"/>
    </row>
    <row r="686">
      <c r="A686" s="251"/>
    </row>
    <row r="687">
      <c r="A687" s="251"/>
    </row>
    <row r="688">
      <c r="A688" s="251"/>
    </row>
    <row r="689">
      <c r="A689" s="251"/>
    </row>
    <row r="690">
      <c r="A690" s="251"/>
    </row>
    <row r="691">
      <c r="A691" s="251"/>
    </row>
    <row r="692">
      <c r="A692" s="251"/>
    </row>
    <row r="693">
      <c r="A693" s="251"/>
    </row>
    <row r="694">
      <c r="A694" s="251"/>
    </row>
    <row r="695">
      <c r="A695" s="251"/>
    </row>
    <row r="696">
      <c r="A696" s="251"/>
    </row>
    <row r="697">
      <c r="A697" s="251"/>
    </row>
    <row r="698">
      <c r="A698" s="251"/>
    </row>
    <row r="699">
      <c r="A699" s="251"/>
    </row>
    <row r="700">
      <c r="A700" s="251"/>
    </row>
    <row r="701">
      <c r="A701" s="251"/>
    </row>
    <row r="702">
      <c r="A702" s="251"/>
    </row>
    <row r="703">
      <c r="A703" s="251"/>
    </row>
    <row r="704">
      <c r="A704" s="251"/>
    </row>
    <row r="705">
      <c r="A705" s="251"/>
    </row>
    <row r="706">
      <c r="A706" s="251"/>
    </row>
    <row r="707">
      <c r="A707" s="251"/>
    </row>
    <row r="708">
      <c r="A708" s="251"/>
    </row>
    <row r="709">
      <c r="A709" s="251"/>
    </row>
    <row r="710">
      <c r="A710" s="251"/>
    </row>
    <row r="711">
      <c r="A711" s="251"/>
    </row>
    <row r="712">
      <c r="A712" s="251"/>
    </row>
    <row r="713">
      <c r="A713" s="251"/>
    </row>
    <row r="714">
      <c r="A714" s="251"/>
    </row>
    <row r="715">
      <c r="A715" s="251"/>
    </row>
    <row r="716">
      <c r="A716" s="251"/>
    </row>
    <row r="717">
      <c r="A717" s="251"/>
    </row>
    <row r="718">
      <c r="A718" s="251"/>
    </row>
    <row r="719">
      <c r="A719" s="251"/>
    </row>
    <row r="720">
      <c r="A720" s="251"/>
    </row>
    <row r="721">
      <c r="A721" s="251"/>
    </row>
    <row r="722">
      <c r="A722" s="251"/>
    </row>
    <row r="723">
      <c r="A723" s="251"/>
    </row>
    <row r="724">
      <c r="A724" s="251"/>
    </row>
    <row r="725">
      <c r="A725" s="251"/>
    </row>
    <row r="726">
      <c r="A726" s="251"/>
    </row>
    <row r="727">
      <c r="A727" s="251"/>
    </row>
    <row r="728">
      <c r="A728" s="251"/>
    </row>
    <row r="729">
      <c r="A729" s="251"/>
    </row>
    <row r="730">
      <c r="A730" s="251"/>
    </row>
    <row r="731">
      <c r="A731" s="251"/>
    </row>
    <row r="732">
      <c r="A732" s="251"/>
    </row>
    <row r="733">
      <c r="A733" s="251"/>
    </row>
    <row r="734">
      <c r="A734" s="251"/>
    </row>
    <row r="735">
      <c r="A735" s="251"/>
    </row>
    <row r="736">
      <c r="A736" s="251"/>
    </row>
    <row r="737">
      <c r="A737" s="251"/>
    </row>
    <row r="738">
      <c r="A738" s="251"/>
    </row>
    <row r="739">
      <c r="A739" s="251"/>
    </row>
    <row r="740">
      <c r="A740" s="251"/>
    </row>
    <row r="741">
      <c r="A741" s="251"/>
    </row>
    <row r="742">
      <c r="A742" s="251"/>
    </row>
    <row r="743">
      <c r="A743" s="251"/>
    </row>
    <row r="744">
      <c r="A744" s="251"/>
    </row>
    <row r="745">
      <c r="A745" s="251"/>
    </row>
    <row r="746">
      <c r="A746" s="251"/>
    </row>
    <row r="747">
      <c r="A747" s="251"/>
    </row>
    <row r="748">
      <c r="A748" s="251"/>
    </row>
    <row r="749">
      <c r="A749" s="251"/>
    </row>
    <row r="750">
      <c r="A750" s="251"/>
    </row>
    <row r="751">
      <c r="A751" s="251"/>
    </row>
    <row r="752">
      <c r="A752" s="251"/>
    </row>
    <row r="753">
      <c r="A753" s="251"/>
    </row>
    <row r="754">
      <c r="A754" s="251"/>
    </row>
    <row r="755">
      <c r="A755" s="251"/>
    </row>
    <row r="756">
      <c r="A756" s="251"/>
    </row>
    <row r="757">
      <c r="A757" s="251"/>
    </row>
    <row r="758">
      <c r="A758" s="251"/>
    </row>
    <row r="759">
      <c r="A759" s="251"/>
    </row>
    <row r="760">
      <c r="A760" s="251"/>
    </row>
    <row r="761">
      <c r="A761" s="251"/>
    </row>
    <row r="762">
      <c r="A762" s="251"/>
    </row>
    <row r="763">
      <c r="A763" s="251"/>
    </row>
    <row r="764">
      <c r="A764" s="251"/>
    </row>
    <row r="765">
      <c r="A765" s="251"/>
    </row>
    <row r="766">
      <c r="A766" s="251"/>
    </row>
    <row r="767">
      <c r="A767" s="251"/>
    </row>
    <row r="768">
      <c r="A768" s="251"/>
    </row>
    <row r="769">
      <c r="A769" s="251"/>
    </row>
    <row r="770">
      <c r="A770" s="251"/>
    </row>
    <row r="771">
      <c r="A771" s="251"/>
    </row>
    <row r="772">
      <c r="A772" s="251"/>
    </row>
    <row r="773">
      <c r="A773" s="251"/>
    </row>
    <row r="774">
      <c r="A774" s="251"/>
    </row>
    <row r="775">
      <c r="A775" s="251"/>
    </row>
    <row r="776">
      <c r="A776" s="251"/>
    </row>
    <row r="777">
      <c r="A777" s="251"/>
    </row>
    <row r="778">
      <c r="A778" s="251"/>
    </row>
    <row r="779">
      <c r="A779" s="251"/>
    </row>
    <row r="780">
      <c r="A780" s="251"/>
    </row>
    <row r="781">
      <c r="A781" s="251"/>
    </row>
    <row r="782">
      <c r="A782" s="251"/>
    </row>
    <row r="783">
      <c r="A783" s="251"/>
    </row>
    <row r="784">
      <c r="A784" s="251"/>
    </row>
    <row r="785">
      <c r="A785" s="251"/>
    </row>
    <row r="786">
      <c r="A786" s="251"/>
    </row>
    <row r="787">
      <c r="A787" s="251"/>
    </row>
    <row r="788">
      <c r="A788" s="251"/>
    </row>
    <row r="789">
      <c r="A789" s="251"/>
    </row>
    <row r="790">
      <c r="A790" s="251"/>
    </row>
    <row r="791">
      <c r="A791" s="251"/>
    </row>
    <row r="792">
      <c r="A792" s="251"/>
    </row>
    <row r="793">
      <c r="A793" s="251"/>
    </row>
    <row r="794">
      <c r="A794" s="251"/>
    </row>
    <row r="795">
      <c r="A795" s="251"/>
    </row>
    <row r="796">
      <c r="A796" s="251"/>
    </row>
    <row r="797">
      <c r="A797" s="251"/>
    </row>
    <row r="798">
      <c r="A798" s="251"/>
    </row>
    <row r="799">
      <c r="A799" s="251"/>
    </row>
    <row r="800">
      <c r="A800" s="251"/>
    </row>
    <row r="801">
      <c r="A801" s="251"/>
    </row>
    <row r="802">
      <c r="A802" s="251"/>
    </row>
    <row r="803">
      <c r="A803" s="251"/>
    </row>
    <row r="804">
      <c r="A804" s="251"/>
    </row>
    <row r="805">
      <c r="A805" s="251"/>
    </row>
    <row r="806">
      <c r="A806" s="251"/>
    </row>
    <row r="807">
      <c r="A807" s="251"/>
    </row>
    <row r="808">
      <c r="A808" s="251"/>
    </row>
    <row r="809">
      <c r="A809" s="251"/>
    </row>
    <row r="810">
      <c r="A810" s="251"/>
    </row>
    <row r="811">
      <c r="A811" s="251"/>
    </row>
    <row r="812">
      <c r="A812" s="251"/>
    </row>
    <row r="813">
      <c r="A813" s="251"/>
    </row>
    <row r="814">
      <c r="A814" s="251"/>
    </row>
    <row r="815">
      <c r="A815" s="251"/>
    </row>
    <row r="816">
      <c r="A816" s="251"/>
    </row>
    <row r="817">
      <c r="A817" s="251"/>
    </row>
    <row r="818">
      <c r="A818" s="251"/>
    </row>
    <row r="819">
      <c r="A819" s="251"/>
    </row>
    <row r="820">
      <c r="A820" s="251"/>
    </row>
    <row r="821">
      <c r="A821" s="251"/>
    </row>
    <row r="822">
      <c r="A822" s="251"/>
    </row>
    <row r="823">
      <c r="A823" s="251"/>
    </row>
    <row r="824">
      <c r="A824" s="251"/>
    </row>
    <row r="825">
      <c r="A825" s="251"/>
    </row>
    <row r="826">
      <c r="A826" s="251"/>
    </row>
    <row r="827">
      <c r="A827" s="251"/>
    </row>
    <row r="828">
      <c r="A828" s="251"/>
    </row>
    <row r="829">
      <c r="A829" s="251"/>
    </row>
    <row r="830">
      <c r="A830" s="251"/>
    </row>
    <row r="831">
      <c r="A831" s="251"/>
    </row>
    <row r="832">
      <c r="A832" s="251"/>
    </row>
    <row r="833">
      <c r="A833" s="251"/>
    </row>
    <row r="834">
      <c r="A834" s="251"/>
    </row>
    <row r="835">
      <c r="A835" s="251"/>
    </row>
    <row r="836">
      <c r="A836" s="251"/>
    </row>
    <row r="837">
      <c r="A837" s="251"/>
    </row>
    <row r="838">
      <c r="A838" s="251"/>
    </row>
    <row r="839">
      <c r="A839" s="251"/>
    </row>
    <row r="840">
      <c r="A840" s="251"/>
    </row>
    <row r="841">
      <c r="A841" s="251"/>
    </row>
    <row r="842">
      <c r="A842" s="251"/>
    </row>
    <row r="843">
      <c r="A843" s="251"/>
    </row>
    <row r="844">
      <c r="A844" s="251"/>
    </row>
    <row r="845">
      <c r="A845" s="251"/>
    </row>
    <row r="846">
      <c r="A846" s="251"/>
    </row>
    <row r="847">
      <c r="A847" s="251"/>
    </row>
    <row r="848">
      <c r="A848" s="251"/>
    </row>
    <row r="849">
      <c r="A849" s="251"/>
    </row>
    <row r="850">
      <c r="A850" s="251"/>
    </row>
    <row r="851">
      <c r="A851" s="251"/>
    </row>
    <row r="852">
      <c r="A852" s="251"/>
    </row>
    <row r="853">
      <c r="A853" s="251"/>
    </row>
    <row r="854">
      <c r="A854" s="251"/>
    </row>
    <row r="855">
      <c r="A855" s="251"/>
    </row>
    <row r="856">
      <c r="A856" s="251"/>
    </row>
    <row r="857">
      <c r="A857" s="251"/>
    </row>
    <row r="858">
      <c r="A858" s="251"/>
    </row>
    <row r="859">
      <c r="A859" s="251"/>
    </row>
    <row r="860">
      <c r="A860" s="251"/>
    </row>
    <row r="861">
      <c r="A861" s="251"/>
    </row>
    <row r="862">
      <c r="A862" s="251"/>
    </row>
    <row r="863">
      <c r="A863" s="251"/>
    </row>
    <row r="864">
      <c r="A864" s="251"/>
    </row>
    <row r="865">
      <c r="A865" s="251"/>
    </row>
    <row r="866">
      <c r="A866" s="251"/>
    </row>
    <row r="867">
      <c r="A867" s="251"/>
    </row>
    <row r="868">
      <c r="A868" s="251"/>
    </row>
    <row r="869">
      <c r="A869" s="251"/>
    </row>
    <row r="870">
      <c r="A870" s="251"/>
    </row>
    <row r="871">
      <c r="A871" s="251"/>
    </row>
    <row r="872">
      <c r="A872" s="251"/>
    </row>
    <row r="873">
      <c r="A873" s="251"/>
    </row>
    <row r="874">
      <c r="A874" s="251"/>
    </row>
    <row r="875">
      <c r="A875" s="251"/>
    </row>
    <row r="876">
      <c r="A876" s="251"/>
    </row>
    <row r="877">
      <c r="A877" s="251"/>
    </row>
    <row r="878">
      <c r="A878" s="251"/>
    </row>
    <row r="879">
      <c r="A879" s="251"/>
    </row>
    <row r="880">
      <c r="A880" s="251"/>
    </row>
    <row r="881">
      <c r="A881" s="251"/>
    </row>
    <row r="882">
      <c r="A882" s="251"/>
    </row>
    <row r="883">
      <c r="A883" s="251"/>
    </row>
    <row r="884">
      <c r="A884" s="251"/>
    </row>
    <row r="885">
      <c r="A885" s="251"/>
    </row>
    <row r="886">
      <c r="A886" s="251"/>
    </row>
    <row r="887">
      <c r="A887" s="251"/>
    </row>
    <row r="888">
      <c r="A888" s="251"/>
    </row>
    <row r="889">
      <c r="A889" s="251"/>
    </row>
    <row r="890">
      <c r="A890" s="251"/>
    </row>
    <row r="891">
      <c r="A891" s="251"/>
    </row>
    <row r="892">
      <c r="A892" s="251"/>
    </row>
    <row r="893">
      <c r="A893" s="251"/>
    </row>
    <row r="894">
      <c r="A894" s="251"/>
    </row>
    <row r="895">
      <c r="A895" s="251"/>
    </row>
    <row r="896">
      <c r="A896" s="251"/>
    </row>
    <row r="897">
      <c r="A897" s="251"/>
    </row>
    <row r="898">
      <c r="A898" s="251"/>
    </row>
    <row r="899">
      <c r="A899" s="251"/>
    </row>
    <row r="900">
      <c r="A900" s="251"/>
    </row>
    <row r="901">
      <c r="A901" s="251"/>
    </row>
    <row r="902">
      <c r="A902" s="251"/>
    </row>
    <row r="903">
      <c r="A903" s="251"/>
    </row>
    <row r="904">
      <c r="A904" s="251"/>
    </row>
    <row r="905">
      <c r="A905" s="251"/>
    </row>
    <row r="906">
      <c r="A906" s="251"/>
    </row>
    <row r="907">
      <c r="A907" s="251"/>
    </row>
    <row r="908">
      <c r="A908" s="251"/>
    </row>
    <row r="909">
      <c r="A909" s="251"/>
    </row>
    <row r="910">
      <c r="A910" s="251"/>
    </row>
    <row r="911">
      <c r="A911" s="251"/>
    </row>
    <row r="912">
      <c r="A912" s="251"/>
    </row>
    <row r="913">
      <c r="A913" s="251"/>
    </row>
    <row r="914">
      <c r="A914" s="251"/>
    </row>
    <row r="915">
      <c r="A915" s="251"/>
    </row>
    <row r="916">
      <c r="A916" s="251"/>
    </row>
    <row r="917">
      <c r="A917" s="251"/>
    </row>
    <row r="918">
      <c r="A918" s="251"/>
    </row>
    <row r="919">
      <c r="A919" s="251"/>
    </row>
    <row r="920">
      <c r="A920" s="251"/>
    </row>
    <row r="921">
      <c r="A921" s="251"/>
    </row>
    <row r="922">
      <c r="A922" s="251"/>
    </row>
    <row r="923">
      <c r="A923" s="251"/>
    </row>
    <row r="924">
      <c r="A924" s="251"/>
    </row>
    <row r="925">
      <c r="A925" s="251"/>
    </row>
    <row r="926">
      <c r="A926" s="251"/>
    </row>
    <row r="927">
      <c r="A927" s="251"/>
    </row>
    <row r="928">
      <c r="A928" s="251"/>
    </row>
    <row r="929">
      <c r="A929" s="251"/>
    </row>
    <row r="930">
      <c r="A930" s="251"/>
    </row>
    <row r="931">
      <c r="A931" s="251"/>
    </row>
    <row r="932">
      <c r="A932" s="251"/>
    </row>
    <row r="933">
      <c r="A933" s="251"/>
    </row>
    <row r="934">
      <c r="A934" s="251"/>
    </row>
    <row r="935">
      <c r="A935" s="251"/>
    </row>
    <row r="936">
      <c r="A936" s="251"/>
    </row>
    <row r="937">
      <c r="A937" s="251"/>
    </row>
    <row r="938">
      <c r="A938" s="251"/>
    </row>
    <row r="939">
      <c r="A939" s="251"/>
    </row>
    <row r="940">
      <c r="A940" s="251"/>
    </row>
    <row r="941">
      <c r="A941" s="251"/>
    </row>
    <row r="942">
      <c r="A942" s="251"/>
    </row>
    <row r="943">
      <c r="A943" s="251"/>
    </row>
    <row r="944">
      <c r="A944" s="251"/>
    </row>
    <row r="945">
      <c r="A945" s="251"/>
    </row>
    <row r="946">
      <c r="A946" s="251"/>
    </row>
    <row r="947">
      <c r="A947" s="251"/>
    </row>
    <row r="948">
      <c r="A948" s="251"/>
    </row>
    <row r="949">
      <c r="A949" s="251"/>
    </row>
    <row r="950">
      <c r="A950" s="251"/>
    </row>
    <row r="951">
      <c r="A951" s="251"/>
    </row>
    <row r="952">
      <c r="A952" s="251"/>
    </row>
    <row r="953">
      <c r="A953" s="251"/>
    </row>
    <row r="954">
      <c r="A954" s="251"/>
    </row>
    <row r="955">
      <c r="A955" s="251"/>
    </row>
    <row r="956">
      <c r="A956" s="251"/>
    </row>
    <row r="957">
      <c r="A957" s="251"/>
    </row>
    <row r="958">
      <c r="A958" s="251"/>
    </row>
    <row r="959">
      <c r="A959" s="251"/>
    </row>
    <row r="960">
      <c r="A960" s="251"/>
    </row>
    <row r="961">
      <c r="A961" s="251"/>
    </row>
    <row r="962">
      <c r="A962" s="251"/>
    </row>
    <row r="963">
      <c r="A963" s="251"/>
    </row>
    <row r="964">
      <c r="A964" s="251"/>
    </row>
    <row r="965">
      <c r="A965" s="251"/>
    </row>
    <row r="966">
      <c r="A966" s="251"/>
    </row>
    <row r="967">
      <c r="A967" s="251"/>
    </row>
    <row r="968">
      <c r="A968" s="251"/>
    </row>
    <row r="969">
      <c r="A969" s="251"/>
    </row>
    <row r="970">
      <c r="A970" s="251"/>
    </row>
    <row r="971">
      <c r="A971" s="251"/>
    </row>
    <row r="972">
      <c r="A972" s="251"/>
    </row>
    <row r="973">
      <c r="A973" s="251"/>
    </row>
    <row r="974">
      <c r="A974" s="251"/>
    </row>
    <row r="975">
      <c r="A975" s="251"/>
    </row>
    <row r="976">
      <c r="A976" s="251"/>
    </row>
    <row r="977">
      <c r="A977" s="251"/>
    </row>
    <row r="978">
      <c r="A978" s="251"/>
    </row>
    <row r="979">
      <c r="A979" s="251"/>
    </row>
    <row r="980">
      <c r="A980" s="251"/>
    </row>
    <row r="981">
      <c r="A981" s="251"/>
    </row>
    <row r="982">
      <c r="A982" s="251"/>
    </row>
    <row r="983">
      <c r="A983" s="251"/>
    </row>
    <row r="984">
      <c r="A984" s="251"/>
    </row>
    <row r="985">
      <c r="A985" s="251"/>
    </row>
    <row r="986">
      <c r="A986" s="251"/>
    </row>
    <row r="987">
      <c r="A987" s="251"/>
    </row>
    <row r="988">
      <c r="A988" s="251"/>
    </row>
    <row r="989">
      <c r="A989" s="251"/>
    </row>
    <row r="990">
      <c r="A990" s="251"/>
    </row>
  </sheetData>
  <mergeCells count="1">
    <mergeCell ref="A21:D2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</cols>
  <sheetData>
    <row r="1">
      <c r="A1" s="281" t="s">
        <v>318</v>
      </c>
      <c r="B1" s="68" t="s">
        <v>304</v>
      </c>
      <c r="C1" s="68" t="s">
        <v>319</v>
      </c>
      <c r="D1" s="68" t="s">
        <v>4</v>
      </c>
      <c r="E1" s="54" t="s">
        <v>5</v>
      </c>
      <c r="F1" s="253" t="s">
        <v>9</v>
      </c>
      <c r="G1" s="398" t="s">
        <v>320</v>
      </c>
    </row>
    <row r="2">
      <c r="A2" s="54" t="s">
        <v>147</v>
      </c>
      <c r="B2" s="71">
        <v>18724.0</v>
      </c>
      <c r="C2" s="71">
        <f>'Исходные данные'!B60</f>
        <v>18724</v>
      </c>
      <c r="D2" s="134">
        <f>2145371+42000+30000</f>
        <v>2217371</v>
      </c>
      <c r="E2" s="249">
        <v>12.0</v>
      </c>
      <c r="F2" s="72"/>
      <c r="G2" s="399">
        <f t="shared" ref="G2:G3" si="1">D2/E2</f>
        <v>184780.9167</v>
      </c>
    </row>
    <row r="3">
      <c r="A3" s="54" t="s">
        <v>321</v>
      </c>
      <c r="B3" s="134"/>
      <c r="C3" s="71"/>
      <c r="D3" s="71">
        <f>10000+5200</f>
        <v>15200</v>
      </c>
      <c r="E3" s="249">
        <v>12.0</v>
      </c>
      <c r="F3" s="72"/>
      <c r="G3" s="399">
        <f t="shared" si="1"/>
        <v>1266.666667</v>
      </c>
    </row>
    <row r="4">
      <c r="A4" s="68" t="s">
        <v>152</v>
      </c>
      <c r="B4" s="260"/>
      <c r="C4" s="71"/>
      <c r="D4" s="71"/>
      <c r="E4" s="249"/>
      <c r="F4" s="71">
        <f>'Общие расходы ГЭ'!G16</f>
        <v>9.195626292</v>
      </c>
      <c r="G4" s="399">
        <f>B4*F4</f>
        <v>0</v>
      </c>
    </row>
    <row r="5">
      <c r="A5" s="194"/>
      <c r="B5" s="400"/>
      <c r="C5" s="400"/>
      <c r="D5" s="400"/>
      <c r="E5" s="401"/>
      <c r="F5" s="402"/>
      <c r="G5" s="403">
        <f>SUM(G2:G4)</f>
        <v>186047.5833</v>
      </c>
    </row>
    <row r="6">
      <c r="B6" s="178"/>
      <c r="C6" s="178"/>
      <c r="D6" s="178"/>
      <c r="E6" s="235"/>
      <c r="F6" s="179"/>
      <c r="G6" s="235"/>
    </row>
    <row r="7">
      <c r="B7" s="178"/>
      <c r="C7" s="178"/>
      <c r="D7" s="178"/>
      <c r="E7" s="235"/>
      <c r="F7" s="179"/>
      <c r="G7" s="235"/>
    </row>
    <row r="8">
      <c r="B8" s="179"/>
      <c r="C8" s="179"/>
      <c r="D8" s="179"/>
      <c r="E8" s="235"/>
      <c r="F8" s="179"/>
      <c r="G8" s="235"/>
    </row>
    <row r="9">
      <c r="B9" s="179"/>
      <c r="C9" s="179"/>
      <c r="D9" s="179"/>
      <c r="E9" s="235"/>
      <c r="F9" s="179"/>
      <c r="G9" s="235"/>
    </row>
    <row r="10">
      <c r="B10" s="179"/>
      <c r="C10" s="179"/>
      <c r="D10" s="179"/>
      <c r="E10" s="235"/>
      <c r="F10" s="179"/>
      <c r="G10" s="235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6" max="6" width="10.63"/>
    <col customWidth="1" min="7" max="7" width="8.88"/>
    <col customWidth="1" min="8" max="8" width="14.5"/>
    <col customWidth="1" min="9" max="9" width="15.0"/>
  </cols>
  <sheetData>
    <row r="1">
      <c r="A1" s="353" t="s">
        <v>73</v>
      </c>
      <c r="B1" s="253" t="s">
        <v>195</v>
      </c>
      <c r="C1" s="253" t="s">
        <v>196</v>
      </c>
      <c r="D1" s="253" t="s">
        <v>197</v>
      </c>
      <c r="E1" s="374" t="s">
        <v>4</v>
      </c>
      <c r="F1" s="45" t="s">
        <v>5</v>
      </c>
      <c r="G1" s="355" t="s">
        <v>9</v>
      </c>
      <c r="H1" s="45" t="s">
        <v>6</v>
      </c>
      <c r="I1" s="254" t="s">
        <v>198</v>
      </c>
    </row>
    <row r="2">
      <c r="A2" s="337" t="s">
        <v>293</v>
      </c>
      <c r="B2" s="51">
        <f>'Исходные данные'!D53</f>
        <v>635</v>
      </c>
      <c r="C2" s="51">
        <f>'Исходные данные'!D50</f>
        <v>15</v>
      </c>
      <c r="D2" s="58"/>
      <c r="E2" s="51">
        <v>66000.0</v>
      </c>
      <c r="F2" s="356">
        <v>12.0</v>
      </c>
      <c r="G2" s="146"/>
      <c r="H2" s="58">
        <f>E2/F2</f>
        <v>5500</v>
      </c>
      <c r="I2" s="357">
        <f>H2/B2*C2</f>
        <v>129.9212598</v>
      </c>
    </row>
    <row r="3">
      <c r="A3" s="322" t="s">
        <v>322</v>
      </c>
      <c r="B3" s="51"/>
      <c r="C3" s="51"/>
      <c r="D3" s="58"/>
      <c r="E3" s="358"/>
      <c r="F3" s="356"/>
      <c r="G3" s="146"/>
      <c r="H3" s="58"/>
      <c r="I3" s="357"/>
    </row>
    <row r="4">
      <c r="A4" s="327" t="s">
        <v>315</v>
      </c>
      <c r="B4" s="328"/>
      <c r="C4" s="328"/>
      <c r="D4" s="328"/>
      <c r="E4" s="404">
        <f>78906+4065</f>
        <v>82971</v>
      </c>
      <c r="F4" s="360">
        <v>12.0</v>
      </c>
      <c r="G4" s="328"/>
      <c r="H4" s="328">
        <f t="shared" ref="H4:H5" si="1">E4/F4</f>
        <v>6914.25</v>
      </c>
      <c r="I4" s="357">
        <f t="shared" ref="I4:I5" si="2">E4/F4</f>
        <v>6914.25</v>
      </c>
    </row>
    <row r="5">
      <c r="A5" s="87" t="s">
        <v>148</v>
      </c>
      <c r="B5" s="328"/>
      <c r="C5" s="328"/>
      <c r="D5" s="328"/>
      <c r="E5" s="404">
        <f>61519+1140+5569</f>
        <v>68228</v>
      </c>
      <c r="F5" s="360">
        <v>12.0</v>
      </c>
      <c r="G5" s="328"/>
      <c r="H5" s="328">
        <f t="shared" si="1"/>
        <v>5685.666667</v>
      </c>
      <c r="I5" s="357">
        <f t="shared" si="2"/>
        <v>5685.666667</v>
      </c>
    </row>
    <row r="6">
      <c r="A6" s="337" t="s">
        <v>152</v>
      </c>
      <c r="B6" s="58"/>
      <c r="C6" s="146"/>
      <c r="D6" s="384">
        <f>B12+B13</f>
        <v>170</v>
      </c>
      <c r="E6" s="146"/>
      <c r="F6" s="321"/>
      <c r="G6" s="51">
        <f>'Общие расходы ГЭ'!G16</f>
        <v>9.195626292</v>
      </c>
      <c r="H6" s="146"/>
      <c r="I6" s="357">
        <f t="shared" ref="I6:I8" si="3">D6*G6</f>
        <v>1563.25647</v>
      </c>
    </row>
    <row r="7">
      <c r="A7" s="337" t="s">
        <v>290</v>
      </c>
      <c r="B7" s="58"/>
      <c r="C7" s="146"/>
      <c r="D7" s="384">
        <f>B12+B13</f>
        <v>170</v>
      </c>
      <c r="E7" s="146"/>
      <c r="F7" s="321"/>
      <c r="G7" s="51">
        <f>'Общие расходы г. Инно'!F4</f>
        <v>1.689071038</v>
      </c>
      <c r="H7" s="146"/>
      <c r="I7" s="357">
        <f t="shared" si="3"/>
        <v>287.1420765</v>
      </c>
    </row>
    <row r="8">
      <c r="A8" s="337" t="s">
        <v>292</v>
      </c>
      <c r="B8" s="58"/>
      <c r="C8" s="146"/>
      <c r="D8" s="384">
        <f>B12+B13</f>
        <v>170</v>
      </c>
      <c r="E8" s="328"/>
      <c r="F8" s="321"/>
      <c r="G8" s="51">
        <f>'Общие расходы г. Зеленодольск'!F12</f>
        <v>0.9242115565</v>
      </c>
      <c r="H8" s="146"/>
      <c r="I8" s="357">
        <f t="shared" si="3"/>
        <v>157.1159646</v>
      </c>
    </row>
    <row r="9">
      <c r="A9" s="385"/>
      <c r="B9" s="342"/>
      <c r="C9" s="342"/>
      <c r="D9" s="342"/>
      <c r="E9" s="342"/>
      <c r="F9" s="386"/>
      <c r="G9" s="342"/>
      <c r="H9" s="342"/>
      <c r="I9" s="363">
        <f>SUM(I2:I8)</f>
        <v>14737.35244</v>
      </c>
    </row>
    <row r="10">
      <c r="A10" s="46"/>
      <c r="B10" s="65"/>
      <c r="C10" s="65"/>
      <c r="D10" s="65"/>
      <c r="E10" s="65"/>
      <c r="F10" s="46"/>
      <c r="G10" s="65"/>
      <c r="H10" s="65"/>
      <c r="I10" s="65"/>
    </row>
    <row r="12">
      <c r="A12" s="68" t="s">
        <v>205</v>
      </c>
      <c r="B12" s="265">
        <f>'Исходные данные'!B69</f>
        <v>78</v>
      </c>
    </row>
    <row r="13">
      <c r="A13" s="68" t="s">
        <v>206</v>
      </c>
      <c r="B13" s="265">
        <f>'Исходные данные'!C69</f>
        <v>92</v>
      </c>
    </row>
    <row r="14">
      <c r="A14" s="68" t="s">
        <v>207</v>
      </c>
      <c r="B14" s="265">
        <f>'Исходные данные'!D69</f>
        <v>15</v>
      </c>
    </row>
    <row r="15">
      <c r="F15" s="70" t="s">
        <v>323</v>
      </c>
    </row>
    <row r="16">
      <c r="A16" s="266" t="s">
        <v>208</v>
      </c>
      <c r="B16" s="263"/>
      <c r="C16" s="263"/>
      <c r="D16" s="185"/>
    </row>
    <row r="17">
      <c r="A17" s="268" t="s">
        <v>209</v>
      </c>
      <c r="B17" s="269" t="s">
        <v>210</v>
      </c>
      <c r="C17" s="93" t="s">
        <v>5</v>
      </c>
      <c r="D17" s="269" t="s">
        <v>211</v>
      </c>
    </row>
    <row r="18">
      <c r="A18" s="300"/>
      <c r="B18" s="303"/>
      <c r="C18" s="303"/>
      <c r="D18" s="301"/>
    </row>
    <row r="19">
      <c r="A19" s="68"/>
      <c r="B19" s="303"/>
      <c r="C19" s="303"/>
      <c r="D19" s="301"/>
    </row>
    <row r="20">
      <c r="A20" s="305"/>
      <c r="B20" s="303"/>
      <c r="C20" s="303"/>
      <c r="D20" s="301"/>
    </row>
    <row r="21">
      <c r="A21" s="68"/>
      <c r="B21" s="303"/>
      <c r="C21" s="303"/>
      <c r="D21" s="177"/>
    </row>
    <row r="22">
      <c r="A22" s="304"/>
      <c r="B22" s="303"/>
      <c r="C22" s="303"/>
      <c r="D22" s="303"/>
    </row>
    <row r="23">
      <c r="A23" s="34"/>
      <c r="B23" s="72"/>
      <c r="C23" s="72"/>
      <c r="D23" s="72"/>
    </row>
    <row r="24">
      <c r="A24" s="34"/>
      <c r="B24" s="72"/>
      <c r="C24" s="72"/>
      <c r="D24" s="72"/>
    </row>
  </sheetData>
  <mergeCells count="1">
    <mergeCell ref="A16:D16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9.88"/>
    <col customWidth="1" min="7" max="7" width="10.25"/>
    <col customWidth="1" min="8" max="8" width="15.75"/>
    <col customWidth="1" min="9" max="9" width="15.5"/>
  </cols>
  <sheetData>
    <row r="1">
      <c r="A1" s="405" t="s">
        <v>84</v>
      </c>
      <c r="B1" s="253" t="s">
        <v>195</v>
      </c>
      <c r="C1" s="253" t="s">
        <v>196</v>
      </c>
      <c r="D1" s="253" t="s">
        <v>197</v>
      </c>
      <c r="E1" s="354" t="s">
        <v>4</v>
      </c>
      <c r="F1" s="355" t="s">
        <v>5</v>
      </c>
      <c r="G1" s="355" t="s">
        <v>9</v>
      </c>
      <c r="H1" s="355" t="s">
        <v>6</v>
      </c>
      <c r="I1" s="254" t="s">
        <v>198</v>
      </c>
    </row>
    <row r="2">
      <c r="A2" s="337" t="s">
        <v>293</v>
      </c>
      <c r="B2" s="323">
        <v>104.0</v>
      </c>
      <c r="C2" s="323">
        <v>23.0</v>
      </c>
      <c r="D2" s="146"/>
      <c r="E2" s="51">
        <v>66000.0</v>
      </c>
      <c r="F2" s="325">
        <v>12.0</v>
      </c>
      <c r="G2" s="146"/>
      <c r="H2" s="146">
        <f t="shared" ref="H2:H6" si="1">E2/F2</f>
        <v>5500</v>
      </c>
      <c r="I2" s="357">
        <f>H2/B2*C2</f>
        <v>1216.346154</v>
      </c>
      <c r="J2" s="283"/>
    </row>
    <row r="3">
      <c r="A3" s="327" t="s">
        <v>315</v>
      </c>
      <c r="B3" s="332"/>
      <c r="C3" s="328"/>
      <c r="D3" s="329"/>
      <c r="E3" s="329">
        <f>74755+650</f>
        <v>75405</v>
      </c>
      <c r="F3" s="331">
        <v>12.0</v>
      </c>
      <c r="G3" s="333"/>
      <c r="H3" s="328">
        <f t="shared" si="1"/>
        <v>6283.75</v>
      </c>
      <c r="I3" s="357">
        <f t="shared" ref="I3:I6" si="2">H3</f>
        <v>6283.75</v>
      </c>
    </row>
    <row r="4">
      <c r="A4" s="327" t="s">
        <v>324</v>
      </c>
      <c r="B4" s="332"/>
      <c r="C4" s="328"/>
      <c r="D4" s="329"/>
      <c r="E4" s="329"/>
      <c r="F4" s="331">
        <v>12.0</v>
      </c>
      <c r="G4" s="333"/>
      <c r="H4" s="328">
        <f t="shared" si="1"/>
        <v>0</v>
      </c>
      <c r="I4" s="357">
        <f t="shared" si="2"/>
        <v>0</v>
      </c>
    </row>
    <row r="5">
      <c r="A5" s="87" t="s">
        <v>148</v>
      </c>
      <c r="B5" s="58"/>
      <c r="C5" s="146"/>
      <c r="D5" s="323"/>
      <c r="E5" s="323">
        <f>31776+5500+10000</f>
        <v>47276</v>
      </c>
      <c r="F5" s="325">
        <v>12.0</v>
      </c>
      <c r="G5" s="51"/>
      <c r="H5" s="328">
        <f t="shared" si="1"/>
        <v>3939.666667</v>
      </c>
      <c r="I5" s="357">
        <f t="shared" si="2"/>
        <v>3939.666667</v>
      </c>
    </row>
    <row r="6">
      <c r="A6" s="322" t="s">
        <v>325</v>
      </c>
      <c r="B6" s="58"/>
      <c r="C6" s="146"/>
      <c r="D6" s="323"/>
      <c r="E6" s="323"/>
      <c r="F6" s="325">
        <v>12.0</v>
      </c>
      <c r="G6" s="51"/>
      <c r="H6" s="146">
        <f t="shared" si="1"/>
        <v>0</v>
      </c>
      <c r="I6" s="357">
        <f t="shared" si="2"/>
        <v>0</v>
      </c>
    </row>
    <row r="7">
      <c r="A7" s="337" t="s">
        <v>152</v>
      </c>
      <c r="B7" s="58"/>
      <c r="C7" s="146"/>
      <c r="D7" s="392">
        <f>B14</f>
        <v>440</v>
      </c>
      <c r="E7" s="146"/>
      <c r="F7" s="324"/>
      <c r="G7" s="51">
        <f>'Общие расходы ГЭ'!G16</f>
        <v>9.195626292</v>
      </c>
      <c r="H7" s="146"/>
      <c r="I7" s="357">
        <f t="shared" ref="I7:I9" si="3">D7*G7</f>
        <v>4046.075568</v>
      </c>
    </row>
    <row r="8">
      <c r="A8" s="337" t="s">
        <v>290</v>
      </c>
      <c r="B8" s="58"/>
      <c r="C8" s="146"/>
      <c r="D8" s="384">
        <f>B14</f>
        <v>440</v>
      </c>
      <c r="E8" s="146"/>
      <c r="F8" s="324"/>
      <c r="G8" s="51">
        <f>'Общие расходы г. Инно'!F4</f>
        <v>1.689071038</v>
      </c>
      <c r="H8" s="146"/>
      <c r="I8" s="357">
        <f t="shared" si="3"/>
        <v>743.1912568</v>
      </c>
    </row>
    <row r="9">
      <c r="A9" s="337" t="s">
        <v>292</v>
      </c>
      <c r="B9" s="58"/>
      <c r="C9" s="146"/>
      <c r="D9" s="384">
        <f>B14</f>
        <v>440</v>
      </c>
      <c r="E9" s="328"/>
      <c r="F9" s="324"/>
      <c r="G9" s="51">
        <f>'Общие расходы г. Зеленодольск'!F12</f>
        <v>0.9242115565</v>
      </c>
      <c r="H9" s="146"/>
      <c r="I9" s="357">
        <f t="shared" si="3"/>
        <v>406.6530849</v>
      </c>
    </row>
    <row r="10">
      <c r="A10" s="388"/>
      <c r="B10" s="389"/>
      <c r="C10" s="389"/>
      <c r="D10" s="389"/>
      <c r="E10" s="389"/>
      <c r="F10" s="395"/>
      <c r="G10" s="389"/>
      <c r="H10" s="389"/>
      <c r="I10" s="326">
        <f>SUM(I2:I9)</f>
        <v>16635.68273</v>
      </c>
    </row>
    <row r="11">
      <c r="A11" s="406"/>
      <c r="B11" s="407"/>
      <c r="C11" s="65"/>
      <c r="D11" s="65"/>
      <c r="E11" s="65"/>
      <c r="F11" s="46"/>
      <c r="G11" s="65"/>
      <c r="H11" s="65"/>
      <c r="I11" s="65"/>
    </row>
    <row r="13">
      <c r="A13" s="68" t="s">
        <v>326</v>
      </c>
      <c r="B13" s="265">
        <f>'Исходные данные'!B70</f>
        <v>0</v>
      </c>
    </row>
    <row r="14">
      <c r="A14" s="68" t="s">
        <v>206</v>
      </c>
      <c r="B14" s="265">
        <f>'Исходные данные'!C70</f>
        <v>440</v>
      </c>
    </row>
    <row r="15">
      <c r="A15" s="68" t="s">
        <v>207</v>
      </c>
      <c r="B15" s="265">
        <v>0.0</v>
      </c>
      <c r="G15" s="70" t="s">
        <v>327</v>
      </c>
    </row>
    <row r="17">
      <c r="A17" s="266" t="s">
        <v>208</v>
      </c>
      <c r="B17" s="263"/>
      <c r="C17" s="263"/>
      <c r="D17" s="185"/>
    </row>
    <row r="18">
      <c r="A18" s="268" t="s">
        <v>209</v>
      </c>
      <c r="B18" s="269" t="s">
        <v>210</v>
      </c>
      <c r="C18" s="93" t="s">
        <v>5</v>
      </c>
      <c r="D18" s="269" t="s">
        <v>211</v>
      </c>
    </row>
    <row r="19">
      <c r="A19" s="300"/>
      <c r="B19" s="303"/>
      <c r="C19" s="303"/>
      <c r="D19" s="301"/>
    </row>
    <row r="20">
      <c r="A20" s="68"/>
      <c r="B20" s="303"/>
      <c r="C20" s="303"/>
      <c r="D20" s="301"/>
    </row>
    <row r="21">
      <c r="A21" s="305"/>
      <c r="B21" s="303"/>
      <c r="C21" s="303"/>
      <c r="D21" s="301"/>
    </row>
    <row r="22">
      <c r="A22" s="68"/>
      <c r="B22" s="303"/>
      <c r="C22" s="303"/>
      <c r="D22" s="177"/>
    </row>
    <row r="23">
      <c r="A23" s="304"/>
      <c r="B23" s="303"/>
      <c r="C23" s="303"/>
      <c r="D23" s="303"/>
    </row>
    <row r="24">
      <c r="A24" s="34"/>
      <c r="B24" s="72"/>
      <c r="C24" s="72"/>
      <c r="D24" s="72"/>
    </row>
    <row r="25">
      <c r="A25" s="34"/>
      <c r="B25" s="72"/>
      <c r="C25" s="72"/>
      <c r="D25" s="72"/>
    </row>
  </sheetData>
  <mergeCells count="1">
    <mergeCell ref="A17:D17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0"/>
    <col customWidth="1" min="7" max="7" width="8.88"/>
    <col customWidth="1" min="8" max="8" width="15.13"/>
    <col customWidth="1" min="9" max="9" width="16.75"/>
  </cols>
  <sheetData>
    <row r="1">
      <c r="A1" s="387" t="s">
        <v>140</v>
      </c>
      <c r="B1" s="253" t="s">
        <v>195</v>
      </c>
      <c r="C1" s="253" t="s">
        <v>196</v>
      </c>
      <c r="D1" s="253" t="s">
        <v>197</v>
      </c>
      <c r="E1" s="374" t="s">
        <v>4</v>
      </c>
      <c r="F1" s="45" t="s">
        <v>5</v>
      </c>
      <c r="G1" s="355" t="s">
        <v>9</v>
      </c>
      <c r="H1" s="45" t="s">
        <v>6</v>
      </c>
      <c r="I1" s="254" t="s">
        <v>198</v>
      </c>
    </row>
    <row r="2">
      <c r="A2" s="337" t="s">
        <v>293</v>
      </c>
      <c r="B2" s="51">
        <v>0.0</v>
      </c>
      <c r="C2" s="51">
        <v>0.0</v>
      </c>
      <c r="D2" s="58"/>
      <c r="E2" s="51">
        <v>25800.0</v>
      </c>
      <c r="F2" s="356">
        <v>12.0</v>
      </c>
      <c r="G2" s="146"/>
      <c r="H2" s="58">
        <f t="shared" ref="H2:H3" si="1">E2/F2</f>
        <v>2150</v>
      </c>
      <c r="I2" s="357">
        <f t="shared" ref="I2:I3" si="2">H2</f>
        <v>2150</v>
      </c>
    </row>
    <row r="3">
      <c r="A3" s="327" t="s">
        <v>259</v>
      </c>
      <c r="B3" s="332"/>
      <c r="C3" s="328"/>
      <c r="D3" s="328"/>
      <c r="E3" s="329"/>
      <c r="F3" s="360">
        <v>12.0</v>
      </c>
      <c r="G3" s="333"/>
      <c r="H3" s="328">
        <f t="shared" si="1"/>
        <v>0</v>
      </c>
      <c r="I3" s="357">
        <f t="shared" si="2"/>
        <v>0</v>
      </c>
    </row>
    <row r="4">
      <c r="A4" s="87" t="s">
        <v>148</v>
      </c>
      <c r="B4" s="58"/>
      <c r="C4" s="146"/>
      <c r="D4" s="384"/>
      <c r="E4" s="323">
        <v>0.0</v>
      </c>
      <c r="F4" s="321"/>
      <c r="G4" s="51"/>
      <c r="H4" s="146"/>
      <c r="I4" s="357"/>
    </row>
    <row r="5">
      <c r="A5" s="337" t="s">
        <v>152</v>
      </c>
      <c r="B5" s="58"/>
      <c r="C5" s="146"/>
      <c r="D5" s="384">
        <f>B10</f>
        <v>1115</v>
      </c>
      <c r="E5" s="146"/>
      <c r="F5" s="321"/>
      <c r="G5" s="51">
        <f>'Общие расходы ГЭ'!G16</f>
        <v>9.195626292</v>
      </c>
      <c r="H5" s="146"/>
      <c r="I5" s="357">
        <f t="shared" ref="I5:I7" si="3">D5*G5</f>
        <v>10253.12332</v>
      </c>
    </row>
    <row r="6">
      <c r="A6" s="337" t="s">
        <v>290</v>
      </c>
      <c r="B6" s="58"/>
      <c r="C6" s="146"/>
      <c r="D6" s="384">
        <f>B10</f>
        <v>1115</v>
      </c>
      <c r="E6" s="146"/>
      <c r="F6" s="321"/>
      <c r="G6" s="51">
        <f>'Общие расходы г. Инно'!F4</f>
        <v>1.689071038</v>
      </c>
      <c r="H6" s="146"/>
      <c r="I6" s="357">
        <f t="shared" si="3"/>
        <v>1883.314208</v>
      </c>
    </row>
    <row r="7">
      <c r="A7" s="337" t="s">
        <v>292</v>
      </c>
      <c r="B7" s="58"/>
      <c r="C7" s="146"/>
      <c r="D7" s="384">
        <f>B10</f>
        <v>1115</v>
      </c>
      <c r="E7" s="328"/>
      <c r="F7" s="321"/>
      <c r="G7" s="51"/>
      <c r="H7" s="146"/>
      <c r="I7" s="357">
        <f t="shared" si="3"/>
        <v>0</v>
      </c>
    </row>
    <row r="8">
      <c r="A8" s="385"/>
      <c r="B8" s="342"/>
      <c r="C8" s="342"/>
      <c r="D8" s="342"/>
      <c r="E8" s="342"/>
      <c r="F8" s="386"/>
      <c r="G8" s="342"/>
      <c r="H8" s="342"/>
      <c r="I8" s="357">
        <f>SUM(I2:I7)</f>
        <v>14286.43752</v>
      </c>
    </row>
    <row r="10">
      <c r="A10" s="68" t="s">
        <v>328</v>
      </c>
      <c r="B10" s="265">
        <f>'Исходные данные'!B65</f>
        <v>1115</v>
      </c>
    </row>
    <row r="11">
      <c r="A11" s="68" t="s">
        <v>206</v>
      </c>
      <c r="B11" s="265">
        <f>'Исходные данные'!C65</f>
        <v>0</v>
      </c>
    </row>
    <row r="12">
      <c r="A12" s="68" t="s">
        <v>207</v>
      </c>
      <c r="B12" s="265">
        <f>'Исходные данные'!D66</f>
        <v>46</v>
      </c>
    </row>
    <row r="14">
      <c r="A14" s="266" t="s">
        <v>208</v>
      </c>
      <c r="B14" s="263"/>
      <c r="C14" s="263"/>
      <c r="D14" s="185"/>
    </row>
    <row r="15">
      <c r="A15" s="268" t="s">
        <v>209</v>
      </c>
      <c r="B15" s="269" t="s">
        <v>210</v>
      </c>
      <c r="C15" s="93" t="s">
        <v>5</v>
      </c>
      <c r="D15" s="269" t="s">
        <v>211</v>
      </c>
    </row>
    <row r="16">
      <c r="A16" s="300"/>
      <c r="B16" s="303"/>
      <c r="C16" s="303"/>
      <c r="D16" s="301"/>
    </row>
    <row r="17">
      <c r="A17" s="68"/>
      <c r="B17" s="303"/>
      <c r="C17" s="303"/>
      <c r="D17" s="301"/>
    </row>
    <row r="18">
      <c r="A18" s="305"/>
      <c r="B18" s="303"/>
      <c r="C18" s="303"/>
      <c r="D18" s="301"/>
    </row>
    <row r="19">
      <c r="A19" s="68"/>
      <c r="B19" s="303"/>
      <c r="C19" s="303"/>
      <c r="D19" s="177"/>
    </row>
    <row r="20">
      <c r="A20" s="304"/>
      <c r="B20" s="303"/>
      <c r="C20" s="303"/>
      <c r="D20" s="303"/>
    </row>
    <row r="21">
      <c r="A21" s="34"/>
      <c r="B21" s="72"/>
      <c r="C21" s="72"/>
      <c r="D21" s="72"/>
    </row>
    <row r="22">
      <c r="A22" s="34"/>
      <c r="B22" s="72"/>
      <c r="C22" s="72"/>
      <c r="D22" s="72"/>
    </row>
  </sheetData>
  <mergeCells count="1">
    <mergeCell ref="A14:D14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0"/>
    <col customWidth="1" min="7" max="7" width="8.88"/>
    <col customWidth="1" min="8" max="8" width="15.13"/>
    <col customWidth="1" min="9" max="9" width="16.75"/>
  </cols>
  <sheetData>
    <row r="1">
      <c r="A1" s="387" t="s">
        <v>74</v>
      </c>
      <c r="B1" s="253" t="s">
        <v>195</v>
      </c>
      <c r="C1" s="253" t="s">
        <v>196</v>
      </c>
      <c r="D1" s="253" t="s">
        <v>197</v>
      </c>
      <c r="E1" s="374" t="s">
        <v>4</v>
      </c>
      <c r="F1" s="45" t="s">
        <v>5</v>
      </c>
      <c r="G1" s="355" t="s">
        <v>9</v>
      </c>
      <c r="H1" s="45" t="s">
        <v>6</v>
      </c>
      <c r="I1" s="254" t="s">
        <v>198</v>
      </c>
    </row>
    <row r="2">
      <c r="A2" s="337" t="s">
        <v>293</v>
      </c>
      <c r="B2" s="375">
        <f>'Исходные данные'!D53</f>
        <v>635</v>
      </c>
      <c r="C2" s="375">
        <f>'Исходные данные'!D51</f>
        <v>4</v>
      </c>
      <c r="D2" s="58"/>
      <c r="E2" s="51">
        <v>902051.0</v>
      </c>
      <c r="F2" s="356">
        <v>12.0</v>
      </c>
      <c r="G2" s="146"/>
      <c r="H2" s="58">
        <f t="shared" ref="H2:H4" si="1">E2/F2</f>
        <v>75170.91667</v>
      </c>
      <c r="I2" s="357">
        <f>H2/B2*C2</f>
        <v>473.5175853</v>
      </c>
    </row>
    <row r="3">
      <c r="A3" s="327" t="s">
        <v>315</v>
      </c>
      <c r="B3" s="332"/>
      <c r="C3" s="328"/>
      <c r="D3" s="408"/>
      <c r="E3" s="329">
        <v>14925.0</v>
      </c>
      <c r="F3" s="360">
        <v>12.0</v>
      </c>
      <c r="G3" s="333"/>
      <c r="H3" s="328">
        <f t="shared" si="1"/>
        <v>1243.75</v>
      </c>
      <c r="I3" s="357">
        <f t="shared" ref="I3:I4" si="2">H3</f>
        <v>1243.75</v>
      </c>
    </row>
    <row r="4">
      <c r="A4" s="327" t="s">
        <v>313</v>
      </c>
      <c r="B4" s="332"/>
      <c r="C4" s="328"/>
      <c r="D4" s="408"/>
      <c r="E4" s="329">
        <v>26666.0</v>
      </c>
      <c r="F4" s="360">
        <v>12.0</v>
      </c>
      <c r="G4" s="333"/>
      <c r="H4" s="328">
        <f t="shared" si="1"/>
        <v>2222.166667</v>
      </c>
      <c r="I4" s="357">
        <f t="shared" si="2"/>
        <v>2222.166667</v>
      </c>
    </row>
    <row r="5">
      <c r="A5" s="337" t="s">
        <v>152</v>
      </c>
      <c r="B5" s="58"/>
      <c r="C5" s="146"/>
      <c r="D5" s="382">
        <f>B10</f>
        <v>105</v>
      </c>
      <c r="E5" s="146"/>
      <c r="F5" s="321"/>
      <c r="G5" s="51">
        <f>'Общие расходы ГЭ'!G16</f>
        <v>9.195626292</v>
      </c>
      <c r="H5" s="146"/>
      <c r="I5" s="357">
        <f t="shared" ref="I5:I7" si="3">D5*G5</f>
        <v>965.5407607</v>
      </c>
    </row>
    <row r="6">
      <c r="A6" s="337" t="s">
        <v>290</v>
      </c>
      <c r="B6" s="58"/>
      <c r="C6" s="146"/>
      <c r="D6" s="382">
        <f>B10</f>
        <v>105</v>
      </c>
      <c r="E6" s="146"/>
      <c r="F6" s="321"/>
      <c r="G6" s="51">
        <f>'Общие расходы г. Инно'!F4</f>
        <v>1.689071038</v>
      </c>
      <c r="H6" s="146"/>
      <c r="I6" s="357">
        <f t="shared" si="3"/>
        <v>177.352459</v>
      </c>
    </row>
    <row r="7">
      <c r="A7" s="337" t="s">
        <v>292</v>
      </c>
      <c r="B7" s="58"/>
      <c r="C7" s="146"/>
      <c r="D7" s="382">
        <f>B10</f>
        <v>105</v>
      </c>
      <c r="E7" s="328"/>
      <c r="F7" s="321"/>
      <c r="G7" s="51">
        <f>'Общие расходы г. Зеленодольск'!F12</f>
        <v>0.9242115565</v>
      </c>
      <c r="H7" s="146"/>
      <c r="I7" s="357">
        <f t="shared" si="3"/>
        <v>97.04221343</v>
      </c>
    </row>
    <row r="8">
      <c r="A8" s="385"/>
      <c r="B8" s="342"/>
      <c r="C8" s="342"/>
      <c r="D8" s="342"/>
      <c r="E8" s="342"/>
      <c r="F8" s="386"/>
      <c r="G8" s="342"/>
      <c r="H8" s="342"/>
      <c r="I8" s="363">
        <f>SUM(I2:I7)</f>
        <v>5179.369685</v>
      </c>
    </row>
    <row r="10">
      <c r="A10" s="68" t="s">
        <v>326</v>
      </c>
      <c r="B10" s="265">
        <f>'Исходные данные'!B64</f>
        <v>105</v>
      </c>
    </row>
    <row r="11">
      <c r="A11" s="68" t="s">
        <v>206</v>
      </c>
      <c r="B11" s="265">
        <f>'Исходные данные'!C64</f>
        <v>0</v>
      </c>
    </row>
    <row r="12">
      <c r="A12" s="68" t="s">
        <v>207</v>
      </c>
      <c r="B12" s="265">
        <f>'Исходные данные'!D64</f>
        <v>4</v>
      </c>
    </row>
    <row r="14">
      <c r="A14" s="266" t="s">
        <v>208</v>
      </c>
      <c r="B14" s="263"/>
      <c r="C14" s="263"/>
      <c r="D14" s="185"/>
    </row>
    <row r="15">
      <c r="A15" s="268" t="s">
        <v>209</v>
      </c>
      <c r="B15" s="269" t="s">
        <v>210</v>
      </c>
      <c r="C15" s="93" t="s">
        <v>5</v>
      </c>
      <c r="D15" s="269" t="s">
        <v>211</v>
      </c>
    </row>
    <row r="16">
      <c r="A16" s="300"/>
      <c r="B16" s="303"/>
      <c r="C16" s="303"/>
      <c r="D16" s="301"/>
    </row>
    <row r="17">
      <c r="A17" s="68"/>
      <c r="B17" s="303"/>
      <c r="C17" s="303"/>
      <c r="D17" s="301"/>
    </row>
    <row r="18">
      <c r="A18" s="305"/>
      <c r="B18" s="303"/>
      <c r="C18" s="303"/>
      <c r="D18" s="301"/>
    </row>
    <row r="19">
      <c r="A19" s="68"/>
      <c r="B19" s="303"/>
      <c r="C19" s="303"/>
      <c r="D19" s="177"/>
    </row>
    <row r="20">
      <c r="A20" s="304"/>
      <c r="B20" s="303"/>
      <c r="C20" s="303"/>
      <c r="D20" s="303"/>
    </row>
    <row r="21">
      <c r="A21" s="34"/>
      <c r="B21" s="72"/>
      <c r="C21" s="72"/>
      <c r="D21" s="72"/>
    </row>
    <row r="22">
      <c r="A22" s="34"/>
      <c r="B22" s="72"/>
      <c r="C22" s="72"/>
      <c r="D22" s="72"/>
    </row>
  </sheetData>
  <mergeCells count="1">
    <mergeCell ref="A14:D14"/>
  </mergeCells>
  <drawing r:id="rId1"/>
</worksheet>
</file>