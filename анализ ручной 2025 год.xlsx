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nnalobanova/Desktop/анализ по УК/"/>
    </mc:Choice>
  </mc:AlternateContent>
  <xr:revisionPtr revIDLastSave="0" documentId="13_ncr:1_{A12F3EE8-D7C8-5549-8BCA-37BE6649E4CF}" xr6:coauthVersionLast="47" xr6:coauthVersionMax="47" xr10:uidLastSave="{00000000-0000-0000-0000-000000000000}"/>
  <bookViews>
    <workbookView xWindow="0" yWindow="660" windowWidth="29400" windowHeight="16660" activeTab="4" xr2:uid="{00000000-000D-0000-FFFF-FFFF00000000}"/>
  </bookViews>
  <sheets>
    <sheet name="расходы спутника" sheetId="1" r:id="rId1"/>
    <sheet name="Химки" sheetId="2" r:id="rId2"/>
    <sheet name="Общие расходы г. Казань" sheetId="3" r:id="rId3"/>
    <sheet name="Общие расходы г. Тюмень" sheetId="4" r:id="rId4"/>
    <sheet name="Исходные данные" sheetId="5" r:id="rId5"/>
    <sheet name="Общие расходы г. Инно" sheetId="6" r:id="rId6"/>
    <sheet name="Общие расходы г. Зеленодольск" sheetId="7" r:id="rId7"/>
    <sheet name="Общие расходы г. Альметьевск" sheetId="8" r:id="rId8"/>
    <sheet name="Общие расходы ГЭ" sheetId="9" r:id="rId9"/>
    <sheet name="Доход-Расход" sheetId="10" r:id="rId10"/>
    <sheet name="по годам" sheetId="11" r:id="rId11"/>
    <sheet name="Монолит" sheetId="12" r:id="rId12"/>
    <sheet name="Усадьба" sheetId="13" r:id="rId13"/>
    <sheet name="Тобол" sheetId="14" r:id="rId14"/>
    <sheet name="Высота" sheetId="15" r:id="rId15"/>
    <sheet name="Электрон" sheetId="16" r:id="rId16"/>
    <sheet name="Запад" sheetId="17" r:id="rId17"/>
    <sheet name="Вавилон" sheetId="18" r:id="rId18"/>
    <sheet name="Юг" sheetId="19" r:id="rId19"/>
    <sheet name="Суходолье" sheetId="20" r:id="rId20"/>
    <sheet name="Надежное управление" sheetId="21" r:id="rId21"/>
    <sheet name="УК линейная" sheetId="22" r:id="rId22"/>
    <sheet name="ЖЭУ 9" sheetId="23" r:id="rId23"/>
    <sheet name="УК на Ткацком" sheetId="24" r:id="rId24"/>
    <sheet name="УК на пражской" sheetId="25" r:id="rId25"/>
    <sheet name="ЖСУ" sheetId="26" r:id="rId26"/>
    <sheet name="Восток сити" sheetId="27" r:id="rId27"/>
    <sheet name="Аурика " sheetId="28" r:id="rId28"/>
    <sheet name="УК на Полевой" sheetId="29" r:id="rId29"/>
    <sheet name="Ирида" sheetId="30" r:id="rId30"/>
    <sheet name="ТЭСК" sheetId="31" r:id="rId31"/>
    <sheet name="Ладья" sheetId="32" r:id="rId32"/>
    <sheet name="Алсу" sheetId="33" r:id="rId33"/>
    <sheet name="интернет юр лица" sheetId="34" r:id="rId34"/>
    <sheet name="УК Альметьевск" sheetId="35" r:id="rId35"/>
    <sheet name="Новация" sheetId="36" r:id="rId36"/>
    <sheet name="Жилкомплекс" sheetId="37" r:id="rId37"/>
    <sheet name="Радужный_З" sheetId="38" r:id="rId38"/>
    <sheet name="Салават Купере" sheetId="39" r:id="rId39"/>
    <sheet name="ТСЖ №6" sheetId="40" r:id="rId40"/>
    <sheet name="Прямые" sheetId="41" r:id="rId41"/>
    <sheet name="ЖК Моск рай-на" sheetId="42" r:id="rId42"/>
    <sheet name="Радужный (Казань)" sheetId="43" r:id="rId43"/>
    <sheet name="Фукса 12" sheetId="44" r:id="rId44"/>
    <sheet name="ТСЖ Соврменник" sheetId="45" r:id="rId45"/>
    <sheet name="ЭРТХ_К" sheetId="46" r:id="rId46"/>
    <sheet name="Тринити" sheetId="47" r:id="rId47"/>
    <sheet name="ЗИОН" sheetId="48" r:id="rId48"/>
    <sheet name="Жилищный фонд" sheetId="49" r:id="rId49"/>
    <sheet name="СК Иннокомфорт" sheetId="50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0" l="1"/>
  <c r="B11" i="50"/>
  <c r="B10" i="50"/>
  <c r="D7" i="50"/>
  <c r="D6" i="50"/>
  <c r="D5" i="50"/>
  <c r="H4" i="50"/>
  <c r="I4" i="50" s="1"/>
  <c r="AR8" i="10" s="1"/>
  <c r="H3" i="50"/>
  <c r="I3" i="50" s="1"/>
  <c r="AR11" i="10" s="1"/>
  <c r="H2" i="50"/>
  <c r="C2" i="50"/>
  <c r="B11" i="49"/>
  <c r="B10" i="49"/>
  <c r="D7" i="49"/>
  <c r="I7" i="49" s="1"/>
  <c r="AP16" i="10" s="1"/>
  <c r="D6" i="49"/>
  <c r="D5" i="49"/>
  <c r="H3" i="49"/>
  <c r="I3" i="49" s="1"/>
  <c r="AP8" i="10" s="1"/>
  <c r="H2" i="49"/>
  <c r="I2" i="49" s="1"/>
  <c r="B14" i="48"/>
  <c r="B13" i="48"/>
  <c r="D9" i="48"/>
  <c r="D8" i="48"/>
  <c r="D7" i="48"/>
  <c r="H6" i="48"/>
  <c r="I6" i="48" s="1"/>
  <c r="E5" i="48"/>
  <c r="H5" i="48" s="1"/>
  <c r="I5" i="48" s="1"/>
  <c r="AQ8" i="10" s="1"/>
  <c r="H4" i="48"/>
  <c r="I4" i="48" s="1"/>
  <c r="E3" i="48"/>
  <c r="H3" i="48" s="1"/>
  <c r="I3" i="48" s="1"/>
  <c r="AQ11" i="10" s="1"/>
  <c r="H2" i="48"/>
  <c r="I2" i="48" s="1"/>
  <c r="B14" i="47"/>
  <c r="B13" i="47"/>
  <c r="B12" i="47"/>
  <c r="D8" i="47"/>
  <c r="D7" i="47"/>
  <c r="D6" i="47"/>
  <c r="E5" i="47"/>
  <c r="E4" i="47"/>
  <c r="H2" i="47"/>
  <c r="C2" i="47"/>
  <c r="D3" i="46"/>
  <c r="G3" i="46" s="1"/>
  <c r="AM8" i="10" s="1"/>
  <c r="D2" i="46"/>
  <c r="G2" i="46" s="1"/>
  <c r="C2" i="46"/>
  <c r="D23" i="45"/>
  <c r="B19" i="45"/>
  <c r="B18" i="45"/>
  <c r="B17" i="45"/>
  <c r="D14" i="45"/>
  <c r="D13" i="45"/>
  <c r="D12" i="45"/>
  <c r="G11" i="45"/>
  <c r="I11" i="45" s="1"/>
  <c r="I10" i="45"/>
  <c r="G9" i="45"/>
  <c r="I9" i="45" s="1"/>
  <c r="G8" i="45"/>
  <c r="I8" i="45" s="1"/>
  <c r="AL9" i="10" s="1"/>
  <c r="G7" i="45"/>
  <c r="I7" i="45" s="1"/>
  <c r="AL10" i="10" s="1"/>
  <c r="G6" i="45"/>
  <c r="I6" i="45" s="1"/>
  <c r="AL8" i="10" s="1"/>
  <c r="G5" i="45"/>
  <c r="I5" i="45" s="1"/>
  <c r="G4" i="45"/>
  <c r="I4" i="45" s="1"/>
  <c r="G3" i="45"/>
  <c r="C3" i="45"/>
  <c r="B11" i="44"/>
  <c r="B10" i="44"/>
  <c r="B9" i="44"/>
  <c r="D6" i="44"/>
  <c r="D5" i="44"/>
  <c r="D4" i="44"/>
  <c r="H3" i="44"/>
  <c r="I3" i="44" s="1"/>
  <c r="AK8" i="10" s="1"/>
  <c r="H2" i="44"/>
  <c r="C2" i="44"/>
  <c r="D18" i="43"/>
  <c r="D24" i="43" s="1"/>
  <c r="I5" i="43" s="1"/>
  <c r="AI15" i="10" s="1"/>
  <c r="B14" i="43"/>
  <c r="B13" i="43"/>
  <c r="B12" i="43"/>
  <c r="D9" i="43"/>
  <c r="D8" i="43"/>
  <c r="D7" i="43"/>
  <c r="H6" i="43"/>
  <c r="I6" i="43" s="1"/>
  <c r="AI8" i="10" s="1"/>
  <c r="H5" i="43"/>
  <c r="H4" i="43"/>
  <c r="E3" i="43"/>
  <c r="H3" i="43" s="1"/>
  <c r="I3" i="43" s="1"/>
  <c r="AI11" i="10" s="1"/>
  <c r="H2" i="43"/>
  <c r="C2" i="43"/>
  <c r="D24" i="42"/>
  <c r="D23" i="42"/>
  <c r="B22" i="42"/>
  <c r="D22" i="42" s="1"/>
  <c r="D29" i="42" s="1"/>
  <c r="H10" i="42" s="1"/>
  <c r="AJ15" i="10" s="1"/>
  <c r="B18" i="42"/>
  <c r="B17" i="42"/>
  <c r="B16" i="42"/>
  <c r="G9" i="42"/>
  <c r="H9" i="42" s="1"/>
  <c r="G8" i="42"/>
  <c r="H8" i="42" s="1"/>
  <c r="D7" i="42"/>
  <c r="G7" i="42" s="1"/>
  <c r="H7" i="42" s="1"/>
  <c r="AJ14" i="10" s="1"/>
  <c r="D6" i="42"/>
  <c r="G6" i="42" s="1"/>
  <c r="H6" i="42" s="1"/>
  <c r="AJ8" i="10" s="1"/>
  <c r="G5" i="42"/>
  <c r="H5" i="42" s="1"/>
  <c r="AJ10" i="10" s="1"/>
  <c r="D4" i="42"/>
  <c r="G4" i="42" s="1"/>
  <c r="H4" i="42" s="1"/>
  <c r="AJ11" i="10" s="1"/>
  <c r="G3" i="42"/>
  <c r="H3" i="42" s="1"/>
  <c r="G2" i="42"/>
  <c r="B2" i="42"/>
  <c r="C2" i="42" s="1"/>
  <c r="D16" i="41"/>
  <c r="D22" i="41" s="1"/>
  <c r="I3" i="41" s="1"/>
  <c r="AG15" i="10" s="1"/>
  <c r="B12" i="41"/>
  <c r="B11" i="41"/>
  <c r="B10" i="41"/>
  <c r="D7" i="41"/>
  <c r="D6" i="41"/>
  <c r="D5" i="41"/>
  <c r="H4" i="41"/>
  <c r="I4" i="41" s="1"/>
  <c r="AG9" i="10" s="1"/>
  <c r="H2" i="41"/>
  <c r="C2" i="41"/>
  <c r="D23" i="40"/>
  <c r="B13" i="40"/>
  <c r="B12" i="40"/>
  <c r="B11" i="40"/>
  <c r="D8" i="40"/>
  <c r="D7" i="40"/>
  <c r="D6" i="40"/>
  <c r="H5" i="40"/>
  <c r="I5" i="40" s="1"/>
  <c r="AF8" i="10" s="1"/>
  <c r="I4" i="40"/>
  <c r="H3" i="40"/>
  <c r="I3" i="40" s="1"/>
  <c r="AF11" i="10" s="1"/>
  <c r="H2" i="40"/>
  <c r="C2" i="40"/>
  <c r="B10" i="39"/>
  <c r="B9" i="39"/>
  <c r="B8" i="39"/>
  <c r="D5" i="39"/>
  <c r="D4" i="39"/>
  <c r="D3" i="39"/>
  <c r="H2" i="39"/>
  <c r="C2" i="39"/>
  <c r="B13" i="38"/>
  <c r="B12" i="38"/>
  <c r="B11" i="38"/>
  <c r="D8" i="38"/>
  <c r="D7" i="38"/>
  <c r="D6" i="38"/>
  <c r="H5" i="38"/>
  <c r="I5" i="38" s="1"/>
  <c r="H4" i="38"/>
  <c r="I4" i="38" s="1"/>
  <c r="AD8" i="10" s="1"/>
  <c r="E3" i="38"/>
  <c r="H3" i="38" s="1"/>
  <c r="I3" i="38" s="1"/>
  <c r="AD11" i="10" s="1"/>
  <c r="H2" i="38"/>
  <c r="C2" i="38"/>
  <c r="D24" i="37"/>
  <c r="D23" i="37"/>
  <c r="D29" i="37" s="1"/>
  <c r="H11" i="37" s="1"/>
  <c r="I11" i="37" s="1"/>
  <c r="AC15" i="10" s="1"/>
  <c r="B19" i="37"/>
  <c r="B18" i="37"/>
  <c r="B17" i="37"/>
  <c r="D14" i="37"/>
  <c r="D13" i="37"/>
  <c r="D12" i="37"/>
  <c r="H10" i="37"/>
  <c r="I10" i="37" s="1"/>
  <c r="H9" i="37"/>
  <c r="E8" i="37"/>
  <c r="H8" i="37" s="1"/>
  <c r="I8" i="37" s="1"/>
  <c r="AC14" i="10" s="1"/>
  <c r="E7" i="37"/>
  <c r="H7" i="37" s="1"/>
  <c r="I7" i="37" s="1"/>
  <c r="AC9" i="10" s="1"/>
  <c r="H6" i="37"/>
  <c r="I6" i="37" s="1"/>
  <c r="AC10" i="10" s="1"/>
  <c r="H5" i="37"/>
  <c r="I5" i="37" s="1"/>
  <c r="AC8" i="10" s="1"/>
  <c r="H4" i="37"/>
  <c r="I4" i="37" s="1"/>
  <c r="E3" i="37"/>
  <c r="H3" i="37" s="1"/>
  <c r="I3" i="37" s="1"/>
  <c r="AC11" i="10" s="1"/>
  <c r="E2" i="37"/>
  <c r="H2" i="37" s="1"/>
  <c r="C2" i="37"/>
  <c r="B11" i="36"/>
  <c r="B10" i="36"/>
  <c r="B9" i="36"/>
  <c r="D6" i="36"/>
  <c r="D5" i="36"/>
  <c r="D4" i="36"/>
  <c r="E3" i="36"/>
  <c r="H3" i="36" s="1"/>
  <c r="I3" i="36" s="1"/>
  <c r="AA8" i="10" s="1"/>
  <c r="H2" i="36"/>
  <c r="C2" i="36"/>
  <c r="D26" i="35"/>
  <c r="D32" i="35" s="1"/>
  <c r="I13" i="35" s="1"/>
  <c r="Z15" i="10" s="1"/>
  <c r="B22" i="35"/>
  <c r="B21" i="35"/>
  <c r="B20" i="35"/>
  <c r="D17" i="35"/>
  <c r="D16" i="35"/>
  <c r="D15" i="35"/>
  <c r="G14" i="35"/>
  <c r="I14" i="35" s="1"/>
  <c r="Z14" i="10" s="1"/>
  <c r="G12" i="35"/>
  <c r="I12" i="35" s="1"/>
  <c r="Z9" i="10" s="1"/>
  <c r="G11" i="35"/>
  <c r="I11" i="35" s="1"/>
  <c r="Z10" i="10" s="1"/>
  <c r="E10" i="35"/>
  <c r="G10" i="35" s="1"/>
  <c r="I10" i="35" s="1"/>
  <c r="Z8" i="10" s="1"/>
  <c r="G9" i="35"/>
  <c r="I9" i="35" s="1"/>
  <c r="G8" i="35"/>
  <c r="I8" i="35" s="1"/>
  <c r="G7" i="35"/>
  <c r="I7" i="35" s="1"/>
  <c r="G6" i="35"/>
  <c r="I6" i="35" s="1"/>
  <c r="E5" i="35"/>
  <c r="G5" i="35" s="1"/>
  <c r="I5" i="35" s="1"/>
  <c r="Z11" i="10" s="1"/>
  <c r="G4" i="35"/>
  <c r="I4" i="35" s="1"/>
  <c r="G3" i="35"/>
  <c r="I3" i="35" s="1"/>
  <c r="C3" i="35"/>
  <c r="G2" i="35"/>
  <c r="C2" i="35"/>
  <c r="H18" i="34"/>
  <c r="O18" i="34" s="1"/>
  <c r="K17" i="34"/>
  <c r="O17" i="34" s="1"/>
  <c r="N16" i="34"/>
  <c r="M16" i="34"/>
  <c r="L16" i="34"/>
  <c r="K16" i="34"/>
  <c r="J16" i="34"/>
  <c r="I16" i="34"/>
  <c r="H16" i="34"/>
  <c r="G16" i="34"/>
  <c r="F16" i="34"/>
  <c r="E16" i="34"/>
  <c r="D16" i="34"/>
  <c r="C16" i="34"/>
  <c r="O16" i="34" s="1"/>
  <c r="H15" i="34"/>
  <c r="O15" i="34" s="1"/>
  <c r="K14" i="34"/>
  <c r="O14" i="34" s="1"/>
  <c r="K13" i="34"/>
  <c r="O13" i="34" s="1"/>
  <c r="I12" i="34"/>
  <c r="O12" i="34" s="1"/>
  <c r="K11" i="34"/>
  <c r="O11" i="34" s="1"/>
  <c r="K10" i="34"/>
  <c r="O10" i="34" s="1"/>
  <c r="H9" i="34"/>
  <c r="O9" i="34" s="1"/>
  <c r="H8" i="34"/>
  <c r="O8" i="34" s="1"/>
  <c r="K7" i="34"/>
  <c r="O7" i="34" s="1"/>
  <c r="J6" i="34"/>
  <c r="O6" i="34" s="1"/>
  <c r="H5" i="34"/>
  <c r="O5" i="34" s="1"/>
  <c r="H4" i="34"/>
  <c r="O4" i="34" s="1"/>
  <c r="L3" i="34"/>
  <c r="O3" i="34" s="1"/>
  <c r="L2" i="34"/>
  <c r="O2" i="34" s="1"/>
  <c r="Q20" i="34" s="1"/>
  <c r="D28" i="33"/>
  <c r="D27" i="33"/>
  <c r="D26" i="33"/>
  <c r="D25" i="33"/>
  <c r="D31" i="33" s="1"/>
  <c r="I12" i="33" s="1"/>
  <c r="Y15" i="10" s="1"/>
  <c r="B20" i="33"/>
  <c r="B19" i="33"/>
  <c r="D16" i="33"/>
  <c r="D15" i="33"/>
  <c r="D14" i="33"/>
  <c r="H13" i="33"/>
  <c r="I13" i="33" s="1"/>
  <c r="H11" i="33"/>
  <c r="I11" i="33" s="1"/>
  <c r="H10" i="33"/>
  <c r="I10" i="33" s="1"/>
  <c r="E9" i="33"/>
  <c r="H9" i="33" s="1"/>
  <c r="I9" i="33" s="1"/>
  <c r="H8" i="33"/>
  <c r="I8" i="33" s="1"/>
  <c r="Y9" i="10" s="1"/>
  <c r="H7" i="33"/>
  <c r="I7" i="33" s="1"/>
  <c r="Y10" i="10" s="1"/>
  <c r="E6" i="33"/>
  <c r="H6" i="33" s="1"/>
  <c r="I6" i="33" s="1"/>
  <c r="Y8" i="10" s="1"/>
  <c r="E5" i="33"/>
  <c r="H5" i="33" s="1"/>
  <c r="I5" i="33" s="1"/>
  <c r="Y11" i="10" s="1"/>
  <c r="E4" i="33"/>
  <c r="H4" i="33" s="1"/>
  <c r="I4" i="33" s="1"/>
  <c r="C4" i="33"/>
  <c r="B4" i="33"/>
  <c r="E3" i="33"/>
  <c r="H3" i="33" s="1"/>
  <c r="C3" i="33"/>
  <c r="B16" i="32"/>
  <c r="B15" i="32"/>
  <c r="B14" i="32"/>
  <c r="G8" i="32"/>
  <c r="I8" i="32" s="1"/>
  <c r="G7" i="32"/>
  <c r="I7" i="32" s="1"/>
  <c r="G6" i="32"/>
  <c r="I6" i="32" s="1"/>
  <c r="G5" i="32"/>
  <c r="I5" i="32" s="1"/>
  <c r="U8" i="10" s="1"/>
  <c r="G4" i="32"/>
  <c r="I4" i="32" s="1"/>
  <c r="U11" i="10" s="1"/>
  <c r="G3" i="32"/>
  <c r="C3" i="32"/>
  <c r="B24" i="31"/>
  <c r="D24" i="31" s="1"/>
  <c r="D23" i="31"/>
  <c r="D27" i="31" s="1"/>
  <c r="I10" i="31" s="1"/>
  <c r="S15" i="10" s="1"/>
  <c r="D14" i="31"/>
  <c r="D13" i="31"/>
  <c r="D12" i="31"/>
  <c r="G11" i="31"/>
  <c r="I11" i="31" s="1"/>
  <c r="S11" i="10" s="1"/>
  <c r="G9" i="31"/>
  <c r="I9" i="31" s="1"/>
  <c r="G8" i="31"/>
  <c r="I8" i="31" s="1"/>
  <c r="S9" i="10" s="1"/>
  <c r="G7" i="31"/>
  <c r="I7" i="31" s="1"/>
  <c r="S10" i="10" s="1"/>
  <c r="G6" i="31"/>
  <c r="I6" i="31" s="1"/>
  <c r="S8" i="10" s="1"/>
  <c r="G5" i="31"/>
  <c r="C5" i="31"/>
  <c r="G4" i="31"/>
  <c r="C4" i="31"/>
  <c r="G3" i="31"/>
  <c r="C3" i="31"/>
  <c r="B28" i="30"/>
  <c r="D25" i="30"/>
  <c r="D24" i="30"/>
  <c r="D28" i="30" s="1"/>
  <c r="H12" i="30" s="1"/>
  <c r="I12" i="30" s="1"/>
  <c r="J15" i="10" s="1"/>
  <c r="B20" i="30"/>
  <c r="B19" i="30"/>
  <c r="B18" i="30"/>
  <c r="D15" i="30"/>
  <c r="D14" i="30"/>
  <c r="D13" i="30"/>
  <c r="H11" i="30"/>
  <c r="I11" i="30" s="1"/>
  <c r="J11" i="10" s="1"/>
  <c r="H10" i="30"/>
  <c r="I10" i="30" s="1"/>
  <c r="H9" i="30"/>
  <c r="I9" i="30" s="1"/>
  <c r="H8" i="30"/>
  <c r="I8" i="30" s="1"/>
  <c r="J9" i="10" s="1"/>
  <c r="H7" i="30"/>
  <c r="I7" i="30" s="1"/>
  <c r="J10" i="10" s="1"/>
  <c r="E6" i="30"/>
  <c r="H6" i="30" s="1"/>
  <c r="I6" i="30" s="1"/>
  <c r="J8" i="10" s="1"/>
  <c r="H5" i="30"/>
  <c r="I5" i="30" s="1"/>
  <c r="H4" i="30"/>
  <c r="C4" i="30"/>
  <c r="H3" i="30"/>
  <c r="C3" i="30"/>
  <c r="D24" i="29"/>
  <c r="B20" i="29"/>
  <c r="B19" i="29"/>
  <c r="B18" i="29"/>
  <c r="D15" i="29"/>
  <c r="D14" i="29"/>
  <c r="D13" i="29"/>
  <c r="G12" i="29"/>
  <c r="I12" i="29" s="1"/>
  <c r="I11" i="29"/>
  <c r="G10" i="29"/>
  <c r="I10" i="29" s="1"/>
  <c r="G9" i="29"/>
  <c r="I9" i="29" s="1"/>
  <c r="W9" i="10" s="1"/>
  <c r="G8" i="29"/>
  <c r="I8" i="29" s="1"/>
  <c r="W10" i="10" s="1"/>
  <c r="G7" i="29"/>
  <c r="I7" i="29" s="1"/>
  <c r="G6" i="29"/>
  <c r="I6" i="29" s="1"/>
  <c r="W11" i="10" s="1"/>
  <c r="G5" i="29"/>
  <c r="I5" i="29" s="1"/>
  <c r="G4" i="29"/>
  <c r="C4" i="29"/>
  <c r="G3" i="29"/>
  <c r="C3" i="29"/>
  <c r="B20" i="28"/>
  <c r="B19" i="28"/>
  <c r="B18" i="28"/>
  <c r="D15" i="28"/>
  <c r="D14" i="28"/>
  <c r="D13" i="28"/>
  <c r="G12" i="28"/>
  <c r="I12" i="28" s="1"/>
  <c r="I11" i="28"/>
  <c r="G10" i="28"/>
  <c r="I10" i="28" s="1"/>
  <c r="G9" i="28"/>
  <c r="I9" i="28" s="1"/>
  <c r="N9" i="10" s="1"/>
  <c r="G8" i="28"/>
  <c r="I8" i="28" s="1"/>
  <c r="N10" i="10" s="1"/>
  <c r="G7" i="28"/>
  <c r="I7" i="28" s="1"/>
  <c r="N8" i="10" s="1"/>
  <c r="G6" i="28"/>
  <c r="I6" i="28" s="1"/>
  <c r="G5" i="28"/>
  <c r="I5" i="28" s="1"/>
  <c r="N11" i="10" s="1"/>
  <c r="G4" i="28"/>
  <c r="I4" i="28" s="1"/>
  <c r="G3" i="28"/>
  <c r="C3" i="28"/>
  <c r="D25" i="27"/>
  <c r="D24" i="27"/>
  <c r="D28" i="27" s="1"/>
  <c r="I11" i="27" s="1"/>
  <c r="T15" i="10" s="1"/>
  <c r="B20" i="27"/>
  <c r="B19" i="27"/>
  <c r="B18" i="27"/>
  <c r="D15" i="27"/>
  <c r="D14" i="27"/>
  <c r="D13" i="27"/>
  <c r="G12" i="27"/>
  <c r="I12" i="27" s="1"/>
  <c r="G10" i="27"/>
  <c r="I10" i="27" s="1"/>
  <c r="G9" i="27"/>
  <c r="I9" i="27" s="1"/>
  <c r="T9" i="10" s="1"/>
  <c r="G8" i="27"/>
  <c r="I8" i="27" s="1"/>
  <c r="T10" i="10" s="1"/>
  <c r="G7" i="27"/>
  <c r="I7" i="27" s="1"/>
  <c r="T8" i="10" s="1"/>
  <c r="G6" i="27"/>
  <c r="I6" i="27" s="1"/>
  <c r="G5" i="27"/>
  <c r="I5" i="27" s="1"/>
  <c r="T11" i="10" s="1"/>
  <c r="G4" i="27"/>
  <c r="C4" i="27"/>
  <c r="G3" i="27"/>
  <c r="C3" i="27"/>
  <c r="B25" i="26"/>
  <c r="D25" i="26" s="1"/>
  <c r="D24" i="26"/>
  <c r="D28" i="26" s="1"/>
  <c r="I11" i="26" s="1"/>
  <c r="K15" i="10" s="1"/>
  <c r="B20" i="26"/>
  <c r="B19" i="26"/>
  <c r="B18" i="26"/>
  <c r="D15" i="26"/>
  <c r="D14" i="26"/>
  <c r="D13" i="26"/>
  <c r="G12" i="26"/>
  <c r="I12" i="26" s="1"/>
  <c r="G11" i="26"/>
  <c r="G10" i="26"/>
  <c r="I10" i="26" s="1"/>
  <c r="G9" i="26"/>
  <c r="I9" i="26" s="1"/>
  <c r="K9" i="10" s="1"/>
  <c r="G8" i="26"/>
  <c r="I8" i="26" s="1"/>
  <c r="K10" i="10" s="1"/>
  <c r="G7" i="26"/>
  <c r="I7" i="26" s="1"/>
  <c r="K8" i="10" s="1"/>
  <c r="E6" i="26"/>
  <c r="G6" i="26" s="1"/>
  <c r="I6" i="26" s="1"/>
  <c r="G5" i="26"/>
  <c r="I5" i="26" s="1"/>
  <c r="K11" i="10" s="1"/>
  <c r="G4" i="26"/>
  <c r="C4" i="26"/>
  <c r="G3" i="26"/>
  <c r="C3" i="26"/>
  <c r="D25" i="25"/>
  <c r="D24" i="25"/>
  <c r="D23" i="25"/>
  <c r="D27" i="25" s="1"/>
  <c r="I10" i="25" s="1"/>
  <c r="R15" i="10" s="1"/>
  <c r="B19" i="25"/>
  <c r="B18" i="25"/>
  <c r="B17" i="25"/>
  <c r="D14" i="25"/>
  <c r="D13" i="25"/>
  <c r="D12" i="25"/>
  <c r="G11" i="25"/>
  <c r="I11" i="25" s="1"/>
  <c r="G9" i="25"/>
  <c r="I8" i="25"/>
  <c r="G8" i="25"/>
  <c r="G7" i="25"/>
  <c r="I7" i="25" s="1"/>
  <c r="R10" i="10" s="1"/>
  <c r="G6" i="25"/>
  <c r="I6" i="25" s="1"/>
  <c r="R8" i="10" s="1"/>
  <c r="G5" i="25"/>
  <c r="I5" i="25" s="1"/>
  <c r="R11" i="10" s="1"/>
  <c r="G4" i="25"/>
  <c r="I4" i="25" s="1"/>
  <c r="C4" i="25"/>
  <c r="B4" i="25"/>
  <c r="G3" i="25"/>
  <c r="I3" i="25" s="1"/>
  <c r="C3" i="25"/>
  <c r="B3" i="25"/>
  <c r="D19" i="24"/>
  <c r="D23" i="24" s="1"/>
  <c r="I7" i="24" s="1"/>
  <c r="Q11" i="10" s="1"/>
  <c r="B15" i="24"/>
  <c r="B14" i="24"/>
  <c r="B13" i="24"/>
  <c r="D10" i="24"/>
  <c r="D9" i="24"/>
  <c r="D8" i="24"/>
  <c r="G7" i="24"/>
  <c r="G6" i="24"/>
  <c r="G5" i="24"/>
  <c r="G4" i="24"/>
  <c r="G3" i="24"/>
  <c r="I3" i="24" s="1"/>
  <c r="C3" i="24"/>
  <c r="B3" i="24"/>
  <c r="D26" i="23"/>
  <c r="B18" i="23"/>
  <c r="B17" i="23"/>
  <c r="B16" i="23"/>
  <c r="D13" i="23"/>
  <c r="D12" i="23"/>
  <c r="D11" i="23"/>
  <c r="G10" i="23"/>
  <c r="I10" i="23" s="1"/>
  <c r="P15" i="10" s="1"/>
  <c r="G9" i="23"/>
  <c r="I9" i="23" s="1"/>
  <c r="P11" i="10" s="1"/>
  <c r="G8" i="23"/>
  <c r="I8" i="23" s="1"/>
  <c r="G7" i="23"/>
  <c r="I7" i="23" s="1"/>
  <c r="P9" i="10" s="1"/>
  <c r="G6" i="23"/>
  <c r="I6" i="23" s="1"/>
  <c r="P10" i="10" s="1"/>
  <c r="E5" i="23"/>
  <c r="G5" i="23" s="1"/>
  <c r="I5" i="23" s="1"/>
  <c r="P8" i="10" s="1"/>
  <c r="G4" i="23"/>
  <c r="I4" i="23" s="1"/>
  <c r="G3" i="23"/>
  <c r="I3" i="23" s="1"/>
  <c r="C3" i="23"/>
  <c r="B3" i="23"/>
  <c r="B15" i="22"/>
  <c r="B14" i="22"/>
  <c r="B13" i="22"/>
  <c r="D10" i="22"/>
  <c r="D9" i="22"/>
  <c r="D8" i="22"/>
  <c r="G7" i="22"/>
  <c r="I7" i="22" s="1"/>
  <c r="G6" i="22"/>
  <c r="I6" i="22" s="1"/>
  <c r="M15" i="10" s="1"/>
  <c r="G5" i="22"/>
  <c r="I5" i="22" s="1"/>
  <c r="G4" i="22"/>
  <c r="I4" i="22" s="1"/>
  <c r="M8" i="10" s="1"/>
  <c r="G3" i="22"/>
  <c r="I3" i="22" s="1"/>
  <c r="C3" i="22"/>
  <c r="B3" i="22"/>
  <c r="B17" i="21"/>
  <c r="B16" i="21"/>
  <c r="B15" i="21"/>
  <c r="D12" i="21"/>
  <c r="D11" i="21"/>
  <c r="D10" i="21"/>
  <c r="G9" i="21"/>
  <c r="I9" i="21" s="1"/>
  <c r="G8" i="21"/>
  <c r="I8" i="21" s="1"/>
  <c r="G7" i="21"/>
  <c r="I7" i="21" s="1"/>
  <c r="G6" i="21"/>
  <c r="I6" i="21" s="1"/>
  <c r="O8" i="10" s="1"/>
  <c r="G5" i="21"/>
  <c r="I5" i="21" s="1"/>
  <c r="G3" i="21"/>
  <c r="I3" i="21" s="1"/>
  <c r="C3" i="21"/>
  <c r="B3" i="21"/>
  <c r="D23" i="20"/>
  <c r="B19" i="20"/>
  <c r="B18" i="20"/>
  <c r="B17" i="20"/>
  <c r="D14" i="20"/>
  <c r="D13" i="20"/>
  <c r="D12" i="20"/>
  <c r="I11" i="20"/>
  <c r="G10" i="20"/>
  <c r="I10" i="20" s="1"/>
  <c r="G9" i="20"/>
  <c r="I9" i="20" s="1"/>
  <c r="G8" i="20"/>
  <c r="I8" i="20" s="1"/>
  <c r="L9" i="10" s="1"/>
  <c r="G7" i="20"/>
  <c r="I7" i="20" s="1"/>
  <c r="G6" i="20"/>
  <c r="I6" i="20" s="1"/>
  <c r="L8" i="10" s="1"/>
  <c r="G5" i="20"/>
  <c r="I5" i="20" s="1"/>
  <c r="L11" i="10" s="1"/>
  <c r="G4" i="20"/>
  <c r="I4" i="20" s="1"/>
  <c r="G3" i="20"/>
  <c r="I3" i="20" s="1"/>
  <c r="C3" i="20"/>
  <c r="B3" i="20"/>
  <c r="D22" i="19"/>
  <c r="D21" i="19"/>
  <c r="D23" i="19" s="1"/>
  <c r="B17" i="19"/>
  <c r="B16" i="19"/>
  <c r="B15" i="19"/>
  <c r="D12" i="19"/>
  <c r="D11" i="19"/>
  <c r="D10" i="19"/>
  <c r="H9" i="19"/>
  <c r="I9" i="19" s="1"/>
  <c r="H8" i="19"/>
  <c r="I8" i="19" s="1"/>
  <c r="H7" i="19"/>
  <c r="I7" i="19" s="1"/>
  <c r="V10" i="10" s="1"/>
  <c r="H6" i="19"/>
  <c r="I6" i="19" s="1"/>
  <c r="V8" i="10" s="1"/>
  <c r="H5" i="19"/>
  <c r="I5" i="19" s="1"/>
  <c r="V11" i="10" s="1"/>
  <c r="H4" i="19"/>
  <c r="I4" i="19" s="1"/>
  <c r="C4" i="19"/>
  <c r="B4" i="19"/>
  <c r="H3" i="19"/>
  <c r="C3" i="19"/>
  <c r="B3" i="19"/>
  <c r="I3" i="19" s="1"/>
  <c r="B28" i="18"/>
  <c r="D28" i="18" s="1"/>
  <c r="H11" i="18" s="1"/>
  <c r="I11" i="18" s="1"/>
  <c r="G15" i="10" s="1"/>
  <c r="D25" i="18"/>
  <c r="D24" i="18"/>
  <c r="D23" i="18"/>
  <c r="B19" i="18"/>
  <c r="B18" i="18"/>
  <c r="B17" i="18"/>
  <c r="D14" i="18"/>
  <c r="D13" i="18"/>
  <c r="D12" i="18"/>
  <c r="H10" i="18"/>
  <c r="I10" i="18" s="1"/>
  <c r="H9" i="18"/>
  <c r="I9" i="18" s="1"/>
  <c r="H8" i="18"/>
  <c r="I8" i="18" s="1"/>
  <c r="G9" i="10" s="1"/>
  <c r="H7" i="18"/>
  <c r="I7" i="18" s="1"/>
  <c r="G10" i="10" s="1"/>
  <c r="H6" i="18"/>
  <c r="I6" i="18" s="1"/>
  <c r="G8" i="10" s="1"/>
  <c r="H5" i="18"/>
  <c r="I5" i="18" s="1"/>
  <c r="G11" i="10" s="1"/>
  <c r="H4" i="18"/>
  <c r="I4" i="18" s="1"/>
  <c r="G14" i="10" s="1"/>
  <c r="H3" i="18"/>
  <c r="I3" i="18" s="1"/>
  <c r="D31" i="17"/>
  <c r="D30" i="17"/>
  <c r="D29" i="17"/>
  <c r="B28" i="17"/>
  <c r="B24" i="17"/>
  <c r="B23" i="17"/>
  <c r="B22" i="17"/>
  <c r="D19" i="17"/>
  <c r="D18" i="17"/>
  <c r="D17" i="17"/>
  <c r="H15" i="17"/>
  <c r="I15" i="17" s="1"/>
  <c r="H14" i="17"/>
  <c r="H13" i="17"/>
  <c r="I13" i="17" s="1"/>
  <c r="E12" i="17"/>
  <c r="H12" i="17" s="1"/>
  <c r="I12" i="17" s="1"/>
  <c r="H11" i="17"/>
  <c r="I11" i="17" s="1"/>
  <c r="I9" i="10" s="1"/>
  <c r="H10" i="17"/>
  <c r="I10" i="17" s="1"/>
  <c r="I10" i="10" s="1"/>
  <c r="E9" i="17"/>
  <c r="H9" i="17" s="1"/>
  <c r="I9" i="17" s="1"/>
  <c r="I8" i="10" s="1"/>
  <c r="E8" i="17"/>
  <c r="H8" i="17" s="1"/>
  <c r="I8" i="17" s="1"/>
  <c r="H7" i="17"/>
  <c r="I7" i="17" s="1"/>
  <c r="I11" i="10" s="1"/>
  <c r="H6" i="17"/>
  <c r="I6" i="17" s="1"/>
  <c r="I14" i="10" s="1"/>
  <c r="E5" i="17"/>
  <c r="H5" i="17" s="1"/>
  <c r="I5" i="17" s="1"/>
  <c r="C5" i="17"/>
  <c r="B5" i="17"/>
  <c r="H4" i="17"/>
  <c r="I4" i="17" s="1"/>
  <c r="C4" i="17"/>
  <c r="B4" i="17"/>
  <c r="E3" i="17"/>
  <c r="H3" i="17" s="1"/>
  <c r="I3" i="17" s="1"/>
  <c r="C3" i="17"/>
  <c r="B3" i="17"/>
  <c r="B29" i="16"/>
  <c r="D29" i="16" s="1"/>
  <c r="H12" i="16" s="1"/>
  <c r="I12" i="16" s="1"/>
  <c r="H15" i="10" s="1"/>
  <c r="D26" i="16"/>
  <c r="D25" i="16"/>
  <c r="D24" i="16"/>
  <c r="B20" i="16"/>
  <c r="B19" i="16"/>
  <c r="B18" i="16"/>
  <c r="D15" i="16"/>
  <c r="D14" i="16"/>
  <c r="D13" i="16"/>
  <c r="H11" i="16"/>
  <c r="I11" i="16" s="1"/>
  <c r="H10" i="16"/>
  <c r="I10" i="16" s="1"/>
  <c r="H9" i="16"/>
  <c r="I9" i="16" s="1"/>
  <c r="H9" i="10" s="1"/>
  <c r="H8" i="16"/>
  <c r="I8" i="16" s="1"/>
  <c r="H10" i="10" s="1"/>
  <c r="H7" i="16"/>
  <c r="I7" i="16" s="1"/>
  <c r="H8" i="10" s="1"/>
  <c r="E6" i="16"/>
  <c r="H6" i="16" s="1"/>
  <c r="I6" i="16" s="1"/>
  <c r="H11" i="10" s="1"/>
  <c r="H5" i="16"/>
  <c r="I5" i="16" s="1"/>
  <c r="H14" i="10" s="1"/>
  <c r="H4" i="16"/>
  <c r="I4" i="16" s="1"/>
  <c r="C4" i="16"/>
  <c r="B4" i="16"/>
  <c r="H3" i="16"/>
  <c r="I3" i="16" s="1"/>
  <c r="B3" i="16"/>
  <c r="B28" i="15"/>
  <c r="D28" i="15" s="1"/>
  <c r="H11" i="15" s="1"/>
  <c r="I11" i="15" s="1"/>
  <c r="F15" i="10" s="1"/>
  <c r="D24" i="15"/>
  <c r="D23" i="15"/>
  <c r="B19" i="15"/>
  <c r="B18" i="15"/>
  <c r="D14" i="15" s="1"/>
  <c r="B17" i="15"/>
  <c r="D13" i="15"/>
  <c r="D12" i="15"/>
  <c r="H10" i="15"/>
  <c r="I10" i="15" s="1"/>
  <c r="H9" i="15"/>
  <c r="I9" i="15" s="1"/>
  <c r="H8" i="15"/>
  <c r="I8" i="15" s="1"/>
  <c r="F9" i="10" s="1"/>
  <c r="H7" i="15"/>
  <c r="I7" i="15" s="1"/>
  <c r="F10" i="10" s="1"/>
  <c r="H6" i="15"/>
  <c r="I6" i="15" s="1"/>
  <c r="F8" i="10" s="1"/>
  <c r="E5" i="15"/>
  <c r="H5" i="15" s="1"/>
  <c r="I5" i="15" s="1"/>
  <c r="F11" i="10" s="1"/>
  <c r="E4" i="15"/>
  <c r="H4" i="15" s="1"/>
  <c r="I4" i="15" s="1"/>
  <c r="H3" i="15"/>
  <c r="I3" i="15" s="1"/>
  <c r="C3" i="15"/>
  <c r="B3" i="15"/>
  <c r="B29" i="14"/>
  <c r="D29" i="14" s="1"/>
  <c r="H12" i="14" s="1"/>
  <c r="I12" i="14" s="1"/>
  <c r="D25" i="14"/>
  <c r="D24" i="14"/>
  <c r="B20" i="14"/>
  <c r="B19" i="14"/>
  <c r="B18" i="14"/>
  <c r="D15" i="14"/>
  <c r="D14" i="14"/>
  <c r="D13" i="14"/>
  <c r="H11" i="14"/>
  <c r="I11" i="14" s="1"/>
  <c r="I10" i="14"/>
  <c r="H10" i="14"/>
  <c r="H9" i="14"/>
  <c r="I9" i="14" s="1"/>
  <c r="H8" i="14"/>
  <c r="I8" i="14" s="1"/>
  <c r="H7" i="14"/>
  <c r="I7" i="14" s="1"/>
  <c r="E8" i="10" s="1"/>
  <c r="H6" i="14"/>
  <c r="I6" i="14" s="1"/>
  <c r="H5" i="14"/>
  <c r="I5" i="14" s="1"/>
  <c r="H4" i="14"/>
  <c r="I4" i="14" s="1"/>
  <c r="C4" i="14"/>
  <c r="B4" i="14"/>
  <c r="H3" i="14"/>
  <c r="I3" i="14" s="1"/>
  <c r="C3" i="14"/>
  <c r="B3" i="14"/>
  <c r="B28" i="13"/>
  <c r="D28" i="13" s="1"/>
  <c r="H11" i="13" s="1"/>
  <c r="I11" i="13" s="1"/>
  <c r="D24" i="13"/>
  <c r="D23" i="13"/>
  <c r="B19" i="13"/>
  <c r="B18" i="13"/>
  <c r="B17" i="13"/>
  <c r="D14" i="13"/>
  <c r="D13" i="13"/>
  <c r="D12" i="13"/>
  <c r="H10" i="13"/>
  <c r="I10" i="13" s="1"/>
  <c r="H9" i="13"/>
  <c r="I9" i="13" s="1"/>
  <c r="H8" i="13"/>
  <c r="I8" i="13" s="1"/>
  <c r="H7" i="13"/>
  <c r="I7" i="13" s="1"/>
  <c r="H6" i="13"/>
  <c r="I6" i="13" s="1"/>
  <c r="D8" i="10" s="1"/>
  <c r="H5" i="13"/>
  <c r="I5" i="13" s="1"/>
  <c r="H4" i="13"/>
  <c r="I4" i="13" s="1"/>
  <c r="H3" i="13"/>
  <c r="I3" i="13" s="1"/>
  <c r="C3" i="13"/>
  <c r="B3" i="13"/>
  <c r="D27" i="12"/>
  <c r="D26" i="12"/>
  <c r="B25" i="12"/>
  <c r="B21" i="12"/>
  <c r="B20" i="12"/>
  <c r="B19" i="12"/>
  <c r="D16" i="12"/>
  <c r="D15" i="12"/>
  <c r="D14" i="12"/>
  <c r="E12" i="12"/>
  <c r="H12" i="12" s="1"/>
  <c r="I12" i="12" s="1"/>
  <c r="E11" i="12"/>
  <c r="H11" i="12" s="1"/>
  <c r="I11" i="12" s="1"/>
  <c r="H10" i="12"/>
  <c r="I10" i="12" s="1"/>
  <c r="C9" i="10" s="1"/>
  <c r="H9" i="12"/>
  <c r="I9" i="12" s="1"/>
  <c r="C10" i="10" s="1"/>
  <c r="H8" i="12"/>
  <c r="I8" i="12" s="1"/>
  <c r="C8" i="10" s="1"/>
  <c r="E7" i="12"/>
  <c r="H7" i="12" s="1"/>
  <c r="I7" i="12" s="1"/>
  <c r="C11" i="10" s="1"/>
  <c r="H6" i="12"/>
  <c r="I6" i="12" s="1"/>
  <c r="C14" i="10" s="1"/>
  <c r="H5" i="12"/>
  <c r="I5" i="12" s="1"/>
  <c r="C5" i="12"/>
  <c r="B5" i="12"/>
  <c r="H4" i="12"/>
  <c r="I4" i="12" s="1"/>
  <c r="C4" i="12"/>
  <c r="B4" i="12"/>
  <c r="H3" i="12"/>
  <c r="I3" i="12" s="1"/>
  <c r="C3" i="12"/>
  <c r="B3" i="12"/>
  <c r="AU17" i="10"/>
  <c r="AL15" i="10"/>
  <c r="W15" i="10"/>
  <c r="N15" i="10"/>
  <c r="L15" i="10"/>
  <c r="AG14" i="10"/>
  <c r="AD14" i="10"/>
  <c r="R9" i="10"/>
  <c r="AL6" i="10"/>
  <c r="AI6" i="10"/>
  <c r="AF6" i="10"/>
  <c r="AC6" i="10"/>
  <c r="Z6" i="10"/>
  <c r="Y6" i="10"/>
  <c r="W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F6" i="10"/>
  <c r="E6" i="10"/>
  <c r="D6" i="10"/>
  <c r="C6" i="10"/>
  <c r="AF5" i="10"/>
  <c r="H5" i="10"/>
  <c r="G5" i="10"/>
  <c r="AR4" i="10"/>
  <c r="AQ4" i="10"/>
  <c r="AP4" i="10"/>
  <c r="AO4" i="10"/>
  <c r="AM4" i="10"/>
  <c r="AL4" i="10"/>
  <c r="AK4" i="10"/>
  <c r="AJ4" i="10"/>
  <c r="AI4" i="10"/>
  <c r="AG4" i="10"/>
  <c r="AE4" i="10"/>
  <c r="AD4" i="10"/>
  <c r="AC4" i="10"/>
  <c r="AA4" i="10"/>
  <c r="Z4" i="10"/>
  <c r="Y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F4" i="10"/>
  <c r="E4" i="10"/>
  <c r="D4" i="10"/>
  <c r="C4" i="10"/>
  <c r="AR3" i="10"/>
  <c r="AR5" i="10" s="1"/>
  <c r="AQ3" i="10"/>
  <c r="AQ5" i="10" s="1"/>
  <c r="AP3" i="10"/>
  <c r="AP5" i="10" s="1"/>
  <c r="AO3" i="10"/>
  <c r="AO5" i="10" s="1"/>
  <c r="AM3" i="10"/>
  <c r="AM5" i="10" s="1"/>
  <c r="AL3" i="10"/>
  <c r="AL5" i="10" s="1"/>
  <c r="AK3" i="10"/>
  <c r="AK5" i="10" s="1"/>
  <c r="AJ3" i="10"/>
  <c r="AJ5" i="10" s="1"/>
  <c r="AI3" i="10"/>
  <c r="AI5" i="10" s="1"/>
  <c r="AG3" i="10"/>
  <c r="AG5" i="10" s="1"/>
  <c r="AE3" i="10"/>
  <c r="AE5" i="10" s="1"/>
  <c r="AD3" i="10"/>
  <c r="AD5" i="10" s="1"/>
  <c r="AC3" i="10"/>
  <c r="AC5" i="10" s="1"/>
  <c r="AA3" i="10"/>
  <c r="AA5" i="10" s="1"/>
  <c r="Z3" i="10"/>
  <c r="Z5" i="10" s="1"/>
  <c r="Y3" i="10"/>
  <c r="Y5" i="10" s="1"/>
  <c r="W3" i="10"/>
  <c r="W5" i="10" s="1"/>
  <c r="V3" i="10"/>
  <c r="V5" i="10" s="1"/>
  <c r="U3" i="10"/>
  <c r="U5" i="10" s="1"/>
  <c r="T3" i="10"/>
  <c r="S3" i="10"/>
  <c r="R3" i="10"/>
  <c r="Q3" i="10"/>
  <c r="P3" i="10"/>
  <c r="O3" i="10"/>
  <c r="N3" i="10"/>
  <c r="M3" i="10"/>
  <c r="L3" i="10"/>
  <c r="K3" i="10"/>
  <c r="J3" i="10"/>
  <c r="I3" i="10"/>
  <c r="F3" i="10"/>
  <c r="E3" i="10"/>
  <c r="D3" i="10"/>
  <c r="C3" i="10"/>
  <c r="D22" i="9"/>
  <c r="D21" i="9"/>
  <c r="D20" i="9"/>
  <c r="D19" i="9"/>
  <c r="D18" i="9"/>
  <c r="B17" i="9"/>
  <c r="D17" i="9" s="1"/>
  <c r="D16" i="9"/>
  <c r="B15" i="9"/>
  <c r="D15" i="9" s="1"/>
  <c r="B14" i="9"/>
  <c r="D14" i="9" s="1"/>
  <c r="B13" i="9"/>
  <c r="D13" i="9" s="1"/>
  <c r="B12" i="9"/>
  <c r="D12" i="9" s="1"/>
  <c r="D11" i="9"/>
  <c r="D10" i="9"/>
  <c r="B9" i="9"/>
  <c r="D9" i="9" s="1"/>
  <c r="B8" i="9"/>
  <c r="D8" i="9" s="1"/>
  <c r="D7" i="9"/>
  <c r="D6" i="9"/>
  <c r="B5" i="9"/>
  <c r="D5" i="9" s="1"/>
  <c r="B4" i="9"/>
  <c r="D4" i="9" s="1"/>
  <c r="D3" i="9"/>
  <c r="B2" i="9"/>
  <c r="D18" i="8"/>
  <c r="D8" i="8"/>
  <c r="D7" i="8"/>
  <c r="B6" i="8"/>
  <c r="D6" i="8" s="1"/>
  <c r="D5" i="8"/>
  <c r="B4" i="8"/>
  <c r="D4" i="8" s="1"/>
  <c r="D3" i="8"/>
  <c r="D2" i="8"/>
  <c r="D15" i="8" s="1"/>
  <c r="D15" i="7"/>
  <c r="E12" i="7"/>
  <c r="D12" i="7"/>
  <c r="F12" i="7" s="1"/>
  <c r="D6" i="7"/>
  <c r="D5" i="7"/>
  <c r="D4" i="7"/>
  <c r="B3" i="7"/>
  <c r="D3" i="7" s="1"/>
  <c r="D2" i="7"/>
  <c r="D8" i="7" s="1"/>
  <c r="D4" i="6"/>
  <c r="B3" i="6"/>
  <c r="D3" i="6" s="1"/>
  <c r="D2" i="6"/>
  <c r="D20" i="6" s="1"/>
  <c r="D71" i="5"/>
  <c r="C71" i="5"/>
  <c r="B71" i="5"/>
  <c r="D66" i="5"/>
  <c r="B12" i="49" s="1"/>
  <c r="C66" i="5"/>
  <c r="B66" i="5"/>
  <c r="D61" i="5"/>
  <c r="C61" i="5"/>
  <c r="B61" i="5"/>
  <c r="B5" i="5" s="1"/>
  <c r="E5" i="5" s="1"/>
  <c r="D53" i="5"/>
  <c r="C53" i="5"/>
  <c r="B53" i="5"/>
  <c r="E43" i="5"/>
  <c r="B3" i="35" s="1"/>
  <c r="C43" i="5"/>
  <c r="B43" i="5"/>
  <c r="D40" i="5"/>
  <c r="H37" i="5"/>
  <c r="G37" i="5"/>
  <c r="F37" i="5"/>
  <c r="E37" i="5"/>
  <c r="D37" i="5"/>
  <c r="C37" i="5"/>
  <c r="B37" i="5"/>
  <c r="E13" i="5"/>
  <c r="D12" i="5"/>
  <c r="D11" i="5"/>
  <c r="D10" i="5"/>
  <c r="C7" i="5"/>
  <c r="B7" i="5"/>
  <c r="E7" i="5" s="1"/>
  <c r="H7" i="9" s="1"/>
  <c r="C6" i="5"/>
  <c r="B6" i="5"/>
  <c r="E6" i="5" s="1"/>
  <c r="C5" i="5"/>
  <c r="C4" i="5"/>
  <c r="B4" i="5"/>
  <c r="E4" i="5" s="1"/>
  <c r="C3" i="5"/>
  <c r="B3" i="5"/>
  <c r="E3" i="5" s="1"/>
  <c r="C2" i="5"/>
  <c r="C8" i="5" s="1"/>
  <c r="B2" i="5"/>
  <c r="E30" i="4"/>
  <c r="D30" i="4"/>
  <c r="F30" i="4" s="1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B7" i="4"/>
  <c r="D7" i="4" s="1"/>
  <c r="D6" i="4"/>
  <c r="D5" i="4"/>
  <c r="B4" i="4"/>
  <c r="D4" i="4" s="1"/>
  <c r="D3" i="4"/>
  <c r="B2" i="4"/>
  <c r="D2" i="3"/>
  <c r="D7" i="3" s="1"/>
  <c r="C13" i="42" l="1"/>
  <c r="C12" i="42"/>
  <c r="C11" i="42"/>
  <c r="AP7" i="10"/>
  <c r="AQ7" i="10"/>
  <c r="H5" i="47"/>
  <c r="I5" i="47"/>
  <c r="AO8" i="10" s="1"/>
  <c r="H4" i="47"/>
  <c r="I4" i="47"/>
  <c r="AO11" i="10" s="1"/>
  <c r="AM7" i="10"/>
  <c r="D9" i="32"/>
  <c r="D10" i="32"/>
  <c r="D11" i="32"/>
  <c r="I11" i="32" s="1"/>
  <c r="U16" i="10" s="1"/>
  <c r="R7" i="10"/>
  <c r="Q7" i="10"/>
  <c r="P7" i="10"/>
  <c r="M9" i="10"/>
  <c r="M10" i="10"/>
  <c r="M7" i="10"/>
  <c r="O7" i="10"/>
  <c r="L7" i="10"/>
  <c r="V9" i="10"/>
  <c r="V15" i="10"/>
  <c r="G7" i="10"/>
  <c r="D28" i="17"/>
  <c r="B33" i="17"/>
  <c r="D33" i="17" s="1"/>
  <c r="H16" i="17" s="1"/>
  <c r="I16" i="17" s="1"/>
  <c r="I15" i="10" s="1"/>
  <c r="I7" i="10"/>
  <c r="H7" i="10"/>
  <c r="F7" i="10"/>
  <c r="E7" i="10"/>
  <c r="D7" i="10"/>
  <c r="D25" i="12"/>
  <c r="B30" i="12"/>
  <c r="D30" i="12" s="1"/>
  <c r="H13" i="12" s="1"/>
  <c r="I13" i="12" s="1"/>
  <c r="C15" i="10" s="1"/>
  <c r="C7" i="10"/>
  <c r="T5" i="10"/>
  <c r="S5" i="10"/>
  <c r="R5" i="10"/>
  <c r="Q5" i="10"/>
  <c r="P5" i="10"/>
  <c r="O5" i="10"/>
  <c r="N5" i="10"/>
  <c r="M5" i="10"/>
  <c r="L5" i="10"/>
  <c r="K5" i="10"/>
  <c r="J5" i="10"/>
  <c r="I5" i="10"/>
  <c r="F5" i="10"/>
  <c r="E5" i="10"/>
  <c r="D5" i="10"/>
  <c r="C5" i="10"/>
  <c r="AT4" i="10"/>
  <c r="D2" i="9"/>
  <c r="D23" i="9" s="1"/>
  <c r="B23" i="9"/>
  <c r="G6" i="36"/>
  <c r="I6" i="36" s="1"/>
  <c r="AA16" i="10" s="1"/>
  <c r="G14" i="37"/>
  <c r="I14" i="37" s="1"/>
  <c r="AC16" i="10" s="1"/>
  <c r="G8" i="38"/>
  <c r="I8" i="38" s="1"/>
  <c r="AD16" i="10" s="1"/>
  <c r="G5" i="39"/>
  <c r="I5" i="39" s="1"/>
  <c r="AE16" i="10" s="1"/>
  <c r="G8" i="40"/>
  <c r="I8" i="40" s="1"/>
  <c r="AF16" i="10" s="1"/>
  <c r="G7" i="41"/>
  <c r="I7" i="41" s="1"/>
  <c r="AG16" i="10" s="1"/>
  <c r="F13" i="42"/>
  <c r="H13" i="42" s="1"/>
  <c r="AJ16" i="10" s="1"/>
  <c r="G9" i="43"/>
  <c r="I9" i="43" s="1"/>
  <c r="AI16" i="10" s="1"/>
  <c r="H14" i="45"/>
  <c r="I14" i="45" s="1"/>
  <c r="AL16" i="10" s="1"/>
  <c r="G8" i="47"/>
  <c r="I8" i="47" s="1"/>
  <c r="AO16" i="10" s="1"/>
  <c r="G9" i="48"/>
  <c r="I9" i="48" s="1"/>
  <c r="AQ16" i="10" s="1"/>
  <c r="G7" i="50"/>
  <c r="I7" i="50" s="1"/>
  <c r="AR16" i="10" s="1"/>
  <c r="B2" i="44"/>
  <c r="I2" i="44" s="1"/>
  <c r="B3" i="45"/>
  <c r="I3" i="45" s="1"/>
  <c r="B2" i="43"/>
  <c r="I2" i="43" s="1"/>
  <c r="B2" i="50"/>
  <c r="I2" i="50" s="1"/>
  <c r="B2" i="47"/>
  <c r="I2" i="47" s="1"/>
  <c r="B2" i="37"/>
  <c r="I2" i="37" s="1"/>
  <c r="B2" i="38"/>
  <c r="I2" i="38" s="1"/>
  <c r="B2" i="39"/>
  <c r="I2" i="39" s="1"/>
  <c r="B2" i="40"/>
  <c r="I2" i="40" s="1"/>
  <c r="B2" i="41"/>
  <c r="I2" i="41" s="1"/>
  <c r="D43" i="5"/>
  <c r="B21" i="33"/>
  <c r="B4" i="29"/>
  <c r="I4" i="29" s="1"/>
  <c r="B4" i="30"/>
  <c r="I4" i="30" s="1"/>
  <c r="B4" i="26"/>
  <c r="I4" i="26" s="1"/>
  <c r="B4" i="27"/>
  <c r="I4" i="27" s="1"/>
  <c r="B5" i="31"/>
  <c r="I5" i="31" s="1"/>
  <c r="B3" i="27"/>
  <c r="I3" i="27" s="1"/>
  <c r="B3" i="28"/>
  <c r="I3" i="28" s="1"/>
  <c r="B3" i="29"/>
  <c r="I3" i="29" s="1"/>
  <c r="B4" i="31"/>
  <c r="I4" i="31" s="1"/>
  <c r="B3" i="32"/>
  <c r="I3" i="32" s="1"/>
  <c r="B3" i="31"/>
  <c r="I3" i="31" s="1"/>
  <c r="B3" i="26"/>
  <c r="I3" i="26" s="1"/>
  <c r="B3" i="30"/>
  <c r="I3" i="30" s="1"/>
  <c r="F2" i="6"/>
  <c r="F4" i="6" s="1"/>
  <c r="H6" i="9"/>
  <c r="H5" i="9"/>
  <c r="F2" i="3"/>
  <c r="F4" i="3" s="1"/>
  <c r="G2" i="7"/>
  <c r="G4" i="7" s="1"/>
  <c r="H4" i="9"/>
  <c r="F2" i="8"/>
  <c r="F4" i="8" s="1"/>
  <c r="H3" i="9"/>
  <c r="E2" i="5"/>
  <c r="B8" i="5"/>
  <c r="G14" i="13"/>
  <c r="I14" i="13" s="1"/>
  <c r="D16" i="10" s="1"/>
  <c r="G15" i="16"/>
  <c r="I15" i="16" s="1"/>
  <c r="H16" i="10" s="1"/>
  <c r="G19" i="17"/>
  <c r="I19" i="17" s="1"/>
  <c r="I16" i="10" s="1"/>
  <c r="G15" i="14"/>
  <c r="I15" i="14" s="1"/>
  <c r="E14" i="10" s="1"/>
  <c r="G16" i="12"/>
  <c r="I16" i="12" s="1"/>
  <c r="C16" i="10" s="1"/>
  <c r="G14" i="18"/>
  <c r="I14" i="18" s="1"/>
  <c r="G16" i="10" s="1"/>
  <c r="H10" i="24"/>
  <c r="I10" i="24" s="1"/>
  <c r="Q16" i="10" s="1"/>
  <c r="H14" i="25"/>
  <c r="I14" i="25" s="1"/>
  <c r="R16" i="10" s="1"/>
  <c r="H15" i="26"/>
  <c r="I15" i="26" s="1"/>
  <c r="K16" i="10" s="1"/>
  <c r="H15" i="27"/>
  <c r="I15" i="27" s="1"/>
  <c r="T16" i="10" s="1"/>
  <c r="H15" i="28"/>
  <c r="I15" i="28" s="1"/>
  <c r="N16" i="10" s="1"/>
  <c r="H15" i="29"/>
  <c r="I15" i="29" s="1"/>
  <c r="W16" i="10" s="1"/>
  <c r="G15" i="30"/>
  <c r="I15" i="30" s="1"/>
  <c r="J16" i="10" s="1"/>
  <c r="H14" i="31"/>
  <c r="I14" i="31" s="1"/>
  <c r="S16" i="10" s="1"/>
  <c r="H11" i="32"/>
  <c r="H10" i="22"/>
  <c r="I10" i="22" s="1"/>
  <c r="M16" i="10" s="1"/>
  <c r="F16" i="33"/>
  <c r="I16" i="33" s="1"/>
  <c r="Y16" i="10" s="1"/>
  <c r="H17" i="35"/>
  <c r="I17" i="35" s="1"/>
  <c r="Z16" i="10" s="1"/>
  <c r="G14" i="15"/>
  <c r="I14" i="15" s="1"/>
  <c r="F16" i="10" s="1"/>
  <c r="H14" i="20"/>
  <c r="I14" i="20" s="1"/>
  <c r="L16" i="10" s="1"/>
  <c r="H12" i="21"/>
  <c r="I12" i="21" s="1"/>
  <c r="O16" i="10" s="1"/>
  <c r="H13" i="23"/>
  <c r="I13" i="23" s="1"/>
  <c r="P16" i="10" s="1"/>
  <c r="G12" i="19"/>
  <c r="I12" i="19" s="1"/>
  <c r="V16" i="10" s="1"/>
  <c r="D2" i="4"/>
  <c r="D28" i="4" s="1"/>
  <c r="B28" i="4"/>
  <c r="AL11" i="10"/>
  <c r="H2" i="42"/>
  <c r="Q19" i="34"/>
  <c r="Y14" i="10"/>
  <c r="W8" i="10"/>
  <c r="V7" i="10"/>
  <c r="G4" i="44" l="1"/>
  <c r="I4" i="44" s="1"/>
  <c r="AK13" i="10" s="1"/>
  <c r="H13" i="45"/>
  <c r="I13" i="45" s="1"/>
  <c r="AL13" i="10" s="1"/>
  <c r="G7" i="43"/>
  <c r="I7" i="43" s="1"/>
  <c r="AI13" i="10" s="1"/>
  <c r="F11" i="42"/>
  <c r="H11" i="42" s="1"/>
  <c r="AJ13" i="10" s="1"/>
  <c r="AK7" i="10"/>
  <c r="AL7" i="10"/>
  <c r="AI7" i="10"/>
  <c r="AR7" i="10"/>
  <c r="AO7" i="10"/>
  <c r="AC7" i="10"/>
  <c r="AD7" i="10"/>
  <c r="AE7" i="10"/>
  <c r="AF7" i="10"/>
  <c r="AG7" i="10"/>
  <c r="B2" i="35"/>
  <c r="I2" i="35" s="1"/>
  <c r="B2" i="36"/>
  <c r="I2" i="36" s="1"/>
  <c r="B3" i="33"/>
  <c r="I3" i="33" s="1"/>
  <c r="T7" i="10"/>
  <c r="N7" i="10"/>
  <c r="W7" i="10"/>
  <c r="U7" i="10"/>
  <c r="S7" i="10"/>
  <c r="K7" i="10"/>
  <c r="J7" i="10"/>
  <c r="G6" i="50"/>
  <c r="I6" i="50" s="1"/>
  <c r="AR13" i="10" s="1"/>
  <c r="G6" i="49"/>
  <c r="I6" i="49" s="1"/>
  <c r="AP13" i="10" s="1"/>
  <c r="G8" i="48"/>
  <c r="I8" i="48" s="1"/>
  <c r="AQ13" i="10" s="1"/>
  <c r="G7" i="47"/>
  <c r="I7" i="47" s="1"/>
  <c r="AO13" i="10" s="1"/>
  <c r="G6" i="41"/>
  <c r="I6" i="41" s="1"/>
  <c r="AG13" i="10" s="1"/>
  <c r="G7" i="40"/>
  <c r="I7" i="40" s="1"/>
  <c r="AF13" i="10" s="1"/>
  <c r="G4" i="39"/>
  <c r="I4" i="39" s="1"/>
  <c r="AE13" i="10" s="1"/>
  <c r="G7" i="38"/>
  <c r="I7" i="38" s="1"/>
  <c r="AD13" i="10" s="1"/>
  <c r="G13" i="37"/>
  <c r="I13" i="37" s="1"/>
  <c r="AC13" i="10" s="1"/>
  <c r="G4" i="36"/>
  <c r="I4" i="36" s="1"/>
  <c r="AA13" i="10" s="1"/>
  <c r="H15" i="35"/>
  <c r="I15" i="35" s="1"/>
  <c r="Z13" i="10" s="1"/>
  <c r="F14" i="33"/>
  <c r="I14" i="33" s="1"/>
  <c r="Y13" i="10" s="1"/>
  <c r="E8" i="5"/>
  <c r="H2" i="9"/>
  <c r="H11" i="9" s="1"/>
  <c r="G16" i="9" s="1"/>
  <c r="F2" i="4"/>
  <c r="F4" i="4" s="1"/>
  <c r="AJ7" i="10"/>
  <c r="Z7" i="10" l="1"/>
  <c r="AA7" i="10"/>
  <c r="Y7" i="10"/>
  <c r="G10" i="19"/>
  <c r="I10" i="19" s="1"/>
  <c r="G5" i="50"/>
  <c r="I5" i="50" s="1"/>
  <c r="G5" i="49"/>
  <c r="I5" i="49" s="1"/>
  <c r="G7" i="48"/>
  <c r="I7" i="48" s="1"/>
  <c r="G6" i="47"/>
  <c r="I6" i="47" s="1"/>
  <c r="F4" i="46"/>
  <c r="G4" i="46" s="1"/>
  <c r="H12" i="45"/>
  <c r="I12" i="45" s="1"/>
  <c r="G5" i="44"/>
  <c r="I5" i="44" s="1"/>
  <c r="G8" i="43"/>
  <c r="I8" i="43" s="1"/>
  <c r="F12" i="42"/>
  <c r="H12" i="42" s="1"/>
  <c r="G5" i="41"/>
  <c r="I5" i="41" s="1"/>
  <c r="G6" i="40"/>
  <c r="I6" i="40" s="1"/>
  <c r="H8" i="24"/>
  <c r="I8" i="24" s="1"/>
  <c r="H10" i="21"/>
  <c r="I10" i="21" s="1"/>
  <c r="G3" i="39"/>
  <c r="I3" i="39" s="1"/>
  <c r="G6" i="38"/>
  <c r="I6" i="38" s="1"/>
  <c r="G12" i="37"/>
  <c r="I12" i="37" s="1"/>
  <c r="G5" i="36"/>
  <c r="I5" i="36" s="1"/>
  <c r="H16" i="35"/>
  <c r="I16" i="35" s="1"/>
  <c r="F15" i="33"/>
  <c r="I15" i="33" s="1"/>
  <c r="H11" i="23"/>
  <c r="I11" i="23" s="1"/>
  <c r="H8" i="22"/>
  <c r="I8" i="22" s="1"/>
  <c r="H12" i="20"/>
  <c r="I12" i="20" s="1"/>
  <c r="G14" i="12"/>
  <c r="I14" i="12" s="1"/>
  <c r="H9" i="32"/>
  <c r="I9" i="32" s="1"/>
  <c r="H12" i="31"/>
  <c r="I12" i="31" s="1"/>
  <c r="G13" i="30"/>
  <c r="I13" i="30" s="1"/>
  <c r="H13" i="29"/>
  <c r="I13" i="29" s="1"/>
  <c r="H13" i="28"/>
  <c r="I13" i="28" s="1"/>
  <c r="H13" i="27"/>
  <c r="I13" i="27" s="1"/>
  <c r="H13" i="26"/>
  <c r="I13" i="26" s="1"/>
  <c r="H12" i="25"/>
  <c r="I12" i="25" s="1"/>
  <c r="G12" i="18"/>
  <c r="I12" i="18" s="1"/>
  <c r="G12" i="15"/>
  <c r="I12" i="15" s="1"/>
  <c r="G17" i="17"/>
  <c r="I17" i="17" s="1"/>
  <c r="G13" i="16"/>
  <c r="I13" i="16" s="1"/>
  <c r="G13" i="14"/>
  <c r="I13" i="14" s="1"/>
  <c r="G12" i="13"/>
  <c r="I12" i="13" s="1"/>
  <c r="G13" i="13"/>
  <c r="I13" i="13" s="1"/>
  <c r="D13" i="10" s="1"/>
  <c r="G14" i="16"/>
  <c r="I14" i="16" s="1"/>
  <c r="H13" i="10" s="1"/>
  <c r="G18" i="17"/>
  <c r="I18" i="17" s="1"/>
  <c r="I13" i="10" s="1"/>
  <c r="H11" i="21"/>
  <c r="I11" i="21" s="1"/>
  <c r="O13" i="10" s="1"/>
  <c r="H9" i="24"/>
  <c r="I9" i="24" s="1"/>
  <c r="Q13" i="10" s="1"/>
  <c r="H13" i="25"/>
  <c r="I13" i="25" s="1"/>
  <c r="R13" i="10" s="1"/>
  <c r="H14" i="26"/>
  <c r="I14" i="26" s="1"/>
  <c r="K13" i="10" s="1"/>
  <c r="H14" i="27"/>
  <c r="I14" i="27" s="1"/>
  <c r="T13" i="10" s="1"/>
  <c r="H14" i="28"/>
  <c r="I14" i="28" s="1"/>
  <c r="N13" i="10" s="1"/>
  <c r="H14" i="29"/>
  <c r="I14" i="29" s="1"/>
  <c r="W13" i="10" s="1"/>
  <c r="G14" i="30"/>
  <c r="I14" i="30" s="1"/>
  <c r="J13" i="10" s="1"/>
  <c r="H13" i="31"/>
  <c r="I13" i="31" s="1"/>
  <c r="S13" i="10" s="1"/>
  <c r="H10" i="32"/>
  <c r="I10" i="32" s="1"/>
  <c r="U13" i="10" s="1"/>
  <c r="G13" i="18"/>
  <c r="I13" i="18" s="1"/>
  <c r="G13" i="10" s="1"/>
  <c r="G11" i="19"/>
  <c r="I11" i="19" s="1"/>
  <c r="V13" i="10" s="1"/>
  <c r="H12" i="23"/>
  <c r="I12" i="23" s="1"/>
  <c r="P13" i="10" s="1"/>
  <c r="G15" i="12"/>
  <c r="I15" i="12" s="1"/>
  <c r="C13" i="10" s="1"/>
  <c r="G13" i="15"/>
  <c r="I13" i="15" s="1"/>
  <c r="F13" i="10" s="1"/>
  <c r="H13" i="20"/>
  <c r="I13" i="20" s="1"/>
  <c r="L13" i="10" s="1"/>
  <c r="H9" i="22"/>
  <c r="I9" i="22" s="1"/>
  <c r="M13" i="10" s="1"/>
  <c r="G14" i="14"/>
  <c r="I14" i="14" s="1"/>
  <c r="E13" i="10" s="1"/>
  <c r="AA12" i="10" l="1"/>
  <c r="AA17" i="10" s="1"/>
  <c r="AA19" i="10" s="1"/>
  <c r="I7" i="36"/>
  <c r="Z12" i="10"/>
  <c r="Z17" i="10" s="1"/>
  <c r="Z19" i="10" s="1"/>
  <c r="I18" i="35"/>
  <c r="Y12" i="10"/>
  <c r="Y17" i="10" s="1"/>
  <c r="Y19" i="10" s="1"/>
  <c r="I17" i="33"/>
  <c r="I13" i="19"/>
  <c r="V12" i="10"/>
  <c r="V17" i="10" s="1"/>
  <c r="V19" i="10" s="1"/>
  <c r="I8" i="50"/>
  <c r="AR12" i="10"/>
  <c r="AR17" i="10" s="1"/>
  <c r="AR19" i="10" s="1"/>
  <c r="I8" i="49"/>
  <c r="AP12" i="10"/>
  <c r="AP17" i="10" s="1"/>
  <c r="AP19" i="10" s="1"/>
  <c r="I10" i="48"/>
  <c r="AQ12" i="10"/>
  <c r="AQ17" i="10" s="1"/>
  <c r="AQ19" i="10" s="1"/>
  <c r="I9" i="47"/>
  <c r="AO12" i="10"/>
  <c r="AO17" i="10" s="1"/>
  <c r="AO19" i="10" s="1"/>
  <c r="G5" i="46"/>
  <c r="AM12" i="10"/>
  <c r="AM17" i="10" s="1"/>
  <c r="AM19" i="10" s="1"/>
  <c r="I15" i="45"/>
  <c r="AL12" i="10"/>
  <c r="AL17" i="10" s="1"/>
  <c r="AL19" i="10" s="1"/>
  <c r="I7" i="44"/>
  <c r="AK12" i="10"/>
  <c r="AK17" i="10" s="1"/>
  <c r="AK19" i="10" s="1"/>
  <c r="I10" i="43"/>
  <c r="AI12" i="10"/>
  <c r="AI17" i="10" s="1"/>
  <c r="AI19" i="10" s="1"/>
  <c r="H14" i="42"/>
  <c r="AJ12" i="10"/>
  <c r="AJ17" i="10" s="1"/>
  <c r="AJ19" i="10" s="1"/>
  <c r="I8" i="41"/>
  <c r="AG12" i="10"/>
  <c r="AG17" i="10" s="1"/>
  <c r="AG19" i="10" s="1"/>
  <c r="I9" i="40"/>
  <c r="AF12" i="10"/>
  <c r="AF17" i="10" s="1"/>
  <c r="AF19" i="10" s="1"/>
  <c r="I11" i="24"/>
  <c r="Q12" i="10"/>
  <c r="Q17" i="10" s="1"/>
  <c r="Q19" i="10" s="1"/>
  <c r="I13" i="21"/>
  <c r="O12" i="10"/>
  <c r="O17" i="10" s="1"/>
  <c r="O19" i="10" s="1"/>
  <c r="I6" i="39"/>
  <c r="AE12" i="10"/>
  <c r="AE17" i="10" s="1"/>
  <c r="AE19" i="10" s="1"/>
  <c r="I9" i="38"/>
  <c r="AD12" i="10"/>
  <c r="AD17" i="10" s="1"/>
  <c r="AD19" i="10" s="1"/>
  <c r="I15" i="37"/>
  <c r="I19" i="37" s="1"/>
  <c r="AC12" i="10"/>
  <c r="AC17" i="10" s="1"/>
  <c r="AC19" i="10" s="1"/>
  <c r="I14" i="23"/>
  <c r="P12" i="10"/>
  <c r="P17" i="10" s="1"/>
  <c r="P19" i="10" s="1"/>
  <c r="I11" i="22"/>
  <c r="M12" i="10"/>
  <c r="M17" i="10" s="1"/>
  <c r="M19" i="10" s="1"/>
  <c r="I15" i="20"/>
  <c r="L12" i="10"/>
  <c r="L17" i="10" s="1"/>
  <c r="L19" i="10" s="1"/>
  <c r="I17" i="12"/>
  <c r="C12" i="10"/>
  <c r="C17" i="10" s="1"/>
  <c r="I12" i="32"/>
  <c r="U12" i="10"/>
  <c r="U17" i="10" s="1"/>
  <c r="U19" i="10" s="1"/>
  <c r="I15" i="31"/>
  <c r="S12" i="10"/>
  <c r="S17" i="10" s="1"/>
  <c r="S19" i="10" s="1"/>
  <c r="I16" i="30"/>
  <c r="J12" i="10"/>
  <c r="J17" i="10" s="1"/>
  <c r="J19" i="10" s="1"/>
  <c r="I16" i="29"/>
  <c r="W12" i="10"/>
  <c r="W17" i="10" s="1"/>
  <c r="W19" i="10" s="1"/>
  <c r="I16" i="28"/>
  <c r="N12" i="10"/>
  <c r="N17" i="10" s="1"/>
  <c r="N19" i="10" s="1"/>
  <c r="I16" i="27"/>
  <c r="T12" i="10"/>
  <c r="T17" i="10" s="1"/>
  <c r="T19" i="10" s="1"/>
  <c r="I16" i="26"/>
  <c r="K12" i="10"/>
  <c r="K17" i="10" s="1"/>
  <c r="K19" i="10" s="1"/>
  <c r="I15" i="25"/>
  <c r="R12" i="10"/>
  <c r="R17" i="10" s="1"/>
  <c r="R19" i="10" s="1"/>
  <c r="I15" i="18"/>
  <c r="G12" i="10"/>
  <c r="G17" i="10" s="1"/>
  <c r="G19" i="10" s="1"/>
  <c r="I15" i="15"/>
  <c r="F12" i="10"/>
  <c r="F17" i="10" s="1"/>
  <c r="F19" i="10" s="1"/>
  <c r="I20" i="17"/>
  <c r="I12" i="10"/>
  <c r="I17" i="10" s="1"/>
  <c r="I19" i="10" s="1"/>
  <c r="I16" i="16"/>
  <c r="H12" i="10"/>
  <c r="H17" i="10" s="1"/>
  <c r="H19" i="10" s="1"/>
  <c r="I16" i="14"/>
  <c r="E12" i="10"/>
  <c r="E17" i="10" s="1"/>
  <c r="E19" i="10" s="1"/>
  <c r="I15" i="13"/>
  <c r="D12" i="10"/>
  <c r="D17" i="10" s="1"/>
  <c r="D19" i="10" s="1"/>
  <c r="C19" i="10" l="1"/>
  <c r="AT19" i="10" s="1"/>
  <c r="AT17" i="10"/>
  <c r="AV17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4" authorId="0" shapeId="0" xr:uid="{00000000-0006-0000-0400-000001000000}">
      <text>
        <r>
          <rPr>
            <sz val="10"/>
            <color rgb="FF000000"/>
            <rFont val="Arial"/>
            <scheme val="minor"/>
          </rPr>
          <t>693 это уже с газопромысловой
139 аб газопромысловая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700-000001000000}">
      <text>
        <r>
          <rPr>
            <sz val="10"/>
            <color rgb="FF000000"/>
            <rFont val="Arial"/>
            <scheme val="minor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00000000-0006-0000-0C00-000001000000}">
      <text>
        <r>
          <rPr>
            <sz val="10"/>
            <color rgb="FF000000"/>
            <rFont val="Arial"/>
            <scheme val="minor"/>
          </rPr>
          <t>Агинов 502494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D00-000001000000}">
      <text>
        <r>
          <rPr>
            <sz val="10"/>
            <color rgb="FF000000"/>
            <rFont val="Arial"/>
            <scheme val="minor"/>
          </rPr>
          <t>Агинов 502494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F00-000001000000}">
      <text>
        <r>
          <rPr>
            <sz val="10"/>
            <color rgb="FF000000"/>
            <rFont val="Arial"/>
            <scheme val="minor"/>
          </rPr>
          <t>в этом году не обслуживали, только монтаж сделалаи</t>
        </r>
      </text>
    </comment>
    <comment ref="E5" authorId="0" shapeId="0" xr:uid="{00000000-0006-0000-0F00-000002000000}">
      <text>
        <r>
          <rPr>
            <sz val="10"/>
            <color rgb="FF000000"/>
            <rFont val="Arial"/>
            <scheme val="minor"/>
          </rPr>
          <t>Агинов 502494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1000-000001000000}">
      <text>
        <r>
          <rPr>
            <sz val="10"/>
            <color rgb="FF000000"/>
            <rFont val="Arial"/>
            <scheme val="minor"/>
          </rPr>
          <t>Агинов 502494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00000000-0006-0000-1100-000001000000}">
      <text>
        <r>
          <rPr>
            <sz val="10"/>
            <color rgb="FF000000"/>
            <rFont val="Arial"/>
            <scheme val="minor"/>
          </rPr>
          <t>Агинов 502494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1400-000001000000}">
      <text>
        <r>
          <rPr>
            <sz val="10"/>
            <color rgb="FF000000"/>
            <rFont val="Arial"/>
            <scheme val="minor"/>
          </rPr>
          <t>всего 235-22=213
22 агинова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1800-000001000000}">
      <text>
        <r>
          <rPr>
            <sz val="10"/>
            <color rgb="FF000000"/>
            <rFont val="Arial"/>
            <scheme val="minor"/>
          </rPr>
          <t>388, из них агинова 22 шт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2800-000001000000}">
      <text>
        <r>
          <rPr>
            <sz val="10"/>
            <color rgb="FF000000"/>
            <rFont val="Arial"/>
            <scheme val="minor"/>
          </rPr>
          <t>285 город
106 меж.город</t>
        </r>
      </text>
    </comment>
    <comment ref="B12" authorId="0" shapeId="0" xr:uid="{00000000-0006-0000-2800-000002000000}">
      <text>
        <r>
          <rPr>
            <sz val="10"/>
            <color rgb="FF000000"/>
            <rFont val="Arial"/>
            <scheme val="minor"/>
          </rPr>
          <t>19 город
9 меж.город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" authorId="0" shapeId="0" xr:uid="{00000000-0006-0000-2900-000001000000}">
      <text>
        <r>
          <rPr>
            <sz val="10"/>
            <color rgb="FF000000"/>
            <rFont val="Arial"/>
            <scheme val="minor"/>
          </rPr>
          <t>за декабритсов 127</t>
        </r>
      </text>
    </comment>
  </commentList>
</comments>
</file>

<file path=xl/sharedStrings.xml><?xml version="1.0" encoding="utf-8"?>
<sst xmlns="http://schemas.openxmlformats.org/spreadsheetml/2006/main" count="1420" uniqueCount="329">
  <si>
    <t>Наименование товара</t>
  </si>
  <si>
    <t>Контрагент</t>
  </si>
  <si>
    <t>Сумма к оплате</t>
  </si>
  <si>
    <t>Дата оплаты</t>
  </si>
  <si>
    <t xml:space="preserve">Общая сумма </t>
  </si>
  <si>
    <t>кол-во мес</t>
  </si>
  <si>
    <t>Сумма за месяц</t>
  </si>
  <si>
    <t>Расходники</t>
  </si>
  <si>
    <t>Казань</t>
  </si>
  <si>
    <t>р/аб</t>
  </si>
  <si>
    <t xml:space="preserve">ФОТ </t>
  </si>
  <si>
    <t>Тюмень</t>
  </si>
  <si>
    <t>интернет</t>
  </si>
  <si>
    <t>расходники</t>
  </si>
  <si>
    <t>подарки</t>
  </si>
  <si>
    <t xml:space="preserve">ремонт пв </t>
  </si>
  <si>
    <t>транспортные</t>
  </si>
  <si>
    <t>диагностика</t>
  </si>
  <si>
    <t>кол-во аб.</t>
  </si>
  <si>
    <t>цена</t>
  </si>
  <si>
    <t>Налог УСН</t>
  </si>
  <si>
    <t>Город</t>
  </si>
  <si>
    <t>кол-во аб.по домофонам</t>
  </si>
  <si>
    <t>кол-во по ВН</t>
  </si>
  <si>
    <t>кол-во под</t>
  </si>
  <si>
    <t>ВСЕГО</t>
  </si>
  <si>
    <t>Альметьевск</t>
  </si>
  <si>
    <t>ЗД+о,в,н</t>
  </si>
  <si>
    <t>Инно</t>
  </si>
  <si>
    <t>Зион</t>
  </si>
  <si>
    <t>Мастер</t>
  </si>
  <si>
    <t>Всего под. на обслу</t>
  </si>
  <si>
    <t>всего домов</t>
  </si>
  <si>
    <t>Олег</t>
  </si>
  <si>
    <t>Воронцов</t>
  </si>
  <si>
    <t>Полуянов</t>
  </si>
  <si>
    <t>Балашов</t>
  </si>
  <si>
    <t>ТЮМЕНЬ</t>
  </si>
  <si>
    <t>кол-во под.</t>
  </si>
  <si>
    <t xml:space="preserve">Полуянов </t>
  </si>
  <si>
    <t>Балашов (кол. домов)</t>
  </si>
  <si>
    <t>ЖСУ</t>
  </si>
  <si>
    <t>Надежное управление</t>
  </si>
  <si>
    <t>УК Линейная</t>
  </si>
  <si>
    <t>УК на Пражской</t>
  </si>
  <si>
    <t>Аурика</t>
  </si>
  <si>
    <t>УК на Ткацком</t>
  </si>
  <si>
    <t>УК Суходолье</t>
  </si>
  <si>
    <t>ТЭСК</t>
  </si>
  <si>
    <t>ЖЭУ № 9</t>
  </si>
  <si>
    <t>Запад</t>
  </si>
  <si>
    <t>ЮГ</t>
  </si>
  <si>
    <t>УК Ладья</t>
  </si>
  <si>
    <t>ИРИДА</t>
  </si>
  <si>
    <t>Восток-Сити</t>
  </si>
  <si>
    <t>На Полевой</t>
  </si>
  <si>
    <t>Монолит</t>
  </si>
  <si>
    <t>УК Тобол</t>
  </si>
  <si>
    <t>УК Усадьба</t>
  </si>
  <si>
    <t>УК Высота</t>
  </si>
  <si>
    <t>ТСЖ Электрон</t>
  </si>
  <si>
    <t>ТСН Вавилон</t>
  </si>
  <si>
    <t>ИТОГО</t>
  </si>
  <si>
    <t>АЛЬМЕТЬЕВСК</t>
  </si>
  <si>
    <t xml:space="preserve">Кол-во камер </t>
  </si>
  <si>
    <t>УК Алсу</t>
  </si>
  <si>
    <t>УК Альметьевск</t>
  </si>
  <si>
    <t>Новация</t>
  </si>
  <si>
    <t>ЗД</t>
  </si>
  <si>
    <t>Жилкомп.</t>
  </si>
  <si>
    <t>Салат</t>
  </si>
  <si>
    <t>Радужный</t>
  </si>
  <si>
    <t>ТСЖ6</t>
  </si>
  <si>
    <t>Тринити</t>
  </si>
  <si>
    <t>СК Иннокомфорт</t>
  </si>
  <si>
    <t>Прямые</t>
  </si>
  <si>
    <t>КАЗАНЬ</t>
  </si>
  <si>
    <t>УК Московского</t>
  </si>
  <si>
    <t>Фукса 12</t>
  </si>
  <si>
    <t>ТСЖ Современник</t>
  </si>
  <si>
    <t>ЭРТХА</t>
  </si>
  <si>
    <t>ИННО</t>
  </si>
  <si>
    <t>кол-во аб.по домофонам/биометрия</t>
  </si>
  <si>
    <t>Жилфонд</t>
  </si>
  <si>
    <t>ЗИОН</t>
  </si>
  <si>
    <t>Застройщик</t>
  </si>
  <si>
    <t>ГСМ</t>
  </si>
  <si>
    <t>ГСМ н.вязовые</t>
  </si>
  <si>
    <t>Зеленодольсе +п.г.т.</t>
  </si>
  <si>
    <t>комиссия Марат Расход</t>
  </si>
  <si>
    <t>Аренда офиса</t>
  </si>
  <si>
    <t>Коммисия МаратРасход</t>
  </si>
  <si>
    <t>перенести на Альмет и Зел 75% Альм 25 % зел</t>
  </si>
  <si>
    <t>Транспортные</t>
  </si>
  <si>
    <t>командировка Марат, Раниф</t>
  </si>
  <si>
    <t>гараж</t>
  </si>
  <si>
    <t>Кол-во абон</t>
  </si>
  <si>
    <t xml:space="preserve"> </t>
  </si>
  <si>
    <t>Аренда офиса Тюмень</t>
  </si>
  <si>
    <t xml:space="preserve">Интернет Раниф тест </t>
  </si>
  <si>
    <t>Интернет офис</t>
  </si>
  <si>
    <t>ФОТ Рафаэль</t>
  </si>
  <si>
    <t>Процент, штраф,</t>
  </si>
  <si>
    <t>хостинг</t>
  </si>
  <si>
    <t>прочие (канц.товары и т.п.)</t>
  </si>
  <si>
    <t>подключение интернта в офисе Тюмень</t>
  </si>
  <si>
    <t>сервер, бот</t>
  </si>
  <si>
    <t>комиссия банка</t>
  </si>
  <si>
    <t>ФОТ колл-центр вторичка</t>
  </si>
  <si>
    <t>ФОТ БГ и СБ вторичка</t>
  </si>
  <si>
    <t>ФОТ БГ и СБ первичка</t>
  </si>
  <si>
    <t>налог Малащенко ТН</t>
  </si>
  <si>
    <t>Налоги с ФОТ БГ и СБ</t>
  </si>
  <si>
    <t>Прочие, почтовые</t>
  </si>
  <si>
    <t>ЭДО, почта</t>
  </si>
  <si>
    <t>Аренда склада в Казани</t>
  </si>
  <si>
    <t>подарки (представительские расходы)</t>
  </si>
  <si>
    <t>ЗЕЛЕНОДОЛЬСК</t>
  </si>
  <si>
    <t>ИННОПОЛИС</t>
  </si>
  <si>
    <t>УК</t>
  </si>
  <si>
    <t>Усадьба</t>
  </si>
  <si>
    <t>Тобол</t>
  </si>
  <si>
    <t>Высота</t>
  </si>
  <si>
    <t>Вавилон</t>
  </si>
  <si>
    <t>Электрон</t>
  </si>
  <si>
    <t>Ирида</t>
  </si>
  <si>
    <t>Суходолье</t>
  </si>
  <si>
    <t>Линейная</t>
  </si>
  <si>
    <t>Надежное</t>
  </si>
  <si>
    <t>ЖЭУ 9</t>
  </si>
  <si>
    <t>На Пражской</t>
  </si>
  <si>
    <t>Восток-сити</t>
  </si>
  <si>
    <t>Ладья</t>
  </si>
  <si>
    <t>УК на Полевой</t>
  </si>
  <si>
    <t>Жилкомплекс</t>
  </si>
  <si>
    <t>Салават</t>
  </si>
  <si>
    <t>ТСЖ №6</t>
  </si>
  <si>
    <t>Радужный (Казань)</t>
  </si>
  <si>
    <t>ЖК Моск.р-на</t>
  </si>
  <si>
    <t>Современник</t>
  </si>
  <si>
    <t>Жилищный фонд</t>
  </si>
  <si>
    <t>Иннокомфорт</t>
  </si>
  <si>
    <t>Доход (выставленные счета)</t>
  </si>
  <si>
    <t>Доход (фактически полученные ДС)</t>
  </si>
  <si>
    <t>разница</t>
  </si>
  <si>
    <t xml:space="preserve">Доход от продаж </t>
  </si>
  <si>
    <t>Расход</t>
  </si>
  <si>
    <t>ФОТ</t>
  </si>
  <si>
    <t>Оборудование (Сервис)</t>
  </si>
  <si>
    <t>Оборудование (Модернизация)</t>
  </si>
  <si>
    <t>Оборудование (Кап.вложения)</t>
  </si>
  <si>
    <t>Интернет</t>
  </si>
  <si>
    <t>Общие расходы ГЭ</t>
  </si>
  <si>
    <t>Общие расходы города</t>
  </si>
  <si>
    <t>Услуги УК</t>
  </si>
  <si>
    <t>Кап.вложения</t>
  </si>
  <si>
    <t>УСН</t>
  </si>
  <si>
    <t>Итого расходов</t>
  </si>
  <si>
    <t>ИТОГ 2025</t>
  </si>
  <si>
    <t>Название УК</t>
  </si>
  <si>
    <t>2022 год</t>
  </si>
  <si>
    <t>2023 год</t>
  </si>
  <si>
    <t>2024 год</t>
  </si>
  <si>
    <t>2025 год</t>
  </si>
  <si>
    <t>ООО УК Запад</t>
  </si>
  <si>
    <t>ООО УК Ирида</t>
  </si>
  <si>
    <t>ООО ЖСУ</t>
  </si>
  <si>
    <t>ООО УК Суходолье</t>
  </si>
  <si>
    <t>ООО УК Линейная</t>
  </si>
  <si>
    <t>ООО Надежное управление</t>
  </si>
  <si>
    <t>ООО УК Аурика</t>
  </si>
  <si>
    <t>ООО ЖЭУ № 9</t>
  </si>
  <si>
    <t>ООО УК На Ткацком</t>
  </si>
  <si>
    <t>ООО УК На Пражской</t>
  </si>
  <si>
    <t>ООО ТЭСК</t>
  </si>
  <si>
    <t>ООО Восток-сити</t>
  </si>
  <si>
    <t>ООО УК Ладья</t>
  </si>
  <si>
    <t>ООО Юг</t>
  </si>
  <si>
    <t>ООО УК на Полевой</t>
  </si>
  <si>
    <t>ООО УК Алсу</t>
  </si>
  <si>
    <t>ООО УК Альметьевск</t>
  </si>
  <si>
    <t>ООО УКЖД Новация</t>
  </si>
  <si>
    <t>ООО Жилкомплекс</t>
  </si>
  <si>
    <t>ООО Радужный (зелек)</t>
  </si>
  <si>
    <t>ООО УК Саловат</t>
  </si>
  <si>
    <t>ТСЖ № 6</t>
  </si>
  <si>
    <t>ООО Радужный (КЗН)</t>
  </si>
  <si>
    <t xml:space="preserve">ООО ЖКХ Московского района </t>
  </si>
  <si>
    <t>ТСЖ Фукса 12</t>
  </si>
  <si>
    <t>ООО Современник</t>
  </si>
  <si>
    <t>ЭРТХА (КЗН)</t>
  </si>
  <si>
    <t>ООО Тринити</t>
  </si>
  <si>
    <t>ООО Жилищный фонд</t>
  </si>
  <si>
    <t>ООО Иннокомфорт</t>
  </si>
  <si>
    <t>МОНОЛИТ</t>
  </si>
  <si>
    <t>Всего на обсл. под.</t>
  </si>
  <si>
    <t>Кол-во под. по ук</t>
  </si>
  <si>
    <t>Кол-во абонентов</t>
  </si>
  <si>
    <t>Сумма расхода на УК</t>
  </si>
  <si>
    <t>ФОТ Полуянов</t>
  </si>
  <si>
    <t>ФОТ Артем</t>
  </si>
  <si>
    <t>ФОТ Балашев</t>
  </si>
  <si>
    <t>Интернет физ.лица</t>
  </si>
  <si>
    <t>Расходники по УК</t>
  </si>
  <si>
    <t>Транспортные по УК</t>
  </si>
  <si>
    <t>Абонентов домофония</t>
  </si>
  <si>
    <t>Абонентов ВН</t>
  </si>
  <si>
    <t>Подъездов</t>
  </si>
  <si>
    <t>КАП.ВЛОЖЕНИЯ</t>
  </si>
  <si>
    <t>Наименование</t>
  </si>
  <si>
    <t>Общая сумма</t>
  </si>
  <si>
    <t>Итого</t>
  </si>
  <si>
    <t>Монтажи фот</t>
  </si>
  <si>
    <t>подключение новых точек</t>
  </si>
  <si>
    <t xml:space="preserve">расходники </t>
  </si>
  <si>
    <t>УСАДЬБА</t>
  </si>
  <si>
    <t>ФОТ Воронцов</t>
  </si>
  <si>
    <t xml:space="preserve">подключение новой точки </t>
  </si>
  <si>
    <t>ВЫСОТА</t>
  </si>
  <si>
    <t>ФОТ монтаж модер</t>
  </si>
  <si>
    <t>подключение новой точки Малышева 24</t>
  </si>
  <si>
    <t>ЭЛЕКТРОН</t>
  </si>
  <si>
    <t>подключение новой точки</t>
  </si>
  <si>
    <t>ЗАПАД</t>
  </si>
  <si>
    <t>Интернет ЭРТХА</t>
  </si>
  <si>
    <t>ремонт шлагбаума</t>
  </si>
  <si>
    <t>сервис</t>
  </si>
  <si>
    <t>представительские</t>
  </si>
  <si>
    <t>Поключение точки пархоменко 1</t>
  </si>
  <si>
    <t>расходники на монтаж</t>
  </si>
  <si>
    <t>ВАВИЛОН</t>
  </si>
  <si>
    <t>подкл новой точки</t>
  </si>
  <si>
    <t>ФОТ Олег</t>
  </si>
  <si>
    <t>ФОТ Балашов</t>
  </si>
  <si>
    <t>Интернет позитив</t>
  </si>
  <si>
    <t>Общие расходы по Тюмени</t>
  </si>
  <si>
    <t>Расходники по Ук</t>
  </si>
  <si>
    <t>Ук на Ткацком</t>
  </si>
  <si>
    <t>ФОТ монтажи</t>
  </si>
  <si>
    <t>УК на пражской</t>
  </si>
  <si>
    <t>сварка</t>
  </si>
  <si>
    <t>Кап.вложение</t>
  </si>
  <si>
    <t>Монтаж фот</t>
  </si>
  <si>
    <t xml:space="preserve">подключение новых точек </t>
  </si>
  <si>
    <t>за согласование вн</t>
  </si>
  <si>
    <t>Интернет ЭРТХ</t>
  </si>
  <si>
    <t>кап.вложения</t>
  </si>
  <si>
    <t>ФОТ  Полуянов</t>
  </si>
  <si>
    <t>ФОТ  Балашов</t>
  </si>
  <si>
    <t xml:space="preserve">Интернет </t>
  </si>
  <si>
    <t xml:space="preserve">Монтаж фот </t>
  </si>
  <si>
    <t xml:space="preserve">ФОТ  </t>
  </si>
  <si>
    <t>ФОТ  Воронцов</t>
  </si>
  <si>
    <t>Интернет фл</t>
  </si>
  <si>
    <t>монтаж фот</t>
  </si>
  <si>
    <t>Воров 27 восстан линии</t>
  </si>
  <si>
    <t>Ка.вложения</t>
  </si>
  <si>
    <t>подключ новой точки</t>
  </si>
  <si>
    <t xml:space="preserve">интернет </t>
  </si>
  <si>
    <t>Оборудование по УК</t>
  </si>
  <si>
    <t>Алсу</t>
  </si>
  <si>
    <t>Всего на обсл. под./камер</t>
  </si>
  <si>
    <t>ФОТ Васильев</t>
  </si>
  <si>
    <t>ФОТ Касимов</t>
  </si>
  <si>
    <t>Доп.работа+монтажные работы</t>
  </si>
  <si>
    <t>Представительские и подарки</t>
  </si>
  <si>
    <t>Услуги Ук</t>
  </si>
  <si>
    <t>Общие расходы Города</t>
  </si>
  <si>
    <t xml:space="preserve">ФОТ монтажи Касимов </t>
  </si>
  <si>
    <t>ФОТ монтажи Богдан</t>
  </si>
  <si>
    <t>расходники кап вложения</t>
  </si>
  <si>
    <t>сумма за год</t>
  </si>
  <si>
    <t>50 лет окт 60</t>
  </si>
  <si>
    <t>50 лет окт 68</t>
  </si>
  <si>
    <t>Белин 14</t>
  </si>
  <si>
    <t>Белин 28</t>
  </si>
  <si>
    <t>Бел 28а</t>
  </si>
  <si>
    <t>Моск 108 а</t>
  </si>
  <si>
    <t>Моск 119</t>
  </si>
  <si>
    <t>Перм 24</t>
  </si>
  <si>
    <t>Пролет 120</t>
  </si>
  <si>
    <t>Респ 181</t>
  </si>
  <si>
    <t>Рижс 63</t>
  </si>
  <si>
    <t>Рижс 80</t>
  </si>
  <si>
    <t>Севаст 25</t>
  </si>
  <si>
    <t xml:space="preserve">Степ 1 а </t>
  </si>
  <si>
    <t>Транс 108</t>
  </si>
  <si>
    <t>Ям 102а</t>
  </si>
  <si>
    <t>Ям 96</t>
  </si>
  <si>
    <t>запад</t>
  </si>
  <si>
    <t>Общие расходы по Городу</t>
  </si>
  <si>
    <t>Общие расходы по Альм</t>
  </si>
  <si>
    <t>усн</t>
  </si>
  <si>
    <t>ФОТ Калачев</t>
  </si>
  <si>
    <t>Интернет интердол+житель</t>
  </si>
  <si>
    <t>двери (фин помощь)</t>
  </si>
  <si>
    <t>МОДЕРНИЗАЦИЯ</t>
  </si>
  <si>
    <t>Фот монтаж</t>
  </si>
  <si>
    <t>радужный</t>
  </si>
  <si>
    <t>Салават Купере</t>
  </si>
  <si>
    <t>прямые</t>
  </si>
  <si>
    <t>Кап.влажение</t>
  </si>
  <si>
    <t>фот монтаж</t>
  </si>
  <si>
    <t>моск района</t>
  </si>
  <si>
    <t>всего на обслуж</t>
  </si>
  <si>
    <t>ФОТ Ильдус ВН</t>
  </si>
  <si>
    <t xml:space="preserve">ФОТ доп Ильдус </t>
  </si>
  <si>
    <t>канц товары</t>
  </si>
  <si>
    <t>голосование</t>
  </si>
  <si>
    <t>РАДУЖНЫЙ</t>
  </si>
  <si>
    <t xml:space="preserve"> ФОТ Ильдус</t>
  </si>
  <si>
    <t>фукса 12</t>
  </si>
  <si>
    <t>ФОТ Ильдус</t>
  </si>
  <si>
    <t>Оборудование</t>
  </si>
  <si>
    <t>ФОТ  Ильдус</t>
  </si>
  <si>
    <t>Интернет йота</t>
  </si>
  <si>
    <t>Общие расходы по городу</t>
  </si>
  <si>
    <t>фот монтадж</t>
  </si>
  <si>
    <t>ЭРТХ</t>
  </si>
  <si>
    <t>подъезды ЭРТХ</t>
  </si>
  <si>
    <t>сумма из фота на ЭРТХ</t>
  </si>
  <si>
    <t>Участив в тендере</t>
  </si>
  <si>
    <t>ФОТ Калачев вн</t>
  </si>
  <si>
    <t xml:space="preserve">80 камер тринити </t>
  </si>
  <si>
    <t>Доп. работы</t>
  </si>
  <si>
    <t>Оборудование по ук</t>
  </si>
  <si>
    <t>Абонентов домофонии</t>
  </si>
  <si>
    <t xml:space="preserve">23 камеры зион застройщик </t>
  </si>
  <si>
    <t>Абонентов биометрия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</si>
</sst>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_р_."/>
    <numFmt numFmtId="165" formatCode="_-* #,##0.00\ &quot;р.&quot;_-;\-* #,##0.00\ &quot;р.&quot;_-;_-* &quot;-&quot;??\ &quot;р.&quot;_-;_-@"/>
    <numFmt numFmtId="166" formatCode="dd\.mm\.yy"/>
    <numFmt numFmtId="167" formatCode="d\.m\.yy"/>
    <numFmt numFmtId="168" formatCode="[$р.-419]#,##0"/>
    <numFmt numFmtId="169" formatCode="0.000"/>
    <numFmt numFmtId="170" formatCode="0.0"/>
  </numFmts>
  <fonts count="3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rgb="FFFF0000"/>
      <name val="Times New Roman"/>
      <family val="1"/>
    </font>
    <font>
      <sz val="10"/>
      <color theme="1"/>
      <name val="Arial"/>
      <family val="2"/>
      <scheme val="minor"/>
    </font>
    <font>
      <sz val="10"/>
      <color rgb="FF0000FF"/>
      <name val="Calibri"/>
      <family val="2"/>
    </font>
    <font>
      <sz val="11"/>
      <color rgb="FF0000FF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Roboto"/>
    </font>
    <font>
      <b/>
      <sz val="11"/>
      <color theme="1"/>
      <name val="&quot;Times New Roman&quot;"/>
    </font>
    <font>
      <sz val="10"/>
      <color rgb="FF000000"/>
      <name val="Roboto"/>
    </font>
    <font>
      <sz val="11"/>
      <color rgb="FF000000"/>
      <name val="&quot;Times New Roman&quot;"/>
    </font>
    <font>
      <sz val="10"/>
      <color rgb="FF000000"/>
      <name val="Arial"/>
      <family val="2"/>
      <scheme val="minor"/>
    </font>
    <font>
      <sz val="11"/>
      <color rgb="FF000000"/>
      <name val="Inconsolata"/>
    </font>
    <font>
      <sz val="9"/>
      <color rgb="FF1F1F1F"/>
      <name val="&quot;Google Sans&quot;"/>
    </font>
    <font>
      <sz val="11"/>
      <color theme="1"/>
      <name val="&quot;Times New Roman&quot;"/>
    </font>
    <font>
      <sz val="11"/>
      <color rgb="FF1F1F1F"/>
      <name val="&quot;Google Sans&quot;"/>
    </font>
    <font>
      <sz val="11"/>
      <color theme="1"/>
      <name val="Inconsolata"/>
    </font>
    <font>
      <b/>
      <sz val="12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theme="1"/>
      <name val="Arial"/>
      <family val="2"/>
    </font>
    <font>
      <sz val="11"/>
      <color rgb="FF000000"/>
      <name val="Times New Roman"/>
      <family val="1"/>
    </font>
    <font>
      <sz val="10"/>
      <color rgb="FF000000"/>
      <name val="Docs-Calibri"/>
    </font>
    <font>
      <sz val="10"/>
      <color rgb="FF000000"/>
      <name val="Calibri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theme="7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165" fontId="2" fillId="2" borderId="3" xfId="0" applyNumberFormat="1" applyFont="1" applyFill="1" applyBorder="1" applyAlignment="1">
      <alignment horizontal="center"/>
    </xf>
    <xf numFmtId="166" fontId="2" fillId="2" borderId="3" xfId="0" applyNumberFormat="1" applyFont="1" applyFill="1" applyBorder="1" applyAlignment="1">
      <alignment horizontal="center"/>
    </xf>
    <xf numFmtId="0" fontId="3" fillId="2" borderId="2" xfId="0" applyFont="1" applyFill="1" applyBorder="1"/>
    <xf numFmtId="165" fontId="4" fillId="2" borderId="2" xfId="0" applyNumberFormat="1" applyFont="1" applyFill="1" applyBorder="1" applyAlignment="1">
      <alignment horizontal="right"/>
    </xf>
    <xf numFmtId="166" fontId="2" fillId="2" borderId="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165" fontId="4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 applyAlignment="1">
      <alignment horizontal="center"/>
    </xf>
    <xf numFmtId="0" fontId="3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5" fontId="3" fillId="2" borderId="3" xfId="0" applyNumberFormat="1" applyFont="1" applyFill="1" applyBorder="1"/>
    <xf numFmtId="0" fontId="2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7" fontId="2" fillId="2" borderId="3" xfId="0" applyNumberFormat="1" applyFont="1" applyFill="1" applyBorder="1" applyAlignment="1">
      <alignment horizontal="center"/>
    </xf>
    <xf numFmtId="0" fontId="3" fillId="2" borderId="1" xfId="0" applyFont="1" applyFill="1" applyBorder="1"/>
    <xf numFmtId="165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65" fontId="4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2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68" fontId="3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168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168" fontId="7" fillId="2" borderId="2" xfId="0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4" fillId="0" borderId="0" xfId="0" applyFont="1"/>
    <xf numFmtId="0" fontId="9" fillId="0" borderId="0" xfId="0" applyFont="1" applyAlignment="1">
      <alignment horizontal="center" wrapText="1"/>
    </xf>
    <xf numFmtId="4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0" fontId="4" fillId="0" borderId="4" xfId="0" applyFont="1" applyBorder="1"/>
    <xf numFmtId="4" fontId="4" fillId="0" borderId="2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4" fontId="6" fillId="3" borderId="1" xfId="0" applyNumberFormat="1" applyFont="1" applyFill="1" applyBorder="1"/>
    <xf numFmtId="3" fontId="6" fillId="0" borderId="0" xfId="0" applyNumberFormat="1" applyFont="1"/>
    <xf numFmtId="3" fontId="10" fillId="0" borderId="0" xfId="0" applyNumberFormat="1" applyFont="1"/>
    <xf numFmtId="2" fontId="6" fillId="4" borderId="1" xfId="0" applyNumberFormat="1" applyFont="1" applyFill="1" applyBorder="1"/>
    <xf numFmtId="0" fontId="6" fillId="4" borderId="1" xfId="0" applyFont="1" applyFill="1" applyBorder="1"/>
    <xf numFmtId="4" fontId="11" fillId="2" borderId="2" xfId="0" applyNumberFormat="1" applyFont="1" applyFill="1" applyBorder="1" applyAlignment="1">
      <alignment horizontal="right"/>
    </xf>
    <xf numFmtId="165" fontId="4" fillId="0" borderId="1" xfId="0" applyNumberFormat="1" applyFont="1" applyBorder="1"/>
    <xf numFmtId="4" fontId="9" fillId="0" borderId="1" xfId="0" applyNumberFormat="1" applyFont="1" applyBorder="1" applyAlignment="1">
      <alignment horizontal="right"/>
    </xf>
    <xf numFmtId="165" fontId="4" fillId="0" borderId="0" xfId="0" applyNumberFormat="1" applyFont="1"/>
    <xf numFmtId="4" fontId="4" fillId="0" borderId="0" xfId="0" applyNumberFormat="1" applyFont="1"/>
    <xf numFmtId="2" fontId="12" fillId="2" borderId="0" xfId="0" applyNumberFormat="1" applyFont="1" applyFill="1" applyAlignment="1">
      <alignment horizontal="center"/>
    </xf>
    <xf numFmtId="0" fontId="4" fillId="2" borderId="0" xfId="0" applyFont="1" applyFill="1"/>
    <xf numFmtId="0" fontId="6" fillId="0" borderId="1" xfId="0" applyFont="1" applyBorder="1" applyAlignment="1">
      <alignment wrapText="1"/>
    </xf>
    <xf numFmtId="0" fontId="6" fillId="2" borderId="0" xfId="0" applyFont="1" applyFill="1"/>
    <xf numFmtId="0" fontId="6" fillId="0" borderId="0" xfId="0" applyFont="1"/>
    <xf numFmtId="4" fontId="6" fillId="0" borderId="1" xfId="0" applyNumberFormat="1" applyFont="1" applyBorder="1"/>
    <xf numFmtId="4" fontId="6" fillId="2" borderId="0" xfId="0" applyNumberFormat="1" applyFont="1" applyFill="1"/>
    <xf numFmtId="0" fontId="6" fillId="2" borderId="1" xfId="0" applyFont="1" applyFill="1" applyBorder="1"/>
    <xf numFmtId="4" fontId="13" fillId="2" borderId="0" xfId="0" applyNumberFormat="1" applyFont="1" applyFill="1"/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/>
    <xf numFmtId="3" fontId="6" fillId="2" borderId="0" xfId="0" applyNumberFormat="1" applyFont="1" applyFill="1"/>
    <xf numFmtId="0" fontId="2" fillId="2" borderId="1" xfId="0" applyFont="1" applyFill="1" applyBorder="1" applyAlignment="1">
      <alignment horizontal="left"/>
    </xf>
    <xf numFmtId="4" fontId="4" fillId="2" borderId="0" xfId="0" applyNumberFormat="1" applyFont="1" applyFill="1" applyAlignment="1">
      <alignment horizontal="right"/>
    </xf>
    <xf numFmtId="0" fontId="16" fillId="2" borderId="1" xfId="0" applyFont="1" applyFill="1" applyBorder="1"/>
    <xf numFmtId="4" fontId="16" fillId="2" borderId="1" xfId="0" applyNumberFormat="1" applyFont="1" applyFill="1" applyBorder="1"/>
    <xf numFmtId="0" fontId="2" fillId="0" borderId="1" xfId="0" applyFont="1" applyBorder="1" applyAlignment="1">
      <alignment horizontal="left"/>
    </xf>
    <xf numFmtId="0" fontId="6" fillId="2" borderId="1" xfId="0" applyFont="1" applyFill="1" applyBorder="1" applyAlignment="1">
      <alignment wrapText="1"/>
    </xf>
    <xf numFmtId="4" fontId="6" fillId="4" borderId="1" xfId="0" applyNumberFormat="1" applyFont="1" applyFill="1" applyBorder="1"/>
    <xf numFmtId="3" fontId="6" fillId="4" borderId="1" xfId="0" applyNumberFormat="1" applyFont="1" applyFill="1" applyBorder="1"/>
    <xf numFmtId="0" fontId="10" fillId="0" borderId="1" xfId="0" applyFont="1" applyBorder="1" applyAlignment="1">
      <alignment horizontal="center" wrapText="1"/>
    </xf>
    <xf numFmtId="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4" fontId="10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/>
    </xf>
    <xf numFmtId="0" fontId="4" fillId="2" borderId="1" xfId="0" applyFont="1" applyFill="1" applyBorder="1"/>
    <xf numFmtId="3" fontId="6" fillId="2" borderId="1" xfId="0" applyNumberFormat="1" applyFont="1" applyFill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0" borderId="0" xfId="0" applyFont="1"/>
    <xf numFmtId="3" fontId="6" fillId="0" borderId="1" xfId="0" applyNumberFormat="1" applyFont="1" applyBorder="1"/>
    <xf numFmtId="3" fontId="10" fillId="2" borderId="1" xfId="0" applyNumberFormat="1" applyFont="1" applyFill="1" applyBorder="1"/>
    <xf numFmtId="0" fontId="6" fillId="5" borderId="1" xfId="0" applyFont="1" applyFill="1" applyBorder="1"/>
    <xf numFmtId="3" fontId="10" fillId="5" borderId="1" xfId="0" applyNumberFormat="1" applyFont="1" applyFill="1" applyBorder="1"/>
    <xf numFmtId="3" fontId="6" fillId="5" borderId="1" xfId="0" applyNumberFormat="1" applyFont="1" applyFill="1" applyBorder="1"/>
    <xf numFmtId="0" fontId="6" fillId="5" borderId="0" xfId="0" applyFont="1" applyFill="1"/>
    <xf numFmtId="3" fontId="10" fillId="6" borderId="1" xfId="0" applyNumberFormat="1" applyFont="1" applyFill="1" applyBorder="1"/>
    <xf numFmtId="0" fontId="10" fillId="7" borderId="0" xfId="0" applyFont="1" applyFill="1"/>
    <xf numFmtId="3" fontId="6" fillId="7" borderId="0" xfId="0" applyNumberFormat="1" applyFont="1" applyFill="1"/>
    <xf numFmtId="0" fontId="10" fillId="2" borderId="1" xfId="0" applyFont="1" applyFill="1" applyBorder="1"/>
    <xf numFmtId="0" fontId="6" fillId="7" borderId="0" xfId="0" applyFont="1" applyFill="1"/>
    <xf numFmtId="4" fontId="10" fillId="2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3" fontId="4" fillId="2" borderId="0" xfId="0" applyNumberFormat="1" applyFont="1" applyFill="1" applyAlignment="1">
      <alignment horizontal="right"/>
    </xf>
    <xf numFmtId="0" fontId="6" fillId="8" borderId="1" xfId="0" applyFont="1" applyFill="1" applyBorder="1"/>
    <xf numFmtId="0" fontId="10" fillId="9" borderId="0" xfId="0" applyFont="1" applyFill="1"/>
    <xf numFmtId="0" fontId="6" fillId="9" borderId="0" xfId="0" applyFont="1" applyFill="1"/>
    <xf numFmtId="0" fontId="9" fillId="2" borderId="0" xfId="0" applyFont="1" applyFill="1" applyAlignment="1">
      <alignment horizontal="center" wrapText="1"/>
    </xf>
    <xf numFmtId="4" fontId="9" fillId="2" borderId="0" xfId="0" applyNumberFormat="1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7" fillId="2" borderId="1" xfId="0" applyFont="1" applyFill="1" applyBorder="1"/>
    <xf numFmtId="4" fontId="6" fillId="2" borderId="1" xfId="0" applyNumberFormat="1" applyFont="1" applyFill="1" applyBorder="1"/>
    <xf numFmtId="3" fontId="9" fillId="2" borderId="0" xfId="0" applyNumberFormat="1" applyFont="1" applyFill="1" applyAlignment="1">
      <alignment horizontal="right"/>
    </xf>
    <xf numFmtId="2" fontId="4" fillId="2" borderId="0" xfId="0" applyNumberFormat="1" applyFont="1" applyFill="1" applyAlignment="1">
      <alignment horizontal="right"/>
    </xf>
    <xf numFmtId="0" fontId="18" fillId="2" borderId="4" xfId="0" applyFont="1" applyFill="1" applyBorder="1" applyAlignment="1">
      <alignment horizontal="center"/>
    </xf>
    <xf numFmtId="0" fontId="11" fillId="2" borderId="4" xfId="0" applyFont="1" applyFill="1" applyBorder="1"/>
    <xf numFmtId="4" fontId="4" fillId="0" borderId="1" xfId="0" applyNumberFormat="1" applyFont="1" applyBorder="1"/>
    <xf numFmtId="2" fontId="4" fillId="0" borderId="1" xfId="0" applyNumberFormat="1" applyFont="1" applyBorder="1"/>
    <xf numFmtId="0" fontId="4" fillId="0" borderId="5" xfId="0" applyFont="1" applyBorder="1"/>
    <xf numFmtId="2" fontId="4" fillId="0" borderId="4" xfId="0" applyNumberFormat="1" applyFont="1" applyBorder="1"/>
    <xf numFmtId="4" fontId="4" fillId="0" borderId="6" xfId="0" applyNumberFormat="1" applyFont="1" applyBorder="1" applyAlignment="1">
      <alignment horizontal="right"/>
    </xf>
    <xf numFmtId="4" fontId="4" fillId="2" borderId="0" xfId="0" applyNumberFormat="1" applyFont="1" applyFill="1"/>
    <xf numFmtId="4" fontId="4" fillId="0" borderId="2" xfId="0" applyNumberFormat="1" applyFont="1" applyBorder="1"/>
    <xf numFmtId="2" fontId="4" fillId="0" borderId="0" xfId="0" applyNumberFormat="1" applyFont="1"/>
    <xf numFmtId="2" fontId="4" fillId="0" borderId="6" xfId="0" applyNumberFormat="1" applyFont="1" applyBorder="1"/>
    <xf numFmtId="4" fontId="4" fillId="0" borderId="6" xfId="0" applyNumberFormat="1" applyFont="1" applyBorder="1"/>
    <xf numFmtId="0" fontId="4" fillId="0" borderId="6" xfId="0" applyFont="1" applyBorder="1"/>
    <xf numFmtId="0" fontId="4" fillId="0" borderId="2" xfId="0" applyFont="1" applyBorder="1" applyAlignment="1">
      <alignment horizontal="right"/>
    </xf>
    <xf numFmtId="2" fontId="4" fillId="4" borderId="2" xfId="0" applyNumberFormat="1" applyFont="1" applyFill="1" applyBorder="1" applyAlignment="1">
      <alignment horizontal="right"/>
    </xf>
    <xf numFmtId="2" fontId="4" fillId="2" borderId="0" xfId="0" applyNumberFormat="1" applyFont="1" applyFill="1"/>
    <xf numFmtId="0" fontId="6" fillId="6" borderId="1" xfId="0" applyFont="1" applyFill="1" applyBorder="1"/>
    <xf numFmtId="4" fontId="6" fillId="6" borderId="1" xfId="0" applyNumberFormat="1" applyFont="1" applyFill="1" applyBorder="1"/>
    <xf numFmtId="3" fontId="6" fillId="6" borderId="1" xfId="0" applyNumberFormat="1" applyFont="1" applyFill="1" applyBorder="1"/>
    <xf numFmtId="0" fontId="19" fillId="2" borderId="0" xfId="0" applyFont="1" applyFill="1"/>
    <xf numFmtId="0" fontId="4" fillId="0" borderId="7" xfId="0" applyFont="1" applyBorder="1"/>
    <xf numFmtId="0" fontId="20" fillId="2" borderId="2" xfId="0" applyFont="1" applyFill="1" applyBorder="1"/>
    <xf numFmtId="4" fontId="4" fillId="10" borderId="2" xfId="0" applyNumberFormat="1" applyFont="1" applyFill="1" applyBorder="1" applyAlignment="1">
      <alignment horizontal="right"/>
    </xf>
    <xf numFmtId="2" fontId="6" fillId="0" borderId="0" xfId="0" applyNumberFormat="1" applyFont="1" applyAlignment="1">
      <alignment horizontal="center"/>
    </xf>
    <xf numFmtId="169" fontId="4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left"/>
    </xf>
    <xf numFmtId="4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4" fontId="10" fillId="2" borderId="0" xfId="0" applyNumberFormat="1" applyFont="1" applyFill="1"/>
    <xf numFmtId="0" fontId="10" fillId="2" borderId="0" xfId="0" applyFont="1" applyFill="1"/>
    <xf numFmtId="4" fontId="9" fillId="2" borderId="0" xfId="0" applyNumberFormat="1" applyFont="1" applyFill="1" applyAlignment="1">
      <alignment horizontal="right"/>
    </xf>
    <xf numFmtId="0" fontId="9" fillId="2" borderId="0" xfId="0" applyFont="1" applyFill="1"/>
    <xf numFmtId="2" fontId="9" fillId="2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4" fontId="13" fillId="2" borderId="1" xfId="0" applyNumberFormat="1" applyFont="1" applyFill="1" applyBorder="1"/>
    <xf numFmtId="4" fontId="6" fillId="0" borderId="0" xfId="0" applyNumberFormat="1" applyFont="1"/>
    <xf numFmtId="0" fontId="6" fillId="0" borderId="0" xfId="0" applyFont="1" applyAlignment="1">
      <alignment horizontal="center"/>
    </xf>
    <xf numFmtId="0" fontId="21" fillId="2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6" fillId="4" borderId="3" xfId="0" applyFont="1" applyFill="1" applyBorder="1"/>
    <xf numFmtId="0" fontId="9" fillId="11" borderId="3" xfId="0" applyFont="1" applyFill="1" applyBorder="1" applyAlignment="1">
      <alignment horizontal="center"/>
    </xf>
    <xf numFmtId="4" fontId="9" fillId="12" borderId="3" xfId="0" applyNumberFormat="1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6" fillId="9" borderId="1" xfId="0" applyFont="1" applyFill="1" applyBorder="1"/>
    <xf numFmtId="0" fontId="9" fillId="4" borderId="3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 vertical="center"/>
    </xf>
    <xf numFmtId="168" fontId="6" fillId="4" borderId="2" xfId="0" applyNumberFormat="1" applyFont="1" applyFill="1" applyBorder="1"/>
    <xf numFmtId="168" fontId="4" fillId="2" borderId="2" xfId="0" applyNumberFormat="1" applyFont="1" applyFill="1" applyBorder="1" applyAlignment="1">
      <alignment horizontal="center"/>
    </xf>
    <xf numFmtId="168" fontId="6" fillId="4" borderId="1" xfId="0" applyNumberFormat="1" applyFont="1" applyFill="1" applyBorder="1"/>
    <xf numFmtId="168" fontId="4" fillId="2" borderId="4" xfId="0" applyNumberFormat="1" applyFont="1" applyFill="1" applyBorder="1" applyAlignment="1">
      <alignment horizontal="center"/>
    </xf>
    <xf numFmtId="168" fontId="6" fillId="9" borderId="1" xfId="0" applyNumberFormat="1" applyFont="1" applyFill="1" applyBorder="1"/>
    <xf numFmtId="168" fontId="4" fillId="2" borderId="1" xfId="0" applyNumberFormat="1" applyFont="1" applyFill="1" applyBorder="1" applyAlignment="1">
      <alignment horizontal="center"/>
    </xf>
    <xf numFmtId="168" fontId="4" fillId="2" borderId="3" xfId="0" applyNumberFormat="1" applyFont="1" applyFill="1" applyBorder="1" applyAlignment="1">
      <alignment horizontal="center"/>
    </xf>
    <xf numFmtId="168" fontId="4" fillId="0" borderId="3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4" fontId="4" fillId="9" borderId="0" xfId="0" applyNumberFormat="1" applyFont="1" applyFill="1" applyAlignment="1">
      <alignment horizontal="right"/>
    </xf>
    <xf numFmtId="168" fontId="6" fillId="2" borderId="1" xfId="0" applyNumberFormat="1" applyFont="1" applyFill="1" applyBorder="1" applyAlignment="1">
      <alignment horizontal="center"/>
    </xf>
    <xf numFmtId="168" fontId="6" fillId="4" borderId="1" xfId="0" applyNumberFormat="1" applyFont="1" applyFill="1" applyBorder="1" applyAlignment="1">
      <alignment horizontal="center"/>
    </xf>
    <xf numFmtId="168" fontId="6" fillId="9" borderId="1" xfId="0" applyNumberFormat="1" applyFont="1" applyFill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/>
    </xf>
    <xf numFmtId="168" fontId="4" fillId="0" borderId="4" xfId="0" applyNumberFormat="1" applyFont="1" applyBorder="1" applyAlignment="1">
      <alignment horizontal="center"/>
    </xf>
    <xf numFmtId="168" fontId="6" fillId="3" borderId="1" xfId="0" applyNumberFormat="1" applyFont="1" applyFill="1" applyBorder="1" applyAlignment="1">
      <alignment horizontal="center"/>
    </xf>
    <xf numFmtId="168" fontId="6" fillId="3" borderId="1" xfId="0" applyNumberFormat="1" applyFont="1" applyFill="1" applyBorder="1" applyAlignment="1">
      <alignment horizontal="center" vertical="center"/>
    </xf>
    <xf numFmtId="168" fontId="4" fillId="3" borderId="4" xfId="0" applyNumberFormat="1" applyFont="1" applyFill="1" applyBorder="1" applyAlignment="1">
      <alignment horizontal="center"/>
    </xf>
    <xf numFmtId="168" fontId="4" fillId="3" borderId="2" xfId="0" applyNumberFormat="1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168" fontId="10" fillId="13" borderId="1" xfId="0" applyNumberFormat="1" applyFont="1" applyFill="1" applyBorder="1" applyAlignment="1">
      <alignment horizontal="center"/>
    </xf>
    <xf numFmtId="168" fontId="10" fillId="4" borderId="1" xfId="0" applyNumberFormat="1" applyFont="1" applyFill="1" applyBorder="1" applyAlignment="1">
      <alignment horizontal="center"/>
    </xf>
    <xf numFmtId="0" fontId="10" fillId="9" borderId="0" xfId="0" applyFont="1" applyFill="1" applyAlignment="1">
      <alignment horizontal="center"/>
    </xf>
    <xf numFmtId="168" fontId="10" fillId="2" borderId="0" xfId="0" applyNumberFormat="1" applyFont="1" applyFill="1" applyAlignment="1">
      <alignment horizontal="center"/>
    </xf>
    <xf numFmtId="168" fontId="6" fillId="0" borderId="0" xfId="0" applyNumberFormat="1" applyFont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0" xfId="0" applyNumberFormat="1" applyFont="1" applyFill="1"/>
    <xf numFmtId="168" fontId="6" fillId="0" borderId="1" xfId="0" applyNumberFormat="1" applyFont="1" applyBorder="1"/>
    <xf numFmtId="168" fontId="23" fillId="3" borderId="1" xfId="0" applyNumberFormat="1" applyFont="1" applyFill="1" applyBorder="1" applyAlignment="1">
      <alignment horizontal="center"/>
    </xf>
    <xf numFmtId="0" fontId="23" fillId="9" borderId="0" xfId="0" applyFont="1" applyFill="1" applyAlignment="1">
      <alignment horizontal="center"/>
    </xf>
    <xf numFmtId="168" fontId="23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4" fontId="4" fillId="2" borderId="0" xfId="0" applyNumberFormat="1" applyFont="1" applyFill="1" applyAlignment="1">
      <alignment horizontal="left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4" fontId="15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4" fontId="24" fillId="4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4" fontId="6" fillId="8" borderId="1" xfId="0" applyNumberFormat="1" applyFont="1" applyFill="1" applyBorder="1"/>
    <xf numFmtId="4" fontId="10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wrapText="1"/>
    </xf>
    <xf numFmtId="3" fontId="6" fillId="8" borderId="1" xfId="0" applyNumberFormat="1" applyFont="1" applyFill="1" applyBorder="1"/>
    <xf numFmtId="0" fontId="10" fillId="2" borderId="0" xfId="0" applyFont="1" applyFill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4" fontId="10" fillId="2" borderId="1" xfId="0" applyNumberFormat="1" applyFont="1" applyFill="1" applyBorder="1" applyAlignment="1">
      <alignment horizontal="center"/>
    </xf>
    <xf numFmtId="4" fontId="10" fillId="2" borderId="0" xfId="0" applyNumberFormat="1" applyFont="1" applyFill="1" applyAlignment="1">
      <alignment horizontal="center"/>
    </xf>
    <xf numFmtId="4" fontId="6" fillId="2" borderId="1" xfId="0" applyNumberFormat="1" applyFont="1" applyFill="1" applyBorder="1" applyAlignment="1">
      <alignment horizontal="right"/>
    </xf>
    <xf numFmtId="0" fontId="25" fillId="0" borderId="1" xfId="0" applyFont="1" applyBorder="1" applyAlignment="1">
      <alignment horizontal="left" vertical="top"/>
    </xf>
    <xf numFmtId="0" fontId="10" fillId="9" borderId="1" xfId="0" applyFont="1" applyFill="1" applyBorder="1" applyAlignment="1">
      <alignment wrapText="1"/>
    </xf>
    <xf numFmtId="4" fontId="10" fillId="9" borderId="1" xfId="0" applyNumberFormat="1" applyFont="1" applyFill="1" applyBorder="1"/>
    <xf numFmtId="0" fontId="10" fillId="9" borderId="1" xfId="0" applyFont="1" applyFill="1" applyBorder="1"/>
    <xf numFmtId="4" fontId="6" fillId="0" borderId="0" xfId="0" applyNumberFormat="1" applyFont="1" applyAlignment="1">
      <alignment horizontal="center"/>
    </xf>
    <xf numFmtId="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3" borderId="0" xfId="0" applyFont="1" applyFill="1"/>
    <xf numFmtId="0" fontId="26" fillId="2" borderId="1" xfId="0" applyFont="1" applyFill="1" applyBorder="1" applyAlignment="1">
      <alignment horizontal="center" wrapText="1"/>
    </xf>
    <xf numFmtId="4" fontId="6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wrapText="1"/>
    </xf>
    <xf numFmtId="4" fontId="10" fillId="4" borderId="1" xfId="0" applyNumberFormat="1" applyFont="1" applyFill="1" applyBorder="1"/>
    <xf numFmtId="0" fontId="10" fillId="4" borderId="1" xfId="0" applyFont="1" applyFill="1" applyBorder="1" applyAlignment="1">
      <alignment horizontal="center"/>
    </xf>
    <xf numFmtId="0" fontId="6" fillId="2" borderId="0" xfId="0" applyFont="1" applyFill="1" applyAlignment="1">
      <alignment wrapText="1"/>
    </xf>
    <xf numFmtId="0" fontId="13" fillId="2" borderId="1" xfId="0" applyFont="1" applyFill="1" applyBorder="1" applyAlignment="1">
      <alignment wrapText="1"/>
    </xf>
    <xf numFmtId="0" fontId="26" fillId="2" borderId="1" xfId="0" applyFont="1" applyFill="1" applyBorder="1" applyAlignment="1">
      <alignment horizontal="center"/>
    </xf>
    <xf numFmtId="0" fontId="13" fillId="2" borderId="0" xfId="0" applyFont="1" applyFill="1"/>
    <xf numFmtId="0" fontId="10" fillId="4" borderId="1" xfId="0" applyFont="1" applyFill="1" applyBorder="1"/>
    <xf numFmtId="0" fontId="14" fillId="2" borderId="1" xfId="0" applyFont="1" applyFill="1" applyBorder="1" applyAlignment="1">
      <alignment horizontal="left" wrapText="1"/>
    </xf>
    <xf numFmtId="4" fontId="6" fillId="0" borderId="1" xfId="0" applyNumberFormat="1" applyFont="1" applyBorder="1" applyAlignment="1">
      <alignment wrapText="1"/>
    </xf>
    <xf numFmtId="0" fontId="27" fillId="2" borderId="0" xfId="0" applyFont="1" applyFill="1" applyAlignment="1">
      <alignment horizontal="left"/>
    </xf>
    <xf numFmtId="0" fontId="27" fillId="2" borderId="1" xfId="0" applyFont="1" applyFill="1" applyBorder="1" applyAlignment="1">
      <alignment horizontal="left"/>
    </xf>
    <xf numFmtId="170" fontId="6" fillId="0" borderId="1" xfId="0" applyNumberFormat="1" applyFont="1" applyBorder="1" applyAlignment="1">
      <alignment horizontal="center"/>
    </xf>
    <xf numFmtId="170" fontId="6" fillId="0" borderId="0" xfId="0" applyNumberFormat="1" applyFont="1" applyAlignment="1">
      <alignment horizontal="center"/>
    </xf>
    <xf numFmtId="0" fontId="11" fillId="2" borderId="0" xfId="0" applyFont="1" applyFill="1" applyAlignment="1">
      <alignment wrapText="1"/>
    </xf>
    <xf numFmtId="0" fontId="28" fillId="2" borderId="1" xfId="0" applyFont="1" applyFill="1" applyBorder="1" applyAlignment="1">
      <alignment horizontal="left"/>
    </xf>
    <xf numFmtId="4" fontId="10" fillId="9" borderId="1" xfId="0" applyNumberFormat="1" applyFont="1" applyFill="1" applyBorder="1" applyAlignment="1">
      <alignment horizontal="center"/>
    </xf>
    <xf numFmtId="4" fontId="29" fillId="0" borderId="1" xfId="0" applyNumberFormat="1" applyFont="1" applyBorder="1"/>
    <xf numFmtId="0" fontId="6" fillId="4" borderId="1" xfId="0" applyFont="1" applyFill="1" applyBorder="1" applyAlignment="1">
      <alignment horizontal="center"/>
    </xf>
    <xf numFmtId="165" fontId="30" fillId="0" borderId="0" xfId="0" applyNumberFormat="1" applyFont="1"/>
    <xf numFmtId="4" fontId="6" fillId="2" borderId="1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2" xfId="0" applyFont="1" applyBorder="1"/>
    <xf numFmtId="4" fontId="9" fillId="4" borderId="1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wrapText="1"/>
    </xf>
    <xf numFmtId="4" fontId="4" fillId="2" borderId="2" xfId="0" applyNumberFormat="1" applyFont="1" applyFill="1" applyBorder="1"/>
    <xf numFmtId="0" fontId="4" fillId="2" borderId="2" xfId="0" applyFont="1" applyFill="1" applyBorder="1"/>
    <xf numFmtId="4" fontId="4" fillId="2" borderId="2" xfId="0" applyNumberFormat="1" applyFont="1" applyFill="1" applyBorder="1" applyAlignment="1">
      <alignment horizontal="right"/>
    </xf>
    <xf numFmtId="0" fontId="4" fillId="2" borderId="4" xfId="0" applyFont="1" applyFill="1" applyBorder="1"/>
    <xf numFmtId="165" fontId="18" fillId="2" borderId="2" xfId="0" applyNumberFormat="1" applyFont="1" applyFill="1" applyBorder="1"/>
    <xf numFmtId="4" fontId="18" fillId="2" borderId="2" xfId="0" applyNumberFormat="1" applyFont="1" applyFill="1" applyBorder="1" applyAlignment="1">
      <alignment horizontal="center"/>
    </xf>
    <xf numFmtId="4" fontId="4" fillId="8" borderId="2" xfId="0" applyNumberFormat="1" applyFont="1" applyFill="1" applyBorder="1" applyAlignment="1">
      <alignment horizontal="right"/>
    </xf>
    <xf numFmtId="2" fontId="4" fillId="0" borderId="2" xfId="0" applyNumberFormat="1" applyFont="1" applyBorder="1"/>
    <xf numFmtId="2" fontId="4" fillId="0" borderId="2" xfId="0" applyNumberFormat="1" applyFont="1" applyBorder="1" applyAlignment="1">
      <alignment horizontal="center"/>
    </xf>
    <xf numFmtId="0" fontId="4" fillId="4" borderId="4" xfId="0" applyFont="1" applyFill="1" applyBorder="1"/>
    <xf numFmtId="4" fontId="4" fillId="4" borderId="2" xfId="0" applyNumberFormat="1" applyFont="1" applyFill="1" applyBorder="1"/>
    <xf numFmtId="0" fontId="4" fillId="4" borderId="2" xfId="0" applyFont="1" applyFill="1" applyBorder="1"/>
    <xf numFmtId="4" fontId="6" fillId="2" borderId="1" xfId="0" applyNumberFormat="1" applyFont="1" applyFill="1" applyBorder="1" applyAlignment="1">
      <alignment wrapText="1"/>
    </xf>
    <xf numFmtId="4" fontId="10" fillId="0" borderId="1" xfId="0" applyNumberFormat="1" applyFont="1" applyBorder="1"/>
    <xf numFmtId="0" fontId="6" fillId="10" borderId="0" xfId="0" applyFont="1" applyFill="1"/>
    <xf numFmtId="0" fontId="6" fillId="10" borderId="1" xfId="0" applyFont="1" applyFill="1" applyBorder="1"/>
    <xf numFmtId="0" fontId="6" fillId="4" borderId="0" xfId="0" applyFont="1" applyFill="1"/>
    <xf numFmtId="0" fontId="9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4" fontId="4" fillId="4" borderId="2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168" fontId="4" fillId="2" borderId="2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18" fillId="2" borderId="4" xfId="0" applyFont="1" applyFill="1" applyBorder="1"/>
    <xf numFmtId="4" fontId="9" fillId="4" borderId="2" xfId="0" applyNumberFormat="1" applyFont="1" applyFill="1" applyBorder="1" applyAlignment="1">
      <alignment horizontal="center"/>
    </xf>
    <xf numFmtId="0" fontId="10" fillId="10" borderId="1" xfId="0" applyFont="1" applyFill="1" applyBorder="1"/>
    <xf numFmtId="4" fontId="10" fillId="10" borderId="1" xfId="0" applyNumberFormat="1" applyFont="1" applyFill="1" applyBorder="1"/>
    <xf numFmtId="0" fontId="9" fillId="2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right"/>
    </xf>
    <xf numFmtId="4" fontId="9" fillId="10" borderId="2" xfId="0" applyNumberFormat="1" applyFont="1" applyFill="1" applyBorder="1" applyAlignment="1">
      <alignment horizontal="center"/>
    </xf>
    <xf numFmtId="0" fontId="4" fillId="10" borderId="4" xfId="0" applyFont="1" applyFill="1" applyBorder="1"/>
    <xf numFmtId="4" fontId="4" fillId="10" borderId="2" xfId="0" applyNumberFormat="1" applyFont="1" applyFill="1" applyBorder="1"/>
    <xf numFmtId="0" fontId="4" fillId="10" borderId="2" xfId="0" applyFont="1" applyFill="1" applyBorder="1"/>
    <xf numFmtId="3" fontId="4" fillId="2" borderId="2" xfId="0" applyNumberFormat="1" applyFont="1" applyFill="1" applyBorder="1" applyAlignment="1">
      <alignment horizontal="right"/>
    </xf>
    <xf numFmtId="0" fontId="19" fillId="2" borderId="1" xfId="0" applyFont="1" applyFill="1" applyBorder="1"/>
    <xf numFmtId="0" fontId="4" fillId="0" borderId="1" xfId="0" applyFont="1" applyBorder="1" applyAlignment="1">
      <alignment wrapText="1"/>
    </xf>
    <xf numFmtId="3" fontId="4" fillId="0" borderId="2" xfId="0" applyNumberFormat="1" applyFont="1" applyBorder="1"/>
    <xf numFmtId="3" fontId="4" fillId="8" borderId="2" xfId="0" applyNumberFormat="1" applyFont="1" applyFill="1" applyBorder="1"/>
    <xf numFmtId="2" fontId="6" fillId="0" borderId="0" xfId="0" applyNumberFormat="1" applyFont="1"/>
    <xf numFmtId="4" fontId="4" fillId="8" borderId="2" xfId="0" applyNumberFormat="1" applyFont="1" applyFill="1" applyBorder="1"/>
    <xf numFmtId="0" fontId="4" fillId="4" borderId="4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4" fontId="4" fillId="4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wrapText="1"/>
    </xf>
    <xf numFmtId="3" fontId="4" fillId="8" borderId="2" xfId="0" applyNumberFormat="1" applyFont="1" applyFill="1" applyBorder="1" applyAlignment="1">
      <alignment horizontal="right"/>
    </xf>
    <xf numFmtId="0" fontId="6" fillId="10" borderId="8" xfId="0" applyFont="1" applyFill="1" applyBorder="1" applyAlignment="1">
      <alignment wrapText="1"/>
    </xf>
    <xf numFmtId="4" fontId="6" fillId="10" borderId="1" xfId="0" applyNumberFormat="1" applyFont="1" applyFill="1" applyBorder="1" applyAlignment="1">
      <alignment horizontal="center"/>
    </xf>
    <xf numFmtId="4" fontId="6" fillId="9" borderId="1" xfId="0" applyNumberFormat="1" applyFont="1" applyFill="1" applyBorder="1"/>
    <xf numFmtId="0" fontId="6" fillId="9" borderId="1" xfId="0" applyFont="1" applyFill="1" applyBorder="1" applyAlignment="1">
      <alignment horizontal="center"/>
    </xf>
    <xf numFmtId="4" fontId="6" fillId="9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horizontal="right"/>
    </xf>
    <xf numFmtId="3" fontId="4" fillId="2" borderId="2" xfId="0" applyNumberFormat="1" applyFont="1" applyFill="1" applyBorder="1"/>
    <xf numFmtId="0" fontId="21" fillId="0" borderId="0" xfId="0" applyFont="1" applyAlignment="1">
      <alignment horizontal="center"/>
    </xf>
    <xf numFmtId="0" fontId="0" fillId="0" borderId="0" xfId="0"/>
    <xf numFmtId="0" fontId="10" fillId="11" borderId="8" xfId="0" applyFont="1" applyFill="1" applyBorder="1" applyAlignment="1">
      <alignment horizontal="center"/>
    </xf>
    <xf numFmtId="0" fontId="22" fillId="0" borderId="3" xfId="0" applyFont="1" applyBorder="1"/>
    <xf numFmtId="0" fontId="10" fillId="11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0" fontId="10" fillId="11" borderId="9" xfId="0" applyFont="1" applyFill="1" applyBorder="1" applyAlignment="1">
      <alignment horizontal="center" vertical="center"/>
    </xf>
    <xf numFmtId="0" fontId="22" fillId="0" borderId="10" xfId="0" applyFont="1" applyBorder="1"/>
    <xf numFmtId="0" fontId="22" fillId="0" borderId="4" xfId="0" applyFont="1" applyBorder="1"/>
    <xf numFmtId="0" fontId="10" fillId="13" borderId="8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4" fontId="4" fillId="2" borderId="0" xfId="0" applyNumberFormat="1" applyFont="1" applyFill="1" applyAlignment="1">
      <alignment horizontal="left"/>
    </xf>
    <xf numFmtId="0" fontId="6" fillId="4" borderId="8" xfId="0" applyFont="1" applyFill="1" applyBorder="1" applyAlignment="1">
      <alignment wrapText="1"/>
    </xf>
    <xf numFmtId="0" fontId="22" fillId="0" borderId="5" xfId="0" applyFont="1" applyBorder="1"/>
    <xf numFmtId="0" fontId="10" fillId="14" borderId="8" xfId="0" applyFont="1" applyFill="1" applyBorder="1" applyAlignment="1">
      <alignment horizontal="center" wrapText="1"/>
    </xf>
    <xf numFmtId="0" fontId="6" fillId="4" borderId="8" xfId="0" applyFont="1" applyFill="1" applyBorder="1"/>
    <xf numFmtId="0" fontId="10" fillId="4" borderId="8" xfId="0" applyFont="1" applyFill="1" applyBorder="1" applyAlignment="1">
      <alignment wrapText="1"/>
    </xf>
    <xf numFmtId="0" fontId="10" fillId="4" borderId="8" xfId="0" applyFont="1" applyFill="1" applyBorder="1"/>
    <xf numFmtId="3" fontId="6" fillId="15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D36"/>
  <sheetViews>
    <sheetView workbookViewId="0"/>
  </sheetViews>
  <sheetFormatPr baseColWidth="10" defaultColWidth="12.6640625" defaultRowHeight="15.75" customHeight="1"/>
  <cols>
    <col min="1" max="1" width="45.6640625" customWidth="1"/>
    <col min="2" max="2" width="32.6640625" customWidth="1"/>
    <col min="3" max="3" width="15.5" customWidth="1"/>
    <col min="4" max="4" width="17" customWidth="1"/>
  </cols>
  <sheetData>
    <row r="2" spans="1:4">
      <c r="A2" s="1" t="s">
        <v>0</v>
      </c>
      <c r="B2" s="1" t="s">
        <v>1</v>
      </c>
      <c r="C2" s="2" t="s">
        <v>2</v>
      </c>
      <c r="D2" s="1" t="s">
        <v>3</v>
      </c>
    </row>
    <row r="3" spans="1:4" ht="15.75" customHeight="1">
      <c r="A3" s="3"/>
      <c r="B3" s="4"/>
      <c r="C3" s="5"/>
      <c r="D3" s="6"/>
    </row>
    <row r="4" spans="1:4">
      <c r="A4" s="7"/>
      <c r="B4" s="3"/>
      <c r="C4" s="8"/>
      <c r="D4" s="9"/>
    </row>
    <row r="5" spans="1:4" ht="15.75" customHeight="1">
      <c r="A5" s="10"/>
      <c r="B5" s="3"/>
      <c r="C5" s="11"/>
      <c r="D5" s="12"/>
    </row>
    <row r="6" spans="1:4">
      <c r="A6" s="13"/>
      <c r="B6" s="14"/>
      <c r="C6" s="5"/>
      <c r="D6" s="6"/>
    </row>
    <row r="7" spans="1:4">
      <c r="A7" s="13"/>
      <c r="B7" s="14"/>
      <c r="C7" s="5"/>
      <c r="D7" s="6"/>
    </row>
    <row r="8" spans="1:4">
      <c r="A8" s="15"/>
      <c r="B8" s="16"/>
      <c r="C8" s="17"/>
      <c r="D8" s="6"/>
    </row>
    <row r="9" spans="1:4" ht="15.75" customHeight="1">
      <c r="A9" s="14"/>
      <c r="B9" s="14"/>
      <c r="C9" s="8"/>
      <c r="D9" s="9"/>
    </row>
    <row r="10" spans="1:4" ht="15.75" customHeight="1">
      <c r="A10" s="18"/>
      <c r="B10" s="14"/>
      <c r="C10" s="8"/>
      <c r="D10" s="9"/>
    </row>
    <row r="11" spans="1:4" ht="15.75" customHeight="1">
      <c r="A11" s="14"/>
      <c r="B11" s="18"/>
      <c r="C11" s="8"/>
      <c r="D11" s="6"/>
    </row>
    <row r="12" spans="1:4" ht="15.75" customHeight="1">
      <c r="A12" s="14"/>
      <c r="B12" s="14"/>
      <c r="C12" s="8"/>
      <c r="D12" s="6"/>
    </row>
    <row r="13" spans="1:4" ht="15.75" customHeight="1">
      <c r="A13" s="14"/>
      <c r="B13" s="14"/>
      <c r="C13" s="8"/>
      <c r="D13" s="6"/>
    </row>
    <row r="14" spans="1:4" ht="15.75" customHeight="1">
      <c r="A14" s="14"/>
      <c r="B14" s="14"/>
      <c r="C14" s="8"/>
      <c r="D14" s="6"/>
    </row>
    <row r="15" spans="1:4" ht="15.75" customHeight="1">
      <c r="A15" s="14"/>
      <c r="B15" s="14"/>
      <c r="C15" s="5"/>
      <c r="D15" s="6"/>
    </row>
    <row r="16" spans="1:4" ht="15.75" customHeight="1">
      <c r="A16" s="10"/>
      <c r="B16" s="19"/>
      <c r="C16" s="8"/>
      <c r="D16" s="9"/>
    </row>
    <row r="17" spans="1:4" ht="15.75" customHeight="1">
      <c r="A17" s="14"/>
      <c r="B17" s="3"/>
      <c r="C17" s="8"/>
      <c r="D17" s="6"/>
    </row>
    <row r="18" spans="1:4" ht="15.75" customHeight="1">
      <c r="A18" s="18"/>
      <c r="B18" s="14"/>
      <c r="C18" s="8"/>
      <c r="D18" s="6"/>
    </row>
    <row r="19" spans="1:4" ht="15.75" customHeight="1">
      <c r="A19" s="18"/>
      <c r="B19" s="14"/>
      <c r="C19" s="5"/>
      <c r="D19" s="6"/>
    </row>
    <row r="20" spans="1:4" ht="15.75" customHeight="1">
      <c r="A20" s="14"/>
      <c r="B20" s="14"/>
      <c r="C20" s="8"/>
      <c r="D20" s="6"/>
    </row>
    <row r="21" spans="1:4" ht="15.75" customHeight="1">
      <c r="A21" s="14"/>
      <c r="B21" s="14"/>
      <c r="C21" s="8"/>
      <c r="D21" s="6"/>
    </row>
    <row r="22" spans="1:4" ht="15.75" customHeight="1">
      <c r="A22" s="14"/>
      <c r="B22" s="14"/>
      <c r="C22" s="8"/>
      <c r="D22" s="6"/>
    </row>
    <row r="23" spans="1:4" ht="15.75" customHeight="1">
      <c r="A23" s="14"/>
      <c r="B23" s="3"/>
      <c r="C23" s="8"/>
      <c r="D23" s="6"/>
    </row>
    <row r="24" spans="1:4" ht="15.75" customHeight="1">
      <c r="A24" s="14"/>
      <c r="B24" s="3"/>
      <c r="C24" s="5"/>
      <c r="D24" s="6"/>
    </row>
    <row r="25" spans="1:4" ht="15.75" customHeight="1">
      <c r="A25" s="18"/>
      <c r="B25" s="14"/>
      <c r="C25" s="8"/>
      <c r="D25" s="6"/>
    </row>
    <row r="26" spans="1:4" ht="15.75" customHeight="1">
      <c r="A26" s="3"/>
      <c r="B26" s="3"/>
      <c r="C26" s="20"/>
      <c r="D26" s="21"/>
    </row>
    <row r="27" spans="1:4" ht="15.75" customHeight="1">
      <c r="A27" s="14"/>
      <c r="B27" s="14"/>
      <c r="C27" s="8"/>
      <c r="D27" s="21"/>
    </row>
    <row r="28" spans="1:4" ht="15.75" customHeight="1">
      <c r="A28" s="18"/>
      <c r="B28" s="14"/>
      <c r="C28" s="8"/>
      <c r="D28" s="21"/>
    </row>
    <row r="29" spans="1:4">
      <c r="A29" s="22"/>
      <c r="B29" s="18"/>
      <c r="C29" s="23"/>
      <c r="D29" s="6"/>
    </row>
    <row r="30" spans="1:4">
      <c r="A30" s="22"/>
      <c r="B30" s="18"/>
      <c r="C30" s="8"/>
      <c r="D30" s="6"/>
    </row>
    <row r="31" spans="1:4" ht="15.75" customHeight="1">
      <c r="A31" s="14"/>
      <c r="B31" s="14"/>
      <c r="C31" s="8"/>
      <c r="D31" s="6"/>
    </row>
    <row r="32" spans="1:4" ht="15.75" customHeight="1">
      <c r="A32" s="14"/>
      <c r="B32" s="14"/>
      <c r="C32" s="8"/>
      <c r="D32" s="6"/>
    </row>
    <row r="33" spans="1:4" ht="15.75" customHeight="1">
      <c r="A33" s="14"/>
      <c r="B33" s="14"/>
      <c r="C33" s="8"/>
      <c r="D33" s="6"/>
    </row>
    <row r="34" spans="1:4" ht="15.75" customHeight="1">
      <c r="A34" s="18"/>
      <c r="B34" s="3"/>
      <c r="C34" s="24"/>
      <c r="D34" s="6"/>
    </row>
    <row r="35" spans="1:4" ht="15.75" customHeight="1">
      <c r="A35" s="18"/>
      <c r="B35" s="3"/>
      <c r="C35" s="24"/>
      <c r="D35" s="6"/>
    </row>
    <row r="36" spans="1:4">
      <c r="A36" s="25"/>
      <c r="B36" s="25"/>
      <c r="C36" s="26"/>
      <c r="D36" s="2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5"/>
  <sheetViews>
    <sheetView workbookViewId="0"/>
  </sheetViews>
  <sheetFormatPr baseColWidth="10" defaultColWidth="12.6640625" defaultRowHeight="15.75" customHeight="1"/>
  <cols>
    <col min="1" max="1" width="46.1640625" customWidth="1"/>
    <col min="2" max="2" width="34.164062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 ht="15.75" customHeight="1">
      <c r="A2" s="14"/>
      <c r="B2" s="18"/>
      <c r="C2" s="8"/>
      <c r="D2" s="6"/>
    </row>
    <row r="3" spans="1:4" ht="15.75" customHeight="1">
      <c r="A3" s="14"/>
      <c r="B3" s="18"/>
      <c r="C3" s="23"/>
      <c r="D3" s="6"/>
    </row>
    <row r="4" spans="1:4" ht="15.75" customHeight="1">
      <c r="A4" s="14"/>
      <c r="B4" s="18"/>
      <c r="C4" s="8"/>
      <c r="D4" s="6"/>
    </row>
    <row r="5" spans="1:4" ht="15.75" customHeight="1">
      <c r="A5" s="14"/>
      <c r="B5" s="18"/>
      <c r="C5" s="8"/>
      <c r="D5" s="6"/>
    </row>
    <row r="6" spans="1:4" ht="15.75" customHeight="1">
      <c r="A6" s="18"/>
      <c r="B6" s="14"/>
      <c r="C6" s="5"/>
      <c r="D6" s="6"/>
    </row>
    <row r="7" spans="1:4" ht="15.75" customHeight="1">
      <c r="A7" s="14"/>
      <c r="B7" s="18"/>
      <c r="C7" s="23"/>
      <c r="D7" s="6"/>
    </row>
    <row r="8" spans="1:4" ht="15.75" customHeight="1">
      <c r="A8" s="18"/>
      <c r="B8" s="14"/>
      <c r="C8" s="8"/>
      <c r="D8" s="21"/>
    </row>
    <row r="9" spans="1:4" ht="15.75" customHeight="1">
      <c r="A9" s="18"/>
      <c r="B9" s="14"/>
      <c r="C9" s="8"/>
      <c r="D9" s="21"/>
    </row>
    <row r="10" spans="1:4" ht="15.75" customHeight="1">
      <c r="A10" s="18"/>
      <c r="B10" s="14"/>
      <c r="C10" s="8"/>
      <c r="D10" s="21"/>
    </row>
    <row r="11" spans="1:4" ht="15.75" customHeight="1">
      <c r="A11" s="18"/>
      <c r="B11" s="14"/>
      <c r="C11" s="8"/>
      <c r="D11" s="21"/>
    </row>
    <row r="12" spans="1:4" ht="15.75" customHeight="1">
      <c r="A12" s="18"/>
      <c r="B12" s="14"/>
      <c r="C12" s="8"/>
      <c r="D12" s="6"/>
    </row>
    <row r="13" spans="1:4" ht="15.75" customHeight="1">
      <c r="A13" s="18"/>
      <c r="B13" s="14"/>
      <c r="C13" s="8"/>
      <c r="D13" s="6"/>
    </row>
    <row r="14" spans="1:4" ht="15.75" customHeight="1">
      <c r="A14" s="18"/>
      <c r="B14" s="14"/>
      <c r="C14" s="8"/>
      <c r="D14" s="6"/>
    </row>
    <row r="15" spans="1:4" ht="15.75" customHeight="1">
      <c r="A15" s="18"/>
      <c r="B15" s="14"/>
      <c r="C15" s="8"/>
      <c r="D15" s="6"/>
    </row>
    <row r="16" spans="1:4" ht="15.75" customHeight="1">
      <c r="A16" s="18"/>
      <c r="B16" s="14"/>
      <c r="C16" s="8"/>
      <c r="D16" s="6"/>
    </row>
    <row r="17" spans="1:4" ht="15.75" customHeight="1">
      <c r="A17" s="18"/>
      <c r="B17" s="14"/>
      <c r="C17" s="8"/>
      <c r="D17" s="6"/>
    </row>
    <row r="18" spans="1:4" ht="15.75" customHeight="1">
      <c r="A18" s="18"/>
      <c r="B18" s="14"/>
      <c r="C18" s="8"/>
      <c r="D18" s="6"/>
    </row>
    <row r="19" spans="1:4" ht="15.75" customHeight="1">
      <c r="A19" s="14"/>
      <c r="B19" s="3"/>
      <c r="C19" s="5"/>
      <c r="D19" s="6"/>
    </row>
    <row r="20" spans="1:4" ht="15.75" customHeight="1">
      <c r="A20" s="28"/>
      <c r="B20" s="3"/>
      <c r="C20" s="8"/>
      <c r="D20" s="6"/>
    </row>
    <row r="21" spans="1:4">
      <c r="A21" s="29"/>
      <c r="B21" s="28"/>
      <c r="C21" s="30"/>
    </row>
    <row r="22" spans="1:4">
      <c r="A22" s="31"/>
      <c r="B22" s="32"/>
      <c r="C22" s="33"/>
    </row>
    <row r="23" spans="1:4">
      <c r="A23" s="31"/>
      <c r="B23" s="32"/>
      <c r="C23" s="33"/>
    </row>
    <row r="24" spans="1:4">
      <c r="A24" s="34"/>
      <c r="B24" s="31"/>
      <c r="C24" s="35"/>
    </row>
    <row r="25" spans="1:4">
      <c r="A25" s="31"/>
      <c r="B25" s="32"/>
      <c r="C25" s="35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"/>
  <sheetViews>
    <sheetView workbookViewId="0"/>
  </sheetViews>
  <sheetFormatPr baseColWidth="10" defaultColWidth="12.6640625" defaultRowHeight="15.75" customHeight="1"/>
  <cols>
    <col min="1" max="1" width="28.1640625" customWidth="1"/>
    <col min="4" max="4" width="14.83203125" customWidth="1"/>
  </cols>
  <sheetData>
    <row r="1" spans="1:9" ht="15.75" customHeight="1">
      <c r="A1" s="36"/>
      <c r="B1" s="37" t="s">
        <v>4</v>
      </c>
      <c r="C1" s="38" t="s">
        <v>5</v>
      </c>
      <c r="D1" s="36" t="s">
        <v>6</v>
      </c>
      <c r="E1" s="39"/>
      <c r="F1" s="40"/>
      <c r="G1" s="41"/>
      <c r="H1" s="42"/>
      <c r="I1" s="42"/>
    </row>
    <row r="2" spans="1:9" ht="15.75" customHeight="1">
      <c r="A2" s="43" t="s">
        <v>7</v>
      </c>
      <c r="B2" s="44"/>
      <c r="C2" s="44">
        <v>12</v>
      </c>
      <c r="D2" s="45">
        <f>B2/C2</f>
        <v>0</v>
      </c>
      <c r="E2" s="39"/>
      <c r="F2" s="46">
        <f>'Исходные данные'!E5</f>
        <v>22069</v>
      </c>
      <c r="G2" s="27" t="s">
        <v>8</v>
      </c>
      <c r="H2" s="47"/>
      <c r="I2" s="48"/>
    </row>
    <row r="3" spans="1:9" ht="15.75" customHeight="1">
      <c r="A3" s="43"/>
      <c r="B3" s="44"/>
      <c r="C3" s="44"/>
      <c r="D3" s="45"/>
      <c r="E3" s="39"/>
      <c r="H3" s="39"/>
      <c r="I3" s="39"/>
    </row>
    <row r="4" spans="1:9" ht="15.75" customHeight="1">
      <c r="A4" s="43"/>
      <c r="B4" s="44"/>
      <c r="C4" s="44"/>
      <c r="D4" s="45"/>
      <c r="E4" s="39"/>
      <c r="F4" s="49">
        <f>D7/F2</f>
        <v>0</v>
      </c>
      <c r="G4" s="50" t="s">
        <v>9</v>
      </c>
      <c r="H4" s="39"/>
      <c r="I4" s="39"/>
    </row>
    <row r="5" spans="1:9" ht="15.75" customHeight="1">
      <c r="A5" s="43"/>
      <c r="B5" s="44"/>
      <c r="C5" s="44"/>
      <c r="D5" s="45"/>
      <c r="E5" s="39"/>
      <c r="F5" s="39"/>
      <c r="G5" s="39"/>
      <c r="H5" s="39"/>
      <c r="I5" s="39"/>
    </row>
    <row r="6" spans="1:9" ht="15.75" customHeight="1">
      <c r="A6" s="43"/>
      <c r="B6" s="51"/>
      <c r="C6" s="44"/>
      <c r="D6" s="45"/>
      <c r="E6" s="39"/>
      <c r="F6" s="39"/>
      <c r="G6" s="39"/>
      <c r="H6" s="39"/>
      <c r="I6" s="39"/>
    </row>
    <row r="7" spans="1:9" ht="15.75" customHeight="1">
      <c r="A7" s="36"/>
      <c r="B7" s="52"/>
      <c r="C7" s="36"/>
      <c r="D7" s="53">
        <f>SUM(D2:D6)</f>
        <v>0</v>
      </c>
      <c r="E7" s="39"/>
      <c r="F7" s="39"/>
      <c r="G7" s="39"/>
      <c r="H7" s="39"/>
      <c r="I7" s="39"/>
    </row>
    <row r="8" spans="1:9" ht="15.75" customHeight="1">
      <c r="A8" s="39"/>
      <c r="B8" s="54"/>
      <c r="C8" s="39"/>
      <c r="D8" s="55"/>
      <c r="E8" s="39"/>
      <c r="F8" s="39"/>
      <c r="G8" s="39"/>
      <c r="H8" s="39"/>
      <c r="I8" s="39"/>
    </row>
    <row r="9" spans="1:9" ht="15.75" customHeight="1">
      <c r="A9" s="39"/>
      <c r="B9" s="55"/>
      <c r="C9" s="55"/>
      <c r="D9" s="55"/>
      <c r="E9" s="39"/>
      <c r="F9" s="56"/>
      <c r="G9" s="57"/>
      <c r="H9" s="39"/>
      <c r="I9" s="39"/>
    </row>
    <row r="10" spans="1:9" ht="15.75" customHeight="1">
      <c r="A10" s="39"/>
      <c r="B10" s="55"/>
      <c r="C10" s="39"/>
      <c r="D10" s="39"/>
      <c r="E10" s="39"/>
      <c r="F10" s="39"/>
      <c r="G10" s="39"/>
      <c r="H10" s="39"/>
      <c r="I10" s="39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0"/>
  <sheetViews>
    <sheetView workbookViewId="0"/>
  </sheetViews>
  <sheetFormatPr baseColWidth="10" defaultColWidth="12.6640625" defaultRowHeight="15.75" customHeight="1"/>
  <cols>
    <col min="1" max="1" width="39.6640625" customWidth="1"/>
    <col min="3" max="3" width="9.83203125" customWidth="1"/>
    <col min="4" max="4" width="14.83203125" customWidth="1"/>
  </cols>
  <sheetData>
    <row r="1" spans="1:13" ht="15.75" customHeight="1">
      <c r="A1" s="27"/>
      <c r="B1" s="58" t="s">
        <v>4</v>
      </c>
      <c r="C1" s="27" t="s">
        <v>5</v>
      </c>
      <c r="D1" s="27" t="s">
        <v>6</v>
      </c>
      <c r="I1" s="59"/>
      <c r="J1" s="59"/>
      <c r="K1" s="59"/>
      <c r="L1" s="59"/>
      <c r="M1" s="59"/>
    </row>
    <row r="2" spans="1:13" ht="15.75" customHeight="1">
      <c r="A2" s="60" t="s">
        <v>10</v>
      </c>
      <c r="B2" s="61">
        <f>11300+8000</f>
        <v>19300</v>
      </c>
      <c r="C2" s="61">
        <v>12</v>
      </c>
      <c r="D2" s="61">
        <f t="shared" ref="D2:D27" si="0">B2/C2</f>
        <v>1608.3333333333333</v>
      </c>
      <c r="F2" s="46">
        <f>'Исходные данные'!E2</f>
        <v>27060</v>
      </c>
      <c r="G2" s="27" t="s">
        <v>11</v>
      </c>
      <c r="I2" s="59"/>
      <c r="J2" s="62"/>
      <c r="K2" s="62"/>
      <c r="L2" s="59"/>
      <c r="M2" s="59"/>
    </row>
    <row r="3" spans="1:13" ht="15.75" customHeight="1">
      <c r="A3" s="63" t="s">
        <v>12</v>
      </c>
      <c r="B3" s="64">
        <v>181</v>
      </c>
      <c r="C3" s="61">
        <v>12</v>
      </c>
      <c r="D3" s="61">
        <f t="shared" si="0"/>
        <v>15.083333333333334</v>
      </c>
      <c r="I3" s="59"/>
      <c r="J3" s="62"/>
      <c r="K3" s="62"/>
      <c r="L3" s="59"/>
      <c r="M3" s="59"/>
    </row>
    <row r="4" spans="1:13" ht="15.75" customHeight="1">
      <c r="A4" s="65" t="s">
        <v>13</v>
      </c>
      <c r="B4" s="61">
        <f>1640+8302+2570+4394+4000</f>
        <v>20906</v>
      </c>
      <c r="C4" s="61">
        <v>12</v>
      </c>
      <c r="D4" s="61">
        <f t="shared" si="0"/>
        <v>1742.1666666666667</v>
      </c>
      <c r="F4" s="49">
        <f>D28/F2</f>
        <v>0.27439332347868928</v>
      </c>
      <c r="G4" s="50" t="s">
        <v>9</v>
      </c>
      <c r="I4" s="59"/>
      <c r="J4" s="62"/>
      <c r="K4" s="62"/>
      <c r="L4" s="59"/>
      <c r="M4" s="59"/>
    </row>
    <row r="5" spans="1:13" ht="15.75" customHeight="1">
      <c r="A5" s="66" t="s">
        <v>14</v>
      </c>
      <c r="B5" s="61">
        <v>34744</v>
      </c>
      <c r="C5" s="61">
        <v>12</v>
      </c>
      <c r="D5" s="61">
        <f t="shared" si="0"/>
        <v>2895.3333333333335</v>
      </c>
      <c r="I5" s="59"/>
      <c r="J5" s="62"/>
      <c r="K5" s="62"/>
      <c r="L5" s="59"/>
      <c r="M5" s="59"/>
    </row>
    <row r="6" spans="1:13" ht="15.75" customHeight="1">
      <c r="A6" s="63" t="s">
        <v>15</v>
      </c>
      <c r="B6" s="61">
        <v>2500</v>
      </c>
      <c r="C6" s="61">
        <v>12</v>
      </c>
      <c r="D6" s="61">
        <f t="shared" si="0"/>
        <v>208.33333333333334</v>
      </c>
      <c r="I6" s="59"/>
      <c r="J6" s="59"/>
      <c r="K6" s="62"/>
      <c r="L6" s="59"/>
      <c r="M6" s="59"/>
    </row>
    <row r="7" spans="1:13" ht="15.75" customHeight="1">
      <c r="A7" s="63" t="s">
        <v>16</v>
      </c>
      <c r="B7" s="61">
        <f>6835+3135</f>
        <v>9970</v>
      </c>
      <c r="C7" s="61">
        <v>12</v>
      </c>
      <c r="D7" s="61">
        <f t="shared" si="0"/>
        <v>830.83333333333337</v>
      </c>
      <c r="I7" s="59"/>
      <c r="J7" s="67"/>
      <c r="K7" s="62"/>
      <c r="L7" s="59"/>
      <c r="M7" s="59"/>
    </row>
    <row r="8" spans="1:13" ht="15.75" customHeight="1">
      <c r="A8" s="63" t="s">
        <v>17</v>
      </c>
      <c r="B8" s="61">
        <v>1500</v>
      </c>
      <c r="C8" s="61">
        <v>12</v>
      </c>
      <c r="D8" s="61">
        <f t="shared" si="0"/>
        <v>125</v>
      </c>
      <c r="I8" s="59"/>
      <c r="J8" s="62"/>
      <c r="K8" s="62"/>
      <c r="L8" s="59"/>
      <c r="M8" s="59"/>
    </row>
    <row r="9" spans="1:13" ht="15.75" customHeight="1">
      <c r="A9" s="63"/>
      <c r="B9" s="61"/>
      <c r="C9" s="61">
        <v>12</v>
      </c>
      <c r="D9" s="61">
        <f t="shared" si="0"/>
        <v>0</v>
      </c>
      <c r="I9" s="59"/>
      <c r="J9" s="62"/>
      <c r="K9" s="62"/>
      <c r="L9" s="59"/>
      <c r="M9" s="59"/>
    </row>
    <row r="10" spans="1:13" ht="15.75" customHeight="1">
      <c r="A10" s="68"/>
      <c r="B10" s="61"/>
      <c r="C10" s="61">
        <v>12</v>
      </c>
      <c r="D10" s="61">
        <f t="shared" si="0"/>
        <v>0</v>
      </c>
      <c r="I10" s="59"/>
      <c r="J10" s="62"/>
      <c r="K10" s="62"/>
      <c r="L10" s="59"/>
      <c r="M10" s="59"/>
    </row>
    <row r="11" spans="1:13" ht="15.75" customHeight="1">
      <c r="A11" s="27"/>
      <c r="B11" s="61"/>
      <c r="C11" s="61">
        <v>12</v>
      </c>
      <c r="D11" s="61">
        <f t="shared" si="0"/>
        <v>0</v>
      </c>
      <c r="I11" s="59"/>
      <c r="J11" s="62"/>
      <c r="K11" s="62"/>
      <c r="L11" s="59"/>
      <c r="M11" s="59"/>
    </row>
    <row r="12" spans="1:13" ht="15.75" customHeight="1">
      <c r="A12" s="27"/>
      <c r="B12" s="61"/>
      <c r="C12" s="61">
        <v>12</v>
      </c>
      <c r="D12" s="61">
        <f t="shared" si="0"/>
        <v>0</v>
      </c>
      <c r="I12" s="59"/>
      <c r="J12" s="62"/>
      <c r="K12" s="62"/>
      <c r="L12" s="59"/>
      <c r="M12" s="59"/>
    </row>
    <row r="13" spans="1:13" ht="15.75" customHeight="1">
      <c r="A13" s="58"/>
      <c r="B13" s="61"/>
      <c r="C13" s="61">
        <v>12</v>
      </c>
      <c r="D13" s="61">
        <f t="shared" si="0"/>
        <v>0</v>
      </c>
      <c r="I13" s="59"/>
      <c r="J13" s="59"/>
      <c r="K13" s="59"/>
      <c r="L13" s="59"/>
      <c r="M13" s="59"/>
    </row>
    <row r="14" spans="1:13" ht="15.75" customHeight="1">
      <c r="A14" s="58"/>
      <c r="B14" s="61"/>
      <c r="C14" s="61">
        <v>12</v>
      </c>
      <c r="D14" s="61">
        <f t="shared" si="0"/>
        <v>0</v>
      </c>
      <c r="I14" s="59"/>
      <c r="J14" s="69"/>
      <c r="K14" s="59"/>
      <c r="L14" s="59"/>
      <c r="M14" s="59"/>
    </row>
    <row r="15" spans="1:13" ht="15.75" customHeight="1">
      <c r="A15" s="27"/>
      <c r="B15" s="61"/>
      <c r="C15" s="61">
        <v>12</v>
      </c>
      <c r="D15" s="61">
        <f t="shared" si="0"/>
        <v>0</v>
      </c>
      <c r="I15" s="59"/>
      <c r="J15" s="59"/>
      <c r="K15" s="59"/>
      <c r="L15" s="59"/>
      <c r="M15" s="59"/>
    </row>
    <row r="16" spans="1:13" ht="15.75" customHeight="1">
      <c r="B16" s="61"/>
      <c r="C16" s="61">
        <v>12</v>
      </c>
      <c r="D16" s="61">
        <f t="shared" si="0"/>
        <v>0</v>
      </c>
      <c r="I16" s="59"/>
      <c r="J16" s="59"/>
      <c r="K16" s="59"/>
      <c r="L16" s="59"/>
      <c r="M16" s="59"/>
    </row>
    <row r="17" spans="1:13" ht="15.75" customHeight="1">
      <c r="A17" s="27"/>
      <c r="B17" s="61"/>
      <c r="C17" s="61">
        <v>12</v>
      </c>
      <c r="D17" s="61">
        <f t="shared" si="0"/>
        <v>0</v>
      </c>
      <c r="I17" s="59"/>
      <c r="J17" s="59"/>
      <c r="K17" s="59"/>
      <c r="L17" s="59"/>
      <c r="M17" s="59"/>
    </row>
    <row r="18" spans="1:13" ht="15.75" customHeight="1">
      <c r="A18" s="27"/>
      <c r="B18" s="61"/>
      <c r="C18" s="61">
        <v>12</v>
      </c>
      <c r="D18" s="61">
        <f t="shared" si="0"/>
        <v>0</v>
      </c>
      <c r="I18" s="59"/>
      <c r="J18" s="59"/>
      <c r="K18" s="59"/>
      <c r="L18" s="59"/>
      <c r="M18" s="59"/>
    </row>
    <row r="19" spans="1:13" ht="15.75" customHeight="1">
      <c r="A19" s="27"/>
      <c r="B19" s="61"/>
      <c r="C19" s="61">
        <v>12</v>
      </c>
      <c r="D19" s="61">
        <f t="shared" si="0"/>
        <v>0</v>
      </c>
      <c r="I19" s="69"/>
      <c r="J19" s="57"/>
      <c r="K19" s="59"/>
      <c r="L19" s="59"/>
      <c r="M19" s="59"/>
    </row>
    <row r="20" spans="1:13">
      <c r="A20" s="70"/>
      <c r="B20" s="71"/>
      <c r="C20" s="61">
        <v>12</v>
      </c>
      <c r="D20" s="61">
        <f t="shared" si="0"/>
        <v>0</v>
      </c>
      <c r="I20" s="59"/>
      <c r="J20" s="59"/>
      <c r="K20" s="59"/>
      <c r="L20" s="59"/>
      <c r="M20" s="59"/>
    </row>
    <row r="21" spans="1:13">
      <c r="A21" s="72"/>
      <c r="B21" s="71"/>
      <c r="C21" s="61">
        <v>12</v>
      </c>
      <c r="D21" s="61">
        <f t="shared" si="0"/>
        <v>0</v>
      </c>
    </row>
    <row r="22" spans="1:13" ht="15.75" customHeight="1">
      <c r="A22" s="73"/>
      <c r="B22" s="61"/>
      <c r="C22" s="61">
        <v>12</v>
      </c>
      <c r="D22" s="61">
        <f t="shared" si="0"/>
        <v>0</v>
      </c>
    </row>
    <row r="23" spans="1:13" ht="15.75" customHeight="1">
      <c r="A23" s="27"/>
      <c r="B23" s="61"/>
      <c r="C23" s="61">
        <v>12</v>
      </c>
      <c r="D23" s="61">
        <f t="shared" si="0"/>
        <v>0</v>
      </c>
    </row>
    <row r="24" spans="1:13" ht="15.75" customHeight="1">
      <c r="A24" s="27"/>
      <c r="B24" s="61"/>
      <c r="C24" s="61">
        <v>12</v>
      </c>
      <c r="D24" s="61">
        <f t="shared" si="0"/>
        <v>0</v>
      </c>
    </row>
    <row r="25" spans="1:13" ht="15.75" customHeight="1">
      <c r="A25" s="27"/>
      <c r="B25" s="61"/>
      <c r="C25" s="61">
        <v>12</v>
      </c>
      <c r="D25" s="61">
        <f t="shared" si="0"/>
        <v>0</v>
      </c>
    </row>
    <row r="26" spans="1:13" ht="15.75" customHeight="1">
      <c r="A26" s="27"/>
      <c r="B26" s="61"/>
      <c r="C26" s="61">
        <v>12</v>
      </c>
      <c r="D26" s="61">
        <f t="shared" si="0"/>
        <v>0</v>
      </c>
    </row>
    <row r="27" spans="1:13" ht="15.75" customHeight="1">
      <c r="A27" s="27"/>
      <c r="B27" s="64"/>
      <c r="C27" s="61">
        <v>12</v>
      </c>
      <c r="D27" s="61">
        <f t="shared" si="0"/>
        <v>0</v>
      </c>
    </row>
    <row r="28" spans="1:13" ht="15.75" customHeight="1">
      <c r="A28" s="27"/>
      <c r="B28" s="61">
        <f>SUM(B2:B27)</f>
        <v>89101</v>
      </c>
      <c r="C28" s="27"/>
      <c r="D28" s="61">
        <f>SUM(D2:D27)</f>
        <v>7425.0833333333321</v>
      </c>
    </row>
    <row r="29" spans="1:13" ht="15.75" customHeight="1">
      <c r="E29" s="60" t="s">
        <v>18</v>
      </c>
      <c r="F29" s="60" t="s">
        <v>19</v>
      </c>
    </row>
    <row r="30" spans="1:13" ht="15.75" customHeight="1">
      <c r="A30" s="50" t="s">
        <v>20</v>
      </c>
      <c r="B30" s="74">
        <v>376631</v>
      </c>
      <c r="C30" s="74">
        <v>12</v>
      </c>
      <c r="D30" s="74">
        <f>B30/C30</f>
        <v>31385.916666666668</v>
      </c>
      <c r="E30" s="75">
        <f>'Исходные данные'!B2+'Исходные данные'!C2+'Исходные данные'!B40+'Исходные данные'!C40+'Исходные данные'!B41+'Исходные данные'!C41</f>
        <v>41959</v>
      </c>
      <c r="F30" s="74">
        <f>D30/E30</f>
        <v>0.74801393423739049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71"/>
  <sheetViews>
    <sheetView tabSelected="1" topLeftCell="A36" workbookViewId="0">
      <selection activeCell="B64" sqref="B64:B65"/>
    </sheetView>
  </sheetViews>
  <sheetFormatPr baseColWidth="10" defaultColWidth="12.6640625" defaultRowHeight="15.75" customHeight="1"/>
  <cols>
    <col min="1" max="1" width="20.83203125" customWidth="1"/>
    <col min="4" max="4" width="11.6640625" customWidth="1"/>
  </cols>
  <sheetData>
    <row r="1" spans="1:26" ht="28">
      <c r="A1" s="76" t="s">
        <v>21</v>
      </c>
      <c r="B1" s="77" t="s">
        <v>22</v>
      </c>
      <c r="C1" s="78" t="s">
        <v>23</v>
      </c>
      <c r="D1" s="78" t="s">
        <v>24</v>
      </c>
      <c r="E1" s="78" t="s">
        <v>25</v>
      </c>
      <c r="G1" s="79"/>
      <c r="H1" s="80"/>
      <c r="I1" s="81"/>
      <c r="J1" s="81"/>
      <c r="K1" s="81"/>
    </row>
    <row r="2" spans="1:26" ht="13">
      <c r="A2" s="82" t="s">
        <v>11</v>
      </c>
      <c r="B2" s="83">
        <f t="shared" ref="B2:C2" si="0">B37</f>
        <v>23637</v>
      </c>
      <c r="C2" s="83">
        <f t="shared" si="0"/>
        <v>3423</v>
      </c>
      <c r="D2" s="83"/>
      <c r="E2" s="83">
        <f t="shared" ref="E2:E7" si="1">B2+C2</f>
        <v>27060</v>
      </c>
      <c r="F2" s="47"/>
      <c r="G2" s="57"/>
      <c r="H2" s="67"/>
      <c r="I2" s="67"/>
      <c r="J2" s="67"/>
      <c r="K2" s="67"/>
    </row>
    <row r="3" spans="1:26" ht="13">
      <c r="A3" s="82" t="s">
        <v>26</v>
      </c>
      <c r="B3" s="337">
        <f t="shared" ref="B3:C3" si="2">B43</f>
        <v>9713</v>
      </c>
      <c r="C3" s="337">
        <f t="shared" si="2"/>
        <v>6074</v>
      </c>
      <c r="D3" s="83"/>
      <c r="E3" s="83">
        <f t="shared" si="1"/>
        <v>15787</v>
      </c>
      <c r="F3" s="47"/>
      <c r="G3" s="57"/>
      <c r="H3" s="67"/>
      <c r="I3" s="67"/>
      <c r="J3" s="67"/>
      <c r="K3" s="67"/>
    </row>
    <row r="4" spans="1:26" ht="13">
      <c r="A4" s="82" t="s">
        <v>27</v>
      </c>
      <c r="B4" s="83">
        <f t="shared" ref="B4:C4" si="3">B53</f>
        <v>11727</v>
      </c>
      <c r="C4" s="83">
        <f t="shared" si="3"/>
        <v>246</v>
      </c>
      <c r="D4" s="83"/>
      <c r="E4" s="83">
        <f t="shared" si="1"/>
        <v>11973</v>
      </c>
      <c r="F4" s="47"/>
      <c r="G4" s="57"/>
      <c r="H4" s="67"/>
      <c r="I4" s="67"/>
      <c r="J4" s="67"/>
      <c r="K4" s="67"/>
    </row>
    <row r="5" spans="1:26" ht="13">
      <c r="A5" s="82" t="s">
        <v>8</v>
      </c>
      <c r="B5" s="83">
        <f t="shared" ref="B5:C5" si="4">B61</f>
        <v>20587</v>
      </c>
      <c r="C5" s="83">
        <f t="shared" si="4"/>
        <v>1482</v>
      </c>
      <c r="D5" s="83"/>
      <c r="E5" s="83">
        <f t="shared" si="1"/>
        <v>22069</v>
      </c>
      <c r="F5" s="47"/>
      <c r="G5" s="57"/>
      <c r="H5" s="67"/>
      <c r="I5" s="67"/>
      <c r="J5" s="67"/>
      <c r="K5" s="67"/>
    </row>
    <row r="6" spans="1:26" ht="13">
      <c r="A6" s="82" t="s">
        <v>28</v>
      </c>
      <c r="B6" s="83">
        <f t="shared" ref="B6:C6" si="5">B66</f>
        <v>1220</v>
      </c>
      <c r="C6" s="83">
        <f t="shared" si="5"/>
        <v>0</v>
      </c>
      <c r="D6" s="83"/>
      <c r="E6" s="83">
        <f t="shared" si="1"/>
        <v>1220</v>
      </c>
      <c r="F6" s="47"/>
      <c r="G6" s="57"/>
      <c r="H6" s="67"/>
      <c r="I6" s="67"/>
      <c r="J6" s="67"/>
      <c r="K6" s="67"/>
    </row>
    <row r="7" spans="1:26" ht="13">
      <c r="A7" s="82" t="s">
        <v>29</v>
      </c>
      <c r="B7" s="83">
        <f t="shared" ref="B7:C7" si="6">B71</f>
        <v>78</v>
      </c>
      <c r="C7" s="83">
        <f t="shared" si="6"/>
        <v>532</v>
      </c>
      <c r="D7" s="83"/>
      <c r="E7" s="83">
        <f t="shared" si="1"/>
        <v>610</v>
      </c>
      <c r="F7" s="47"/>
      <c r="G7" s="57"/>
      <c r="H7" s="67"/>
      <c r="I7" s="67"/>
      <c r="J7" s="67"/>
      <c r="K7" s="67"/>
    </row>
    <row r="8" spans="1:26" ht="13">
      <c r="A8" s="84" t="s">
        <v>25</v>
      </c>
      <c r="B8" s="85">
        <f t="shared" ref="B8:C8" si="7">SUM(B2:B7)</f>
        <v>66962</v>
      </c>
      <c r="C8" s="85">
        <f t="shared" si="7"/>
        <v>11757</v>
      </c>
      <c r="D8" s="84"/>
      <c r="E8" s="85">
        <f>SUM(E2:E7)</f>
        <v>78719</v>
      </c>
      <c r="G8" s="86"/>
      <c r="H8" s="86"/>
      <c r="I8" s="86"/>
      <c r="J8" s="86"/>
      <c r="K8" s="86"/>
    </row>
    <row r="9" spans="1:26" ht="13">
      <c r="A9" s="78" t="s">
        <v>30</v>
      </c>
      <c r="B9" s="78"/>
      <c r="C9" s="78"/>
      <c r="D9" s="78" t="s">
        <v>31</v>
      </c>
      <c r="E9" s="78" t="s">
        <v>32</v>
      </c>
      <c r="G9" s="39"/>
      <c r="H9" s="39"/>
      <c r="I9" s="69"/>
      <c r="J9" s="39"/>
      <c r="K9" s="39"/>
    </row>
    <row r="10" spans="1:26" ht="13">
      <c r="A10" s="27" t="s">
        <v>33</v>
      </c>
      <c r="B10" s="27"/>
      <c r="C10" s="27"/>
      <c r="D10" s="87">
        <f>E37</f>
        <v>276</v>
      </c>
      <c r="E10" s="27"/>
      <c r="G10" s="39"/>
      <c r="H10" s="39"/>
      <c r="I10" s="69"/>
      <c r="J10" s="39"/>
      <c r="K10" s="39"/>
    </row>
    <row r="11" spans="1:26" ht="13">
      <c r="A11" s="27" t="s">
        <v>34</v>
      </c>
      <c r="B11" s="27"/>
      <c r="C11" s="27"/>
      <c r="D11" s="87">
        <f>F37</f>
        <v>214</v>
      </c>
      <c r="E11" s="27"/>
      <c r="G11" s="39"/>
      <c r="H11" s="39"/>
      <c r="I11" s="69"/>
      <c r="J11" s="39"/>
      <c r="K11" s="39"/>
    </row>
    <row r="12" spans="1:26" ht="13">
      <c r="A12" s="27" t="s">
        <v>35</v>
      </c>
      <c r="B12" s="27"/>
      <c r="C12" s="27"/>
      <c r="D12" s="87">
        <f>G37</f>
        <v>402</v>
      </c>
      <c r="E12" s="27"/>
      <c r="G12" s="39"/>
      <c r="H12" s="39"/>
      <c r="I12" s="69"/>
      <c r="J12" s="39"/>
      <c r="K12" s="39"/>
    </row>
    <row r="13" spans="1:26" ht="13">
      <c r="A13" s="27" t="s">
        <v>36</v>
      </c>
      <c r="B13" s="27"/>
      <c r="C13" s="27"/>
      <c r="D13" s="27"/>
      <c r="E13" s="87">
        <f>H37</f>
        <v>30</v>
      </c>
      <c r="G13" s="39"/>
      <c r="H13" s="39"/>
      <c r="I13" s="69"/>
      <c r="J13" s="39"/>
      <c r="K13" s="39"/>
    </row>
    <row r="14" spans="1:26" ht="13">
      <c r="A14" s="86" t="s">
        <v>37</v>
      </c>
    </row>
    <row r="15" spans="1:26" ht="28">
      <c r="A15" s="27"/>
      <c r="B15" s="77" t="s">
        <v>22</v>
      </c>
      <c r="C15" s="78" t="s">
        <v>23</v>
      </c>
      <c r="D15" s="78" t="s">
        <v>38</v>
      </c>
      <c r="E15" s="87" t="s">
        <v>33</v>
      </c>
      <c r="F15" s="87" t="s">
        <v>34</v>
      </c>
      <c r="G15" s="87" t="s">
        <v>39</v>
      </c>
      <c r="H15" s="87" t="s">
        <v>40</v>
      </c>
    </row>
    <row r="16" spans="1:26" ht="13">
      <c r="A16" s="63" t="s">
        <v>41</v>
      </c>
      <c r="B16" s="88">
        <v>4024</v>
      </c>
      <c r="C16" s="88">
        <v>86</v>
      </c>
      <c r="D16" s="83"/>
      <c r="E16" s="83">
        <v>232</v>
      </c>
      <c r="F16" s="83"/>
      <c r="G16" s="83"/>
      <c r="H16" s="83">
        <v>2</v>
      </c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3">
      <c r="A17" s="63" t="s">
        <v>42</v>
      </c>
      <c r="B17" s="88">
        <v>220</v>
      </c>
      <c r="C17" s="83"/>
      <c r="D17" s="83"/>
      <c r="E17" s="83"/>
      <c r="F17" s="83"/>
      <c r="G17" s="83">
        <v>5</v>
      </c>
      <c r="H17" s="83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3">
      <c r="A18" s="63" t="s">
        <v>43</v>
      </c>
      <c r="B18" s="88">
        <v>392</v>
      </c>
      <c r="C18" s="83"/>
      <c r="D18" s="83"/>
      <c r="E18" s="83"/>
      <c r="F18" s="83"/>
      <c r="G18" s="83">
        <v>8</v>
      </c>
      <c r="H18" s="83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3">
      <c r="A19" s="63" t="s">
        <v>44</v>
      </c>
      <c r="B19" s="88">
        <v>1720</v>
      </c>
      <c r="C19" s="83">
        <v>77</v>
      </c>
      <c r="D19" s="83"/>
      <c r="E19" s="83"/>
      <c r="F19" s="83"/>
      <c r="G19" s="83">
        <v>100</v>
      </c>
      <c r="H19" s="83">
        <v>1</v>
      </c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3">
      <c r="A20" s="63" t="s">
        <v>45</v>
      </c>
      <c r="B20" s="88">
        <v>514</v>
      </c>
      <c r="C20" s="83"/>
      <c r="D20" s="83"/>
      <c r="E20" s="83"/>
      <c r="F20" s="83"/>
      <c r="G20" s="83">
        <v>14</v>
      </c>
      <c r="H20" s="83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3">
      <c r="A21" s="63" t="s">
        <v>46</v>
      </c>
      <c r="B21" s="88">
        <v>339</v>
      </c>
      <c r="C21" s="83"/>
      <c r="D21" s="83"/>
      <c r="E21" s="83"/>
      <c r="F21" s="83"/>
      <c r="G21" s="83">
        <v>4</v>
      </c>
      <c r="H21" s="83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3">
      <c r="A22" s="63" t="s">
        <v>47</v>
      </c>
      <c r="B22" s="88">
        <v>3980</v>
      </c>
      <c r="C22" s="83"/>
      <c r="D22" s="83"/>
      <c r="E22" s="83"/>
      <c r="F22" s="83"/>
      <c r="G22" s="83">
        <v>28</v>
      </c>
      <c r="H22" s="83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3">
      <c r="A23" s="63" t="s">
        <v>48</v>
      </c>
      <c r="B23" s="88">
        <v>561</v>
      </c>
      <c r="C23" s="83">
        <v>69</v>
      </c>
      <c r="D23" s="83"/>
      <c r="E23" s="83">
        <v>2</v>
      </c>
      <c r="F23" s="83">
        <v>5</v>
      </c>
      <c r="G23" s="83"/>
      <c r="H23" s="83">
        <v>1</v>
      </c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" customHeight="1">
      <c r="A24" s="63" t="s">
        <v>49</v>
      </c>
      <c r="B24" s="88">
        <v>1298</v>
      </c>
      <c r="C24" s="83"/>
      <c r="D24" s="83"/>
      <c r="E24" s="83"/>
      <c r="F24" s="83"/>
      <c r="G24" s="83">
        <v>18</v>
      </c>
      <c r="H24" s="83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3">
      <c r="A25" s="63" t="s">
        <v>50</v>
      </c>
      <c r="B25" s="88">
        <v>6652</v>
      </c>
      <c r="C25" s="88">
        <v>754</v>
      </c>
      <c r="D25" s="83"/>
      <c r="E25" s="83"/>
      <c r="F25" s="83">
        <v>184</v>
      </c>
      <c r="G25" s="83">
        <v>181</v>
      </c>
      <c r="H25" s="83">
        <v>8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3">
      <c r="A26" s="63" t="s">
        <v>51</v>
      </c>
      <c r="B26" s="88">
        <v>43</v>
      </c>
      <c r="C26" s="88">
        <v>223</v>
      </c>
      <c r="D26" s="83"/>
      <c r="E26" s="83">
        <v>1</v>
      </c>
      <c r="F26" s="83"/>
      <c r="G26" s="83"/>
      <c r="H26" s="83">
        <v>2</v>
      </c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3">
      <c r="A27" s="63" t="s">
        <v>52</v>
      </c>
      <c r="B27" s="88">
        <v>286</v>
      </c>
      <c r="C27" s="83"/>
      <c r="D27" s="83"/>
      <c r="E27" s="83"/>
      <c r="F27" s="83">
        <v>8</v>
      </c>
      <c r="G27" s="83"/>
      <c r="H27" s="83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3">
      <c r="A28" s="63" t="s">
        <v>53</v>
      </c>
      <c r="B28" s="88">
        <v>997</v>
      </c>
      <c r="C28" s="83">
        <v>479</v>
      </c>
      <c r="D28" s="83"/>
      <c r="E28" s="83">
        <v>36</v>
      </c>
      <c r="F28" s="83"/>
      <c r="G28" s="83"/>
      <c r="H28" s="83">
        <v>3</v>
      </c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3">
      <c r="A29" s="63" t="s">
        <v>54</v>
      </c>
      <c r="B29" s="88">
        <v>72</v>
      </c>
      <c r="C29" s="83">
        <v>72</v>
      </c>
      <c r="D29" s="83"/>
      <c r="E29" s="83"/>
      <c r="F29" s="83"/>
      <c r="G29" s="83">
        <v>2</v>
      </c>
      <c r="H29" s="83">
        <v>1</v>
      </c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3">
      <c r="A30" s="63" t="s">
        <v>55</v>
      </c>
      <c r="B30" s="88">
        <v>90</v>
      </c>
      <c r="C30" s="83">
        <v>90</v>
      </c>
      <c r="D30" s="83"/>
      <c r="E30" s="83"/>
      <c r="F30" s="83">
        <v>1</v>
      </c>
      <c r="G30" s="83"/>
      <c r="H30" s="83">
        <v>1</v>
      </c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3">
      <c r="A31" s="63" t="s">
        <v>56</v>
      </c>
      <c r="B31" s="88">
        <v>1237</v>
      </c>
      <c r="C31" s="83">
        <v>1149</v>
      </c>
      <c r="D31" s="83"/>
      <c r="E31" s="83">
        <v>5</v>
      </c>
      <c r="F31" s="83"/>
      <c r="G31" s="83">
        <v>9</v>
      </c>
      <c r="H31" s="83">
        <v>8</v>
      </c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3">
      <c r="A32" s="63" t="s">
        <v>57</v>
      </c>
      <c r="B32" s="88">
        <v>88</v>
      </c>
      <c r="C32" s="88">
        <v>88</v>
      </c>
      <c r="D32" s="83"/>
      <c r="E32" s="83"/>
      <c r="F32" s="83">
        <v>8</v>
      </c>
      <c r="G32" s="83"/>
      <c r="H32" s="83">
        <v>1</v>
      </c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3">
      <c r="A33" s="89" t="s">
        <v>58</v>
      </c>
      <c r="B33" s="90">
        <v>288</v>
      </c>
      <c r="C33" s="83"/>
      <c r="D33" s="91"/>
      <c r="E33" s="91"/>
      <c r="F33" s="91">
        <v>8</v>
      </c>
      <c r="G33" s="91"/>
      <c r="H33" s="91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92"/>
      <c r="V33" s="92"/>
      <c r="W33" s="92"/>
      <c r="X33" s="92"/>
      <c r="Y33" s="92"/>
      <c r="Z33" s="92"/>
    </row>
    <row r="34" spans="1:26" ht="13">
      <c r="A34" s="89" t="s">
        <v>59</v>
      </c>
      <c r="B34" s="93">
        <v>554</v>
      </c>
      <c r="C34" s="83"/>
      <c r="D34" s="91"/>
      <c r="E34" s="91"/>
      <c r="F34" s="91"/>
      <c r="G34" s="91">
        <v>33</v>
      </c>
      <c r="H34" s="91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92"/>
      <c r="V34" s="92"/>
      <c r="W34" s="92"/>
      <c r="X34" s="92"/>
      <c r="Y34" s="92"/>
      <c r="Z34" s="92"/>
    </row>
    <row r="35" spans="1:26" ht="13">
      <c r="A35" s="89" t="s">
        <v>60</v>
      </c>
      <c r="B35" s="90">
        <v>282</v>
      </c>
      <c r="C35" s="83">
        <v>282</v>
      </c>
      <c r="D35" s="91"/>
      <c r="E35" s="91"/>
      <c r="F35" s="91"/>
      <c r="G35" s="91"/>
      <c r="H35" s="91">
        <v>1</v>
      </c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92"/>
      <c r="V35" s="92"/>
      <c r="W35" s="92"/>
      <c r="X35" s="92"/>
      <c r="Y35" s="92"/>
      <c r="Z35" s="92"/>
    </row>
    <row r="36" spans="1:26" ht="13">
      <c r="A36" s="89" t="s">
        <v>61</v>
      </c>
      <c r="B36" s="90"/>
      <c r="C36" s="83">
        <v>54</v>
      </c>
      <c r="D36" s="91"/>
      <c r="E36" s="91"/>
      <c r="F36" s="91"/>
      <c r="G36" s="91"/>
      <c r="H36" s="91">
        <v>1</v>
      </c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92"/>
      <c r="V36" s="92"/>
      <c r="W36" s="92"/>
      <c r="X36" s="92"/>
      <c r="Y36" s="92"/>
      <c r="Z36" s="92"/>
    </row>
    <row r="37" spans="1:26" ht="13">
      <c r="A37" s="84" t="s">
        <v>62</v>
      </c>
      <c r="B37" s="85">
        <f t="shared" ref="B37:C37" si="8">SUM(B16:B36)</f>
        <v>23637</v>
      </c>
      <c r="C37" s="85">
        <f t="shared" si="8"/>
        <v>3423</v>
      </c>
      <c r="D37" s="85">
        <f>SUM(D16:D29)</f>
        <v>0</v>
      </c>
      <c r="E37" s="85">
        <f t="shared" ref="E37:H37" si="9">SUM(E16:E36)</f>
        <v>276</v>
      </c>
      <c r="F37" s="85">
        <f t="shared" si="9"/>
        <v>214</v>
      </c>
      <c r="G37" s="85">
        <f t="shared" si="9"/>
        <v>402</v>
      </c>
      <c r="H37" s="85">
        <f t="shared" si="9"/>
        <v>30</v>
      </c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</row>
    <row r="38" spans="1:26" ht="13">
      <c r="A38" s="94" t="s">
        <v>63</v>
      </c>
      <c r="B38" s="95"/>
      <c r="C38" s="95"/>
      <c r="D38" s="95"/>
      <c r="E38" s="47"/>
      <c r="F38" s="47"/>
      <c r="G38" s="47"/>
      <c r="H38" s="47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</row>
    <row r="39" spans="1:26" ht="28">
      <c r="A39" s="27"/>
      <c r="B39" s="77" t="s">
        <v>22</v>
      </c>
      <c r="C39" s="78" t="s">
        <v>23</v>
      </c>
      <c r="D39" s="78" t="s">
        <v>24</v>
      </c>
      <c r="E39" s="27" t="s">
        <v>64</v>
      </c>
    </row>
    <row r="40" spans="1:26" ht="13">
      <c r="A40" s="27" t="s">
        <v>65</v>
      </c>
      <c r="B40" s="96">
        <v>7606</v>
      </c>
      <c r="C40" s="96">
        <v>5405</v>
      </c>
      <c r="D40" s="63">
        <f>218+11</f>
        <v>229</v>
      </c>
      <c r="E40" s="27">
        <v>437</v>
      </c>
    </row>
    <row r="41" spans="1:26" ht="13">
      <c r="A41" s="27" t="s">
        <v>66</v>
      </c>
      <c r="B41" s="96">
        <v>1219</v>
      </c>
      <c r="C41" s="96">
        <v>669</v>
      </c>
      <c r="D41" s="63">
        <v>50</v>
      </c>
      <c r="E41" s="27">
        <v>62</v>
      </c>
    </row>
    <row r="42" spans="1:26" ht="13">
      <c r="A42" s="27" t="s">
        <v>67</v>
      </c>
      <c r="B42" s="96">
        <v>888</v>
      </c>
      <c r="C42" s="63"/>
      <c r="D42" s="63">
        <v>55</v>
      </c>
      <c r="E42" s="27"/>
    </row>
    <row r="43" spans="1:26" ht="13">
      <c r="A43" s="84" t="s">
        <v>62</v>
      </c>
      <c r="B43" s="84">
        <f t="shared" ref="B43:E43" si="10">SUM(B40:B42)</f>
        <v>9713</v>
      </c>
      <c r="C43" s="84">
        <f t="shared" si="10"/>
        <v>6074</v>
      </c>
      <c r="D43" s="84">
        <f t="shared" si="10"/>
        <v>334</v>
      </c>
      <c r="E43" s="27">
        <f t="shared" si="10"/>
        <v>499</v>
      </c>
    </row>
    <row r="44" spans="1:26" ht="13">
      <c r="A44" s="94" t="s">
        <v>68</v>
      </c>
      <c r="B44" s="97"/>
      <c r="C44" s="97"/>
      <c r="D44" s="97"/>
    </row>
    <row r="45" spans="1:26" ht="28">
      <c r="A45" s="27"/>
      <c r="B45" s="98" t="s">
        <v>22</v>
      </c>
      <c r="C45" s="99" t="s">
        <v>23</v>
      </c>
      <c r="D45" s="99" t="s">
        <v>24</v>
      </c>
    </row>
    <row r="46" spans="1:26" ht="13">
      <c r="A46" s="27" t="s">
        <v>69</v>
      </c>
      <c r="B46" s="96">
        <v>10796</v>
      </c>
      <c r="C46" s="63">
        <v>0</v>
      </c>
      <c r="D46" s="63">
        <v>597</v>
      </c>
    </row>
    <row r="47" spans="1:26" ht="13">
      <c r="A47" s="27" t="s">
        <v>70</v>
      </c>
      <c r="B47" s="96">
        <v>114</v>
      </c>
      <c r="C47" s="63">
        <v>0</v>
      </c>
      <c r="D47" s="63">
        <v>3</v>
      </c>
    </row>
    <row r="48" spans="1:26" ht="13">
      <c r="A48" s="27" t="s">
        <v>71</v>
      </c>
      <c r="B48" s="96">
        <v>246</v>
      </c>
      <c r="C48" s="96">
        <v>246</v>
      </c>
      <c r="D48" s="63">
        <v>3</v>
      </c>
    </row>
    <row r="49" spans="1:11" ht="13">
      <c r="A49" s="27" t="s">
        <v>72</v>
      </c>
      <c r="B49" s="96">
        <v>288</v>
      </c>
      <c r="C49" s="63">
        <v>0</v>
      </c>
      <c r="D49" s="63">
        <v>4</v>
      </c>
    </row>
    <row r="50" spans="1:11" ht="13">
      <c r="A50" s="27" t="s">
        <v>73</v>
      </c>
      <c r="B50" s="96"/>
      <c r="C50" s="63"/>
      <c r="D50" s="63">
        <v>15</v>
      </c>
    </row>
    <row r="51" spans="1:11" ht="13">
      <c r="A51" s="27" t="s">
        <v>74</v>
      </c>
      <c r="B51" s="96"/>
      <c r="C51" s="63"/>
      <c r="D51" s="63">
        <v>4</v>
      </c>
    </row>
    <row r="52" spans="1:11" ht="13">
      <c r="A52" s="27" t="s">
        <v>75</v>
      </c>
      <c r="B52" s="96">
        <v>283</v>
      </c>
      <c r="C52" s="63">
        <v>0</v>
      </c>
      <c r="D52" s="63">
        <v>9</v>
      </c>
      <c r="G52" s="57"/>
      <c r="H52" s="100"/>
      <c r="I52" s="67"/>
      <c r="J52" s="67"/>
      <c r="K52" s="67"/>
    </row>
    <row r="53" spans="1:11" ht="13">
      <c r="A53" s="84" t="s">
        <v>62</v>
      </c>
      <c r="B53" s="84">
        <f t="shared" ref="B53:D53" si="11">SUM(B46:B52)</f>
        <v>11727</v>
      </c>
      <c r="C53" s="84">
        <f t="shared" si="11"/>
        <v>246</v>
      </c>
      <c r="D53" s="84">
        <f t="shared" si="11"/>
        <v>635</v>
      </c>
      <c r="G53" s="57"/>
      <c r="H53" s="100"/>
      <c r="I53" s="67"/>
      <c r="J53" s="67"/>
      <c r="K53" s="67"/>
    </row>
    <row r="54" spans="1:11" ht="13">
      <c r="A54" s="94" t="s">
        <v>76</v>
      </c>
      <c r="B54" s="97"/>
      <c r="C54" s="97"/>
      <c r="D54" s="97"/>
    </row>
    <row r="55" spans="1:11" ht="28">
      <c r="A55" s="27"/>
      <c r="B55" s="77" t="s">
        <v>22</v>
      </c>
      <c r="C55" s="78" t="s">
        <v>23</v>
      </c>
      <c r="D55" s="78" t="s">
        <v>24</v>
      </c>
    </row>
    <row r="56" spans="1:11" ht="13">
      <c r="A56" s="27" t="s">
        <v>77</v>
      </c>
      <c r="B56" s="63">
        <v>192</v>
      </c>
      <c r="C56" s="101">
        <v>1482</v>
      </c>
      <c r="D56" s="63">
        <v>12</v>
      </c>
    </row>
    <row r="57" spans="1:11" ht="13">
      <c r="A57" s="27" t="s">
        <v>78</v>
      </c>
      <c r="B57" s="63">
        <v>40</v>
      </c>
      <c r="C57" s="63"/>
      <c r="D57" s="63">
        <v>5</v>
      </c>
    </row>
    <row r="58" spans="1:11" ht="13">
      <c r="A58" s="27" t="s">
        <v>71</v>
      </c>
      <c r="B58" s="63">
        <v>1271</v>
      </c>
      <c r="C58" s="63"/>
      <c r="D58" s="63">
        <v>75</v>
      </c>
    </row>
    <row r="59" spans="1:11" ht="13">
      <c r="A59" s="27" t="s">
        <v>79</v>
      </c>
      <c r="B59" s="63">
        <v>360</v>
      </c>
      <c r="C59" s="63"/>
      <c r="D59" s="63">
        <v>4</v>
      </c>
    </row>
    <row r="60" spans="1:11" ht="13">
      <c r="A60" s="27" t="s">
        <v>80</v>
      </c>
      <c r="B60" s="63">
        <v>18724</v>
      </c>
      <c r="C60" s="63"/>
      <c r="D60" s="63"/>
    </row>
    <row r="61" spans="1:11" ht="13">
      <c r="A61" s="84" t="s">
        <v>62</v>
      </c>
      <c r="B61" s="84">
        <f t="shared" ref="B61:C61" si="12">SUM(B56:B60)</f>
        <v>20587</v>
      </c>
      <c r="C61" s="96">
        <f t="shared" si="12"/>
        <v>1482</v>
      </c>
      <c r="D61" s="84">
        <f>SUM(D56:D59)</f>
        <v>96</v>
      </c>
    </row>
    <row r="62" spans="1:11" ht="13">
      <c r="A62" s="94" t="s">
        <v>81</v>
      </c>
      <c r="B62" s="97"/>
      <c r="C62" s="97"/>
      <c r="D62" s="97"/>
    </row>
    <row r="63" spans="1:11" ht="42">
      <c r="A63" s="27"/>
      <c r="B63" s="77" t="s">
        <v>82</v>
      </c>
      <c r="C63" s="78" t="s">
        <v>23</v>
      </c>
      <c r="D63" s="78" t="s">
        <v>24</v>
      </c>
    </row>
    <row r="64" spans="1:11" ht="13">
      <c r="A64" s="27" t="s">
        <v>74</v>
      </c>
      <c r="B64" s="63">
        <v>105</v>
      </c>
      <c r="C64" s="63">
        <v>0</v>
      </c>
      <c r="D64" s="63">
        <v>4</v>
      </c>
    </row>
    <row r="65" spans="1:4" ht="13">
      <c r="A65" s="27" t="s">
        <v>83</v>
      </c>
      <c r="B65" s="63">
        <v>1115</v>
      </c>
      <c r="C65" s="63">
        <v>0</v>
      </c>
      <c r="D65" s="63">
        <v>42</v>
      </c>
    </row>
    <row r="66" spans="1:4" ht="13">
      <c r="A66" s="84" t="s">
        <v>62</v>
      </c>
      <c r="B66" s="84">
        <f t="shared" ref="B66:D66" si="13">SUM(B64:B65)</f>
        <v>1220</v>
      </c>
      <c r="C66" s="84">
        <f t="shared" si="13"/>
        <v>0</v>
      </c>
      <c r="D66" s="84">
        <f t="shared" si="13"/>
        <v>46</v>
      </c>
    </row>
    <row r="67" spans="1:4" ht="13">
      <c r="A67" s="102" t="s">
        <v>84</v>
      </c>
      <c r="B67" s="103"/>
      <c r="C67" s="103"/>
      <c r="D67" s="103"/>
    </row>
    <row r="68" spans="1:4" ht="42">
      <c r="A68" s="27"/>
      <c r="B68" s="77" t="s">
        <v>82</v>
      </c>
      <c r="C68" s="78" t="s">
        <v>23</v>
      </c>
      <c r="D68" s="78" t="s">
        <v>24</v>
      </c>
    </row>
    <row r="69" spans="1:4" ht="13">
      <c r="A69" s="27" t="s">
        <v>73</v>
      </c>
      <c r="B69" s="63">
        <v>78</v>
      </c>
      <c r="C69" s="101">
        <v>92</v>
      </c>
      <c r="D69" s="63">
        <v>15</v>
      </c>
    </row>
    <row r="70" spans="1:4" ht="13">
      <c r="A70" s="27" t="s">
        <v>85</v>
      </c>
      <c r="B70" s="63">
        <v>0</v>
      </c>
      <c r="C70" s="101">
        <v>440</v>
      </c>
      <c r="D70" s="63">
        <v>0</v>
      </c>
    </row>
    <row r="71" spans="1:4" ht="13">
      <c r="A71" s="84" t="s">
        <v>62</v>
      </c>
      <c r="B71" s="84">
        <f t="shared" ref="B71:D71" si="14">SUM(B69:B70)</f>
        <v>78</v>
      </c>
      <c r="C71" s="84">
        <f t="shared" si="14"/>
        <v>532</v>
      </c>
      <c r="D71" s="84">
        <f t="shared" si="14"/>
        <v>15</v>
      </c>
    </row>
  </sheetData>
  <printOptions horizontalCentered="1" gridLines="1"/>
  <pageMargins left="0.7" right="0.7" top="0.75" bottom="0.75" header="0" footer="0"/>
  <pageSetup paperSize="9" scale="24" fitToHeight="0" pageOrder="overThenDown" orientation="portrait" cellComments="atEnd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0"/>
  <sheetViews>
    <sheetView workbookViewId="0"/>
  </sheetViews>
  <sheetFormatPr baseColWidth="10" defaultColWidth="12.6640625" defaultRowHeight="15.75" customHeight="1"/>
  <cols>
    <col min="1" max="1" width="29.1640625" customWidth="1"/>
  </cols>
  <sheetData>
    <row r="1" spans="1:9" ht="15.75" customHeight="1">
      <c r="A1" s="36"/>
      <c r="B1" s="37" t="s">
        <v>4</v>
      </c>
      <c r="C1" s="38" t="s">
        <v>5</v>
      </c>
      <c r="D1" s="38" t="s">
        <v>6</v>
      </c>
      <c r="E1" s="39"/>
      <c r="F1" s="104"/>
      <c r="G1" s="105"/>
      <c r="H1" s="106"/>
      <c r="I1" s="106"/>
    </row>
    <row r="2" spans="1:9" ht="15.75" customHeight="1">
      <c r="A2" s="43" t="s">
        <v>86</v>
      </c>
      <c r="B2" s="44">
        <v>33150</v>
      </c>
      <c r="C2" s="44">
        <v>12</v>
      </c>
      <c r="D2" s="44">
        <f t="shared" ref="D2:D4" si="0">B2/C2</f>
        <v>2762.5</v>
      </c>
      <c r="E2" s="39"/>
      <c r="F2" s="46">
        <f>'Исходные данные'!E6+'Исходные данные'!E7</f>
        <v>1830</v>
      </c>
      <c r="G2" s="27" t="s">
        <v>8</v>
      </c>
      <c r="H2" s="67"/>
      <c r="I2" s="67"/>
    </row>
    <row r="3" spans="1:9" ht="15.75" customHeight="1">
      <c r="A3" s="107" t="s">
        <v>7</v>
      </c>
      <c r="B3" s="45">
        <f>3500+442</f>
        <v>3942</v>
      </c>
      <c r="C3" s="44">
        <v>12</v>
      </c>
      <c r="D3" s="44">
        <f t="shared" si="0"/>
        <v>328.5</v>
      </c>
      <c r="E3" s="39"/>
      <c r="H3" s="67"/>
      <c r="I3" s="67"/>
    </row>
    <row r="4" spans="1:9" ht="15.75" customHeight="1">
      <c r="A4" s="63" t="s">
        <v>12</v>
      </c>
      <c r="B4" s="108"/>
      <c r="C4" s="44">
        <v>12</v>
      </c>
      <c r="D4" s="44">
        <f t="shared" si="0"/>
        <v>0</v>
      </c>
      <c r="E4" s="39"/>
      <c r="F4" s="49">
        <f>D20/F2</f>
        <v>1.6890710382513661</v>
      </c>
      <c r="G4" s="50" t="s">
        <v>9</v>
      </c>
      <c r="H4" s="57"/>
      <c r="I4" s="109"/>
    </row>
    <row r="5" spans="1:9" ht="15.75" customHeight="1">
      <c r="A5" s="43"/>
      <c r="B5" s="44"/>
      <c r="C5" s="44"/>
      <c r="D5" s="44"/>
      <c r="E5" s="39"/>
      <c r="F5" s="57"/>
      <c r="G5" s="57"/>
      <c r="H5" s="57"/>
      <c r="I5" s="57"/>
    </row>
    <row r="6" spans="1:9" ht="15.75" customHeight="1">
      <c r="A6" s="43"/>
      <c r="B6" s="44"/>
      <c r="C6" s="44"/>
      <c r="D6" s="44"/>
      <c r="E6" s="39"/>
      <c r="F6" s="57"/>
      <c r="G6" s="110"/>
      <c r="H6" s="57"/>
      <c r="I6" s="57"/>
    </row>
    <row r="7" spans="1:9" ht="15.75" customHeight="1">
      <c r="A7" s="43"/>
      <c r="B7" s="44"/>
      <c r="C7" s="44"/>
      <c r="D7" s="44"/>
      <c r="E7" s="39"/>
      <c r="F7" s="57"/>
      <c r="G7" s="57"/>
      <c r="H7" s="57"/>
      <c r="I7" s="57"/>
    </row>
    <row r="8" spans="1:9" ht="15.75" customHeight="1">
      <c r="A8" s="43"/>
      <c r="B8" s="44"/>
      <c r="C8" s="44"/>
      <c r="D8" s="44"/>
      <c r="E8" s="39"/>
      <c r="F8" s="39"/>
      <c r="G8" s="39"/>
      <c r="H8" s="39"/>
      <c r="I8" s="39"/>
    </row>
    <row r="9" spans="1:9" ht="15.75" customHeight="1">
      <c r="A9" s="43"/>
      <c r="B9" s="44"/>
      <c r="C9" s="44"/>
      <c r="D9" s="44"/>
      <c r="E9" s="39"/>
      <c r="F9" s="39"/>
      <c r="G9" s="39"/>
      <c r="H9" s="39"/>
      <c r="I9" s="39"/>
    </row>
    <row r="10" spans="1:9" ht="15.75" customHeight="1">
      <c r="A10" s="43"/>
      <c r="B10" s="44"/>
      <c r="C10" s="44"/>
      <c r="D10" s="44"/>
      <c r="E10" s="39"/>
      <c r="F10" s="39"/>
      <c r="G10" s="39"/>
      <c r="H10" s="39"/>
      <c r="I10" s="39"/>
    </row>
    <row r="11" spans="1:9" ht="15.75" customHeight="1">
      <c r="A11" s="43"/>
      <c r="B11" s="44"/>
      <c r="C11" s="44"/>
      <c r="D11" s="44"/>
      <c r="E11" s="39"/>
      <c r="F11" s="39"/>
      <c r="G11" s="39"/>
      <c r="H11" s="39"/>
      <c r="I11" s="39"/>
    </row>
    <row r="12" spans="1:9" ht="15.75" customHeight="1">
      <c r="A12" s="43"/>
      <c r="B12" s="44"/>
      <c r="C12" s="44"/>
      <c r="D12" s="44"/>
      <c r="E12" s="39"/>
      <c r="F12" s="39"/>
      <c r="G12" s="39"/>
      <c r="H12" s="39"/>
      <c r="I12" s="39"/>
    </row>
    <row r="13" spans="1:9" ht="15.75" customHeight="1">
      <c r="A13" s="43"/>
      <c r="B13" s="44"/>
      <c r="C13" s="44"/>
      <c r="D13" s="44"/>
      <c r="E13" s="39"/>
      <c r="F13" s="39"/>
      <c r="G13" s="39"/>
      <c r="H13" s="39"/>
      <c r="I13" s="39"/>
    </row>
    <row r="14" spans="1:9" ht="15.75" customHeight="1">
      <c r="A14" s="43"/>
      <c r="B14" s="44"/>
      <c r="C14" s="44"/>
      <c r="D14" s="44"/>
      <c r="E14" s="39"/>
      <c r="F14" s="39"/>
      <c r="G14" s="39"/>
      <c r="H14" s="39"/>
      <c r="I14" s="39"/>
    </row>
    <row r="15" spans="1:9" ht="15.75" customHeight="1">
      <c r="A15" s="43"/>
      <c r="B15" s="44"/>
      <c r="C15" s="44"/>
      <c r="D15" s="44"/>
      <c r="E15" s="39"/>
      <c r="F15" s="39"/>
      <c r="G15" s="39"/>
      <c r="H15" s="39"/>
      <c r="I15" s="39"/>
    </row>
    <row r="16" spans="1:9" ht="15.75" customHeight="1">
      <c r="A16" s="43"/>
      <c r="B16" s="44"/>
      <c r="C16" s="44"/>
      <c r="D16" s="44"/>
      <c r="E16" s="39"/>
      <c r="F16" s="39"/>
      <c r="G16" s="39"/>
      <c r="H16" s="39"/>
      <c r="I16" s="39"/>
    </row>
    <row r="17" spans="1:9" ht="15.75" customHeight="1">
      <c r="A17" s="43"/>
      <c r="B17" s="44"/>
      <c r="C17" s="44"/>
      <c r="D17" s="44"/>
      <c r="E17" s="39"/>
      <c r="F17" s="39"/>
      <c r="G17" s="39"/>
      <c r="H17" s="39"/>
      <c r="I17" s="39"/>
    </row>
    <row r="18" spans="1:9" ht="15.75" customHeight="1">
      <c r="A18" s="111"/>
      <c r="B18" s="51"/>
      <c r="C18" s="44"/>
      <c r="D18" s="44"/>
      <c r="E18" s="39"/>
      <c r="F18" s="39"/>
      <c r="G18" s="39"/>
      <c r="H18" s="39"/>
      <c r="I18" s="39"/>
    </row>
    <row r="19" spans="1:9" ht="15.75" customHeight="1">
      <c r="A19" s="112"/>
      <c r="B19" s="51"/>
      <c r="C19" s="44"/>
      <c r="D19" s="44"/>
      <c r="E19" s="39"/>
      <c r="F19" s="39"/>
      <c r="G19" s="39"/>
      <c r="H19" s="39"/>
      <c r="I19" s="39"/>
    </row>
    <row r="20" spans="1:9" ht="15.75" customHeight="1">
      <c r="A20" s="36"/>
      <c r="B20" s="113"/>
      <c r="C20" s="113"/>
      <c r="D20" s="45">
        <f>SUM(D2:D17)</f>
        <v>3091</v>
      </c>
      <c r="E20" s="39"/>
      <c r="F20" s="39"/>
      <c r="G20" s="39"/>
      <c r="H20" s="39"/>
      <c r="I20" s="39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5"/>
  <sheetViews>
    <sheetView workbookViewId="0"/>
  </sheetViews>
  <sheetFormatPr baseColWidth="10" defaultColWidth="12.6640625" defaultRowHeight="15.75" customHeight="1"/>
  <cols>
    <col min="1" max="1" width="28.5" customWidth="1"/>
    <col min="8" max="8" width="17.33203125" customWidth="1"/>
  </cols>
  <sheetData>
    <row r="1" spans="1:10" ht="15.75" customHeight="1">
      <c r="A1" s="114"/>
      <c r="B1" s="37" t="s">
        <v>4</v>
      </c>
      <c r="C1" s="38" t="s">
        <v>5</v>
      </c>
      <c r="D1" s="115" t="s">
        <v>6</v>
      </c>
      <c r="E1" s="57"/>
      <c r="J1" s="59"/>
    </row>
    <row r="2" spans="1:10" ht="15.75" customHeight="1">
      <c r="A2" s="116" t="s">
        <v>87</v>
      </c>
      <c r="B2" s="44">
        <v>300</v>
      </c>
      <c r="C2" s="44">
        <v>12</v>
      </c>
      <c r="D2" s="117">
        <f t="shared" ref="D2:D6" si="0">B2/C2</f>
        <v>25</v>
      </c>
      <c r="E2" s="57"/>
      <c r="G2" s="46">
        <f>'Исходные данные'!E4</f>
        <v>11973</v>
      </c>
      <c r="H2" s="27" t="s">
        <v>88</v>
      </c>
      <c r="J2" s="59"/>
    </row>
    <row r="3" spans="1:10" ht="15.75" customHeight="1">
      <c r="A3" s="116" t="s">
        <v>7</v>
      </c>
      <c r="B3" s="44">
        <f>3500+11917.04+7303</f>
        <v>22720.04</v>
      </c>
      <c r="C3" s="44">
        <v>12</v>
      </c>
      <c r="D3" s="117">
        <f t="shared" si="0"/>
        <v>1893.3366666666668</v>
      </c>
      <c r="E3" s="57"/>
      <c r="J3" s="59"/>
    </row>
    <row r="4" spans="1:10" ht="15.75" customHeight="1">
      <c r="A4" s="116" t="s">
        <v>16</v>
      </c>
      <c r="B4" s="44"/>
      <c r="C4" s="44">
        <v>12</v>
      </c>
      <c r="D4" s="117">
        <f t="shared" si="0"/>
        <v>0</v>
      </c>
      <c r="E4" s="57"/>
      <c r="G4" s="49">
        <f>D8/G2</f>
        <v>2.1346904841448815</v>
      </c>
      <c r="H4" s="50" t="s">
        <v>9</v>
      </c>
      <c r="J4" s="59"/>
    </row>
    <row r="5" spans="1:10" ht="15.75" customHeight="1">
      <c r="A5" s="116" t="s">
        <v>89</v>
      </c>
      <c r="B5" s="44">
        <v>163683.75</v>
      </c>
      <c r="C5" s="44">
        <v>12</v>
      </c>
      <c r="D5" s="117">
        <f t="shared" si="0"/>
        <v>13640.3125</v>
      </c>
      <c r="E5" s="57"/>
      <c r="J5" s="59"/>
    </row>
    <row r="6" spans="1:10" ht="15.75" customHeight="1">
      <c r="A6" s="116" t="s">
        <v>90</v>
      </c>
      <c r="B6" s="44">
        <v>120000</v>
      </c>
      <c r="C6" s="44">
        <v>12</v>
      </c>
      <c r="D6" s="117">
        <f t="shared" si="0"/>
        <v>10000</v>
      </c>
      <c r="E6" s="57"/>
      <c r="F6" s="118"/>
      <c r="G6" s="57"/>
      <c r="H6" s="118"/>
      <c r="I6" s="69"/>
      <c r="J6" s="59"/>
    </row>
    <row r="7" spans="1:10" ht="15.75" customHeight="1">
      <c r="A7" s="116"/>
      <c r="B7" s="119"/>
      <c r="C7" s="44"/>
      <c r="D7" s="119"/>
      <c r="E7" s="39"/>
      <c r="F7" s="39"/>
      <c r="G7" s="39"/>
      <c r="H7" s="57"/>
      <c r="I7" s="39"/>
    </row>
    <row r="8" spans="1:10" ht="15.75" customHeight="1">
      <c r="A8" s="116"/>
      <c r="B8" s="119"/>
      <c r="C8" s="119"/>
      <c r="D8" s="44">
        <f>SUM(D2:D7)</f>
        <v>25558.649166666666</v>
      </c>
      <c r="E8" s="39"/>
      <c r="F8" s="57"/>
      <c r="G8" s="57"/>
      <c r="H8" s="57"/>
      <c r="I8" s="39"/>
    </row>
    <row r="9" spans="1:10" ht="15.75" customHeight="1">
      <c r="A9" s="120"/>
      <c r="B9" s="55"/>
      <c r="C9" s="39"/>
      <c r="D9" s="39"/>
      <c r="E9" s="39"/>
      <c r="F9" s="110"/>
      <c r="G9" s="57"/>
      <c r="H9" s="57"/>
      <c r="I9" s="39"/>
    </row>
    <row r="10" spans="1:10" ht="15.75" customHeight="1">
      <c r="A10" s="120"/>
      <c r="B10" s="55"/>
      <c r="C10" s="39"/>
      <c r="D10" s="39"/>
      <c r="E10" s="39"/>
      <c r="F10" s="120"/>
      <c r="G10" s="57"/>
      <c r="H10" s="39"/>
      <c r="I10" s="39"/>
    </row>
    <row r="11" spans="1:10" ht="15.75" customHeight="1">
      <c r="A11" s="121"/>
      <c r="B11" s="122"/>
      <c r="C11" s="123"/>
      <c r="D11" s="123"/>
      <c r="E11" s="123" t="s">
        <v>18</v>
      </c>
      <c r="F11" s="121" t="s">
        <v>19</v>
      </c>
      <c r="G11" s="57"/>
      <c r="H11" s="39"/>
      <c r="I11" s="39"/>
    </row>
    <row r="12" spans="1:10" ht="15.75" customHeight="1">
      <c r="A12" s="116" t="s">
        <v>20</v>
      </c>
      <c r="B12" s="44">
        <v>185090</v>
      </c>
      <c r="C12" s="44">
        <v>12</v>
      </c>
      <c r="D12" s="44">
        <f>B12/C12</f>
        <v>15424.166666666666</v>
      </c>
      <c r="E12" s="124">
        <f>'Исходные данные'!B42+'Исходные данные'!B46+'Исходные данные'!B47+'Исходные данные'!B49+'Исходные данные'!B52+'Исходные данные'!B59+'Исходные данные'!B48+'Исходные данные'!C48+'Исходные данные'!C56+'Исходные данные'!B64+'Исходные данные'!B58+'Исходные данные'!B69+'Исходные данные'!C69+'Исходные данные'!C70</f>
        <v>16689</v>
      </c>
      <c r="F12" s="125">
        <f>D12/E12</f>
        <v>0.92421155651427089</v>
      </c>
      <c r="G12" s="57"/>
      <c r="H12" s="39"/>
      <c r="I12" s="39"/>
    </row>
    <row r="13" spans="1:10" ht="15.75" customHeight="1">
      <c r="A13" s="122"/>
      <c r="B13" s="122"/>
      <c r="C13" s="123"/>
      <c r="D13" s="123"/>
      <c r="E13" s="39"/>
      <c r="F13" s="126"/>
      <c r="G13" s="57"/>
      <c r="H13" s="39"/>
      <c r="I13" s="39"/>
    </row>
    <row r="15" spans="1:10" ht="15.75" customHeight="1">
      <c r="A15" s="127" t="s">
        <v>91</v>
      </c>
      <c r="B15" s="128"/>
      <c r="C15" s="129">
        <v>5</v>
      </c>
      <c r="D15" s="128">
        <f>B15/C15</f>
        <v>0</v>
      </c>
      <c r="E15" s="60" t="s">
        <v>92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8"/>
  <sheetViews>
    <sheetView workbookViewId="0"/>
  </sheetViews>
  <sheetFormatPr baseColWidth="10" defaultColWidth="12.6640625" defaultRowHeight="15.75" customHeight="1"/>
  <cols>
    <col min="1" max="1" width="25.6640625" customWidth="1"/>
  </cols>
  <sheetData>
    <row r="1" spans="1:12" ht="15.75" customHeight="1">
      <c r="A1" s="36"/>
      <c r="B1" s="37" t="s">
        <v>4</v>
      </c>
      <c r="C1" s="38" t="s">
        <v>5</v>
      </c>
      <c r="D1" s="38" t="s">
        <v>6</v>
      </c>
      <c r="E1" s="39"/>
      <c r="F1" s="122"/>
      <c r="G1" s="123"/>
      <c r="H1" s="39"/>
      <c r="I1" s="40"/>
      <c r="J1" s="41"/>
      <c r="K1" s="40"/>
      <c r="L1" s="42"/>
    </row>
    <row r="2" spans="1:12" ht="15.75" customHeight="1">
      <c r="A2" s="130" t="s">
        <v>91</v>
      </c>
      <c r="B2" s="44">
        <v>54561</v>
      </c>
      <c r="C2" s="44">
        <v>12</v>
      </c>
      <c r="D2" s="44">
        <f t="shared" ref="D2:D8" si="0">B2/C2</f>
        <v>4546.75</v>
      </c>
      <c r="E2" s="131"/>
      <c r="F2" s="46">
        <f>'Исходные данные'!E3</f>
        <v>15787</v>
      </c>
      <c r="G2" s="27" t="s">
        <v>26</v>
      </c>
      <c r="H2" s="39"/>
      <c r="I2" s="57"/>
      <c r="J2" s="47"/>
      <c r="K2" s="47"/>
      <c r="L2" s="48"/>
    </row>
    <row r="3" spans="1:12">
      <c r="A3" s="132" t="s">
        <v>93</v>
      </c>
      <c r="B3" s="44"/>
      <c r="C3" s="44">
        <v>12</v>
      </c>
      <c r="D3" s="44">
        <f t="shared" si="0"/>
        <v>0</v>
      </c>
      <c r="E3" s="39"/>
      <c r="H3" s="39"/>
      <c r="I3" s="39"/>
      <c r="J3" s="39"/>
      <c r="K3" s="39"/>
      <c r="L3" s="39"/>
    </row>
    <row r="4" spans="1:12" ht="15.75" customHeight="1">
      <c r="A4" s="43" t="s">
        <v>7</v>
      </c>
      <c r="B4" s="44">
        <f>16000+3660+12477+311</f>
        <v>32448</v>
      </c>
      <c r="C4" s="44">
        <v>12</v>
      </c>
      <c r="D4" s="44">
        <f t="shared" si="0"/>
        <v>2704</v>
      </c>
      <c r="E4" s="39"/>
      <c r="F4" s="49">
        <f>D15/F2</f>
        <v>0.57570105149806805</v>
      </c>
      <c r="G4" s="50" t="s">
        <v>9</v>
      </c>
      <c r="H4" s="39"/>
      <c r="I4" s="39"/>
      <c r="J4" s="39"/>
      <c r="K4" s="39"/>
      <c r="L4" s="39"/>
    </row>
    <row r="5" spans="1:12" ht="15.75" customHeight="1">
      <c r="A5" s="43" t="s">
        <v>12</v>
      </c>
      <c r="B5" s="44"/>
      <c r="C5" s="44">
        <v>12</v>
      </c>
      <c r="D5" s="44">
        <f t="shared" si="0"/>
        <v>0</v>
      </c>
      <c r="E5" s="39"/>
      <c r="F5" s="39"/>
      <c r="G5" s="39"/>
      <c r="H5" s="39"/>
      <c r="I5" s="39"/>
      <c r="J5" s="39"/>
      <c r="K5" s="39"/>
      <c r="L5" s="39"/>
    </row>
    <row r="6" spans="1:12" ht="15.75" customHeight="1">
      <c r="A6" s="43" t="s">
        <v>94</v>
      </c>
      <c r="B6" s="44">
        <f>644+10000+8410.11</f>
        <v>19054.11</v>
      </c>
      <c r="C6" s="44">
        <v>12</v>
      </c>
      <c r="D6" s="44">
        <f t="shared" si="0"/>
        <v>1587.8425</v>
      </c>
      <c r="E6" s="39"/>
      <c r="F6" s="39"/>
      <c r="G6" s="39"/>
      <c r="H6" s="39"/>
      <c r="I6" s="39"/>
      <c r="J6" s="39"/>
      <c r="K6" s="39"/>
      <c r="L6" s="39"/>
    </row>
    <row r="7" spans="1:12" ht="15.75" customHeight="1">
      <c r="A7" s="43" t="s">
        <v>95</v>
      </c>
      <c r="B7" s="44"/>
      <c r="C7" s="44">
        <v>12</v>
      </c>
      <c r="D7" s="44">
        <f t="shared" si="0"/>
        <v>0</v>
      </c>
      <c r="E7" s="39"/>
      <c r="F7" s="39"/>
      <c r="G7" s="39"/>
      <c r="H7" s="39"/>
      <c r="I7" s="39"/>
      <c r="J7" s="39"/>
      <c r="K7" s="39"/>
      <c r="L7" s="39"/>
    </row>
    <row r="8" spans="1:12" ht="15.75" customHeight="1">
      <c r="A8" s="43" t="s">
        <v>14</v>
      </c>
      <c r="B8" s="44">
        <v>3000</v>
      </c>
      <c r="C8" s="44">
        <v>12</v>
      </c>
      <c r="D8" s="44">
        <f t="shared" si="0"/>
        <v>250</v>
      </c>
      <c r="E8" s="39"/>
      <c r="F8" s="39"/>
      <c r="G8" s="39"/>
      <c r="H8" s="39"/>
      <c r="I8" s="39"/>
      <c r="J8" s="39"/>
      <c r="K8" s="39"/>
      <c r="L8" s="39"/>
    </row>
    <row r="9" spans="1:12" ht="15.75" customHeight="1">
      <c r="A9" s="43"/>
      <c r="B9" s="44"/>
      <c r="C9" s="44"/>
      <c r="D9" s="44"/>
      <c r="E9" s="39"/>
      <c r="F9" s="39"/>
      <c r="G9" s="39"/>
      <c r="H9" s="39"/>
      <c r="I9" s="39"/>
      <c r="J9" s="39"/>
      <c r="K9" s="39"/>
      <c r="L9" s="39"/>
    </row>
    <row r="10" spans="1:12" ht="15.75" customHeight="1">
      <c r="A10" s="43"/>
      <c r="B10" s="44"/>
      <c r="C10" s="44"/>
      <c r="D10" s="44"/>
      <c r="E10" s="39"/>
      <c r="F10" s="39"/>
      <c r="G10" s="39"/>
      <c r="H10" s="39"/>
      <c r="I10" s="39"/>
      <c r="J10" s="39"/>
      <c r="K10" s="39"/>
      <c r="L10" s="39"/>
    </row>
    <row r="11" spans="1:12" ht="15.75" customHeight="1">
      <c r="A11" s="43"/>
      <c r="B11" s="44"/>
      <c r="C11" s="44"/>
      <c r="D11" s="44"/>
      <c r="E11" s="39"/>
      <c r="F11" s="39"/>
      <c r="G11" s="39"/>
      <c r="H11" s="39"/>
      <c r="I11" s="39"/>
      <c r="J11" s="39"/>
      <c r="K11" s="39"/>
      <c r="L11" s="39"/>
    </row>
    <row r="12" spans="1:12" ht="15.75" customHeight="1">
      <c r="A12" s="43"/>
      <c r="B12" s="44"/>
      <c r="C12" s="44"/>
      <c r="D12" s="44"/>
      <c r="E12" s="39"/>
      <c r="F12" s="39"/>
      <c r="G12" s="39"/>
      <c r="H12" s="39"/>
      <c r="I12" s="39"/>
      <c r="J12" s="39"/>
      <c r="K12" s="39"/>
      <c r="L12" s="39"/>
    </row>
    <row r="13" spans="1:12" ht="15.75" customHeight="1">
      <c r="A13" s="112"/>
      <c r="B13" s="44"/>
      <c r="C13" s="44"/>
      <c r="D13" s="44"/>
      <c r="E13" s="39"/>
      <c r="F13" s="39"/>
      <c r="G13" s="39"/>
      <c r="H13" s="39"/>
      <c r="I13" s="39"/>
      <c r="J13" s="39"/>
      <c r="K13" s="39"/>
      <c r="L13" s="39"/>
    </row>
    <row r="14" spans="1:12" ht="15.75" customHeight="1">
      <c r="A14" s="112"/>
      <c r="B14" s="44"/>
      <c r="C14" s="44"/>
      <c r="D14" s="44"/>
      <c r="E14" s="39"/>
      <c r="F14" s="39"/>
      <c r="G14" s="39"/>
      <c r="H14" s="39"/>
      <c r="I14" s="39"/>
      <c r="J14" s="39"/>
      <c r="K14" s="39"/>
      <c r="L14" s="39"/>
    </row>
    <row r="15" spans="1:12" ht="15.75" customHeight="1">
      <c r="A15" s="39"/>
      <c r="B15" s="55"/>
      <c r="C15" s="131"/>
      <c r="D15" s="133">
        <f>SUM(D2:D14)</f>
        <v>9088.5925000000007</v>
      </c>
      <c r="E15" s="39"/>
      <c r="F15" s="39"/>
      <c r="G15" s="39"/>
      <c r="H15" s="39"/>
      <c r="I15" s="39"/>
      <c r="J15" s="39"/>
      <c r="K15" s="39"/>
      <c r="L15" s="39"/>
    </row>
    <row r="18" spans="1:5" ht="15.75" customHeight="1">
      <c r="A18" s="127" t="s">
        <v>91</v>
      </c>
      <c r="B18" s="128"/>
      <c r="C18" s="129">
        <v>5</v>
      </c>
      <c r="D18" s="128">
        <f>B18/C18</f>
        <v>0</v>
      </c>
      <c r="E18" s="60" t="s">
        <v>92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Y977"/>
  <sheetViews>
    <sheetView workbookViewId="0"/>
  </sheetViews>
  <sheetFormatPr baseColWidth="10" defaultColWidth="12.6640625" defaultRowHeight="15.75" customHeight="1"/>
  <cols>
    <col min="1" max="1" width="31.1640625" customWidth="1"/>
    <col min="3" max="3" width="11.6640625" customWidth="1"/>
    <col min="4" max="4" width="14.83203125" customWidth="1"/>
    <col min="9" max="9" width="7.5" customWidth="1"/>
  </cols>
  <sheetData>
    <row r="1" spans="1:25" ht="15.75" customHeight="1">
      <c r="A1" s="27"/>
      <c r="B1" s="58" t="s">
        <v>4</v>
      </c>
      <c r="C1" s="27" t="s">
        <v>5</v>
      </c>
      <c r="D1" s="27" t="s">
        <v>6</v>
      </c>
      <c r="G1" s="76" t="s">
        <v>21</v>
      </c>
      <c r="H1" s="77" t="s">
        <v>96</v>
      </c>
      <c r="I1" s="81"/>
      <c r="J1" s="134"/>
      <c r="K1" s="60" t="s">
        <v>97</v>
      </c>
    </row>
    <row r="2" spans="1:25" ht="15.75" customHeight="1">
      <c r="A2" s="63" t="s">
        <v>98</v>
      </c>
      <c r="B2" s="108">
        <f>226800+7550</f>
        <v>234350</v>
      </c>
      <c r="C2" s="83">
        <v>12</v>
      </c>
      <c r="D2" s="108">
        <f t="shared" ref="D2:D22" si="0">B2/C2</f>
        <v>19529.166666666668</v>
      </c>
      <c r="E2" s="108"/>
      <c r="G2" s="82" t="s">
        <v>11</v>
      </c>
      <c r="H2" s="83">
        <f>'Исходные данные'!E2</f>
        <v>27060</v>
      </c>
      <c r="I2" s="67"/>
      <c r="J2" s="135"/>
      <c r="K2" s="59"/>
      <c r="L2" s="59"/>
      <c r="M2" s="59"/>
      <c r="N2" s="59"/>
    </row>
    <row r="3" spans="1:25" ht="15.75" customHeight="1">
      <c r="A3" s="63" t="s">
        <v>99</v>
      </c>
      <c r="B3" s="108">
        <v>4080</v>
      </c>
      <c r="C3" s="83">
        <v>12</v>
      </c>
      <c r="D3" s="108">
        <f t="shared" si="0"/>
        <v>340</v>
      </c>
      <c r="G3" s="82" t="s">
        <v>26</v>
      </c>
      <c r="H3" s="83">
        <f>'Исходные данные'!E3</f>
        <v>15787</v>
      </c>
      <c r="I3" s="67"/>
      <c r="J3" s="135"/>
      <c r="K3" s="59"/>
      <c r="L3" s="62"/>
      <c r="M3" s="59"/>
      <c r="N3" s="59"/>
    </row>
    <row r="4" spans="1:25" ht="15.75" customHeight="1">
      <c r="A4" s="63" t="s">
        <v>100</v>
      </c>
      <c r="B4" s="108">
        <f>6595.36+624</f>
        <v>7219.36</v>
      </c>
      <c r="C4" s="83">
        <v>12</v>
      </c>
      <c r="D4" s="108">
        <f t="shared" si="0"/>
        <v>601.61333333333334</v>
      </c>
      <c r="G4" s="82" t="s">
        <v>68</v>
      </c>
      <c r="H4" s="83">
        <f>'Исходные данные'!E4</f>
        <v>11973</v>
      </c>
      <c r="I4" s="67"/>
      <c r="J4" s="135"/>
      <c r="K4" s="59"/>
      <c r="L4" s="62"/>
      <c r="M4" s="59"/>
      <c r="N4" s="59"/>
    </row>
    <row r="5" spans="1:25" ht="15.75" customHeight="1">
      <c r="A5" s="136">
        <v>8800</v>
      </c>
      <c r="B5" s="108">
        <f>171000+3000</f>
        <v>174000</v>
      </c>
      <c r="C5" s="83">
        <v>12</v>
      </c>
      <c r="D5" s="108">
        <f t="shared" si="0"/>
        <v>14500</v>
      </c>
      <c r="E5" s="59"/>
      <c r="F5" s="59"/>
      <c r="G5" s="82" t="s">
        <v>8</v>
      </c>
      <c r="H5" s="83">
        <f>'Исходные данные'!E5</f>
        <v>22069</v>
      </c>
      <c r="I5" s="67"/>
      <c r="J5" s="135"/>
      <c r="K5" s="59"/>
      <c r="L5" s="62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5" ht="15.75" customHeight="1">
      <c r="A6" s="63" t="s">
        <v>101</v>
      </c>
      <c r="B6" s="108">
        <v>126980</v>
      </c>
      <c r="C6" s="83">
        <v>12</v>
      </c>
      <c r="D6" s="108">
        <f t="shared" si="0"/>
        <v>10581.666666666666</v>
      </c>
      <c r="G6" s="82" t="s">
        <v>28</v>
      </c>
      <c r="H6" s="83">
        <f>'Исходные данные'!E6</f>
        <v>1220</v>
      </c>
      <c r="I6" s="67"/>
      <c r="J6" s="135"/>
      <c r="K6" s="59"/>
      <c r="L6" s="62"/>
      <c r="M6" s="59"/>
      <c r="N6" s="59"/>
    </row>
    <row r="7" spans="1:25" ht="15.75" customHeight="1">
      <c r="A7" s="63" t="s">
        <v>102</v>
      </c>
      <c r="B7" s="108">
        <v>602021.99</v>
      </c>
      <c r="C7" s="83">
        <v>12</v>
      </c>
      <c r="D7" s="108">
        <f t="shared" si="0"/>
        <v>50168.499166666668</v>
      </c>
      <c r="G7" s="82" t="s">
        <v>29</v>
      </c>
      <c r="H7" s="83">
        <f>'Исходные данные'!E7</f>
        <v>610</v>
      </c>
      <c r="I7" s="67"/>
      <c r="J7" s="135"/>
      <c r="K7" s="59"/>
      <c r="L7" s="62"/>
      <c r="M7" s="59"/>
      <c r="N7" s="59"/>
    </row>
    <row r="8" spans="1:25" ht="15.75" customHeight="1">
      <c r="A8" s="63" t="s">
        <v>103</v>
      </c>
      <c r="B8" s="108">
        <f>4248+1400</f>
        <v>5648</v>
      </c>
      <c r="C8" s="83">
        <v>12</v>
      </c>
      <c r="D8" s="108">
        <f t="shared" si="0"/>
        <v>470.66666666666669</v>
      </c>
      <c r="G8" s="82"/>
      <c r="H8" s="83"/>
      <c r="I8" s="67"/>
      <c r="J8" s="135"/>
      <c r="K8" s="59"/>
      <c r="L8" s="62"/>
      <c r="M8" s="59"/>
      <c r="N8" s="59"/>
    </row>
    <row r="9" spans="1:25" ht="15.75" customHeight="1">
      <c r="A9" s="63" t="s">
        <v>104</v>
      </c>
      <c r="B9" s="108">
        <f>3660+3345</f>
        <v>7005</v>
      </c>
      <c r="C9" s="83">
        <v>12</v>
      </c>
      <c r="D9" s="108">
        <f t="shared" si="0"/>
        <v>583.75</v>
      </c>
      <c r="G9" s="82"/>
      <c r="H9" s="83"/>
      <c r="I9" s="67"/>
      <c r="J9" s="135"/>
      <c r="K9" s="59"/>
      <c r="L9" s="62"/>
      <c r="M9" s="59"/>
      <c r="N9" s="59"/>
    </row>
    <row r="10" spans="1:25" ht="15.75" customHeight="1">
      <c r="A10" s="63" t="s">
        <v>105</v>
      </c>
      <c r="B10" s="108">
        <v>9000</v>
      </c>
      <c r="C10" s="83">
        <v>12</v>
      </c>
      <c r="D10" s="108">
        <f t="shared" si="0"/>
        <v>750</v>
      </c>
      <c r="G10" s="82"/>
      <c r="H10" s="83"/>
      <c r="I10" s="67"/>
      <c r="J10" s="135"/>
      <c r="K10" s="59"/>
      <c r="L10" s="62"/>
      <c r="M10" s="59"/>
      <c r="N10" s="59"/>
    </row>
    <row r="11" spans="1:25" ht="15.75" customHeight="1">
      <c r="A11" s="63" t="s">
        <v>106</v>
      </c>
      <c r="B11" s="108">
        <v>6000</v>
      </c>
      <c r="C11" s="83">
        <v>12</v>
      </c>
      <c r="D11" s="108">
        <f t="shared" si="0"/>
        <v>500</v>
      </c>
      <c r="G11" s="84" t="s">
        <v>25</v>
      </c>
      <c r="H11" s="88">
        <f>SUM(H2:H10)</f>
        <v>78719</v>
      </c>
      <c r="I11" s="67"/>
      <c r="J11" s="137"/>
      <c r="K11" s="59"/>
      <c r="L11" s="62"/>
      <c r="M11" s="59"/>
      <c r="N11" s="59"/>
    </row>
    <row r="12" spans="1:25" ht="15.75" customHeight="1">
      <c r="A12" s="63" t="s">
        <v>107</v>
      </c>
      <c r="B12" s="108">
        <f>347948.83+3814+48280</f>
        <v>400042.83</v>
      </c>
      <c r="C12" s="83">
        <v>12</v>
      </c>
      <c r="D12" s="108">
        <f t="shared" si="0"/>
        <v>33336.902500000004</v>
      </c>
      <c r="G12" s="86"/>
      <c r="H12" s="86"/>
      <c r="I12" s="86"/>
      <c r="J12" s="138"/>
      <c r="K12" s="59"/>
      <c r="L12" s="139"/>
      <c r="M12" s="140"/>
      <c r="N12" s="59"/>
    </row>
    <row r="13" spans="1:25" ht="15.75" customHeight="1">
      <c r="A13" s="63" t="s">
        <v>108</v>
      </c>
      <c r="B13" s="108">
        <f>168112.89+389926+394726+10341.34</f>
        <v>963106.23</v>
      </c>
      <c r="C13" s="83">
        <v>12</v>
      </c>
      <c r="D13" s="108">
        <f t="shared" si="0"/>
        <v>80258.852499999994</v>
      </c>
      <c r="G13" s="86"/>
      <c r="H13" s="86"/>
      <c r="I13" s="86"/>
      <c r="J13" s="138"/>
      <c r="K13" s="59"/>
      <c r="L13" s="139"/>
      <c r="M13" s="140"/>
      <c r="N13" s="59"/>
    </row>
    <row r="14" spans="1:25" ht="15.75" customHeight="1">
      <c r="A14" s="63" t="s">
        <v>109</v>
      </c>
      <c r="B14" s="108">
        <f>1115475.25+540052.54+7995.3+3000+3899-30000</f>
        <v>1640422.09</v>
      </c>
      <c r="C14" s="83">
        <v>12</v>
      </c>
      <c r="D14" s="108">
        <f t="shared" si="0"/>
        <v>136701.84083333335</v>
      </c>
      <c r="G14" s="141"/>
      <c r="H14" s="142"/>
      <c r="I14" s="141"/>
      <c r="J14" s="143"/>
      <c r="K14" s="59"/>
      <c r="L14" s="59"/>
      <c r="M14" s="59"/>
      <c r="N14" s="59"/>
    </row>
    <row r="15" spans="1:25" ht="15.75" customHeight="1">
      <c r="A15" s="63" t="s">
        <v>110</v>
      </c>
      <c r="B15" s="108">
        <f>1277731.33+1885051</f>
        <v>3162782.33</v>
      </c>
      <c r="C15" s="83">
        <v>12</v>
      </c>
      <c r="D15" s="108">
        <f t="shared" si="0"/>
        <v>263565.19416666665</v>
      </c>
      <c r="G15" s="39"/>
      <c r="H15" s="39"/>
      <c r="I15" s="86"/>
      <c r="J15" s="144"/>
    </row>
    <row r="16" spans="1:25" ht="15.75" customHeight="1">
      <c r="A16" s="63" t="s">
        <v>111</v>
      </c>
      <c r="B16" s="108">
        <v>36409.129999999997</v>
      </c>
      <c r="C16" s="83">
        <v>12</v>
      </c>
      <c r="D16" s="108">
        <f t="shared" si="0"/>
        <v>3034.0941666666663</v>
      </c>
      <c r="G16" s="145">
        <f>D23/H11</f>
        <v>9.1731976502919679</v>
      </c>
      <c r="H16" s="146" t="s">
        <v>9</v>
      </c>
      <c r="I16" s="39"/>
      <c r="J16" s="144"/>
    </row>
    <row r="17" spans="1:10" ht="15.75" customHeight="1">
      <c r="A17" s="63" t="s">
        <v>112</v>
      </c>
      <c r="B17" s="108">
        <f>535961.42+657136.97</f>
        <v>1193098.3900000001</v>
      </c>
      <c r="C17" s="83">
        <v>12</v>
      </c>
      <c r="D17" s="108">
        <f t="shared" si="0"/>
        <v>99424.865833333344</v>
      </c>
      <c r="J17" s="134"/>
    </row>
    <row r="18" spans="1:10" ht="15.75" customHeight="1">
      <c r="A18" s="63" t="s">
        <v>113</v>
      </c>
      <c r="B18" s="61">
        <v>7843</v>
      </c>
      <c r="C18" s="83">
        <v>12</v>
      </c>
      <c r="D18" s="61">
        <f t="shared" si="0"/>
        <v>653.58333333333337</v>
      </c>
      <c r="J18" s="134"/>
    </row>
    <row r="19" spans="1:10" ht="15.75" customHeight="1">
      <c r="A19" s="63" t="s">
        <v>114</v>
      </c>
      <c r="B19" s="61">
        <v>39866</v>
      </c>
      <c r="C19" s="83">
        <v>12</v>
      </c>
      <c r="D19" s="61">
        <f t="shared" si="0"/>
        <v>3322.1666666666665</v>
      </c>
      <c r="J19" s="134"/>
    </row>
    <row r="20" spans="1:10" ht="15.75" customHeight="1">
      <c r="A20" s="63" t="s">
        <v>93</v>
      </c>
      <c r="B20" s="147">
        <v>18885</v>
      </c>
      <c r="C20" s="83">
        <v>12</v>
      </c>
      <c r="D20" s="61">
        <f t="shared" si="0"/>
        <v>1573.75</v>
      </c>
      <c r="J20" s="134"/>
    </row>
    <row r="21" spans="1:10" ht="15.75" customHeight="1">
      <c r="A21" s="63" t="s">
        <v>115</v>
      </c>
      <c r="B21" s="147">
        <v>22000</v>
      </c>
      <c r="C21" s="83">
        <v>12</v>
      </c>
      <c r="D21" s="108">
        <f t="shared" si="0"/>
        <v>1833.3333333333333</v>
      </c>
      <c r="J21" s="134"/>
    </row>
    <row r="22" spans="1:10" ht="15.75" customHeight="1">
      <c r="A22" s="63" t="s">
        <v>116</v>
      </c>
      <c r="B22" s="147">
        <v>4500</v>
      </c>
      <c r="C22" s="83">
        <v>12</v>
      </c>
      <c r="D22" s="61">
        <f t="shared" si="0"/>
        <v>375</v>
      </c>
      <c r="J22" s="134"/>
    </row>
    <row r="23" spans="1:10" ht="15.75" customHeight="1">
      <c r="A23" s="27"/>
      <c r="B23" s="61">
        <f>SUM(B2:B22)</f>
        <v>8665259.3499999996</v>
      </c>
      <c r="C23" s="27"/>
      <c r="D23" s="61">
        <f>SUM(D2:D22)</f>
        <v>722104.94583333342</v>
      </c>
      <c r="J23" s="134"/>
    </row>
    <row r="24" spans="1:10" ht="15.75" customHeight="1">
      <c r="J24" s="134"/>
    </row>
    <row r="25" spans="1:10" ht="15.75" customHeight="1">
      <c r="J25" s="134"/>
    </row>
    <row r="26" spans="1:10" ht="15.75" customHeight="1">
      <c r="B26" s="148"/>
      <c r="J26" s="134"/>
    </row>
    <row r="27" spans="1:10" ht="15.75" customHeight="1">
      <c r="B27" s="148"/>
      <c r="J27" s="134"/>
    </row>
    <row r="28" spans="1:10" ht="15.75" customHeight="1">
      <c r="B28" s="148"/>
      <c r="J28" s="134"/>
    </row>
    <row r="29" spans="1:10" ht="15.75" customHeight="1">
      <c r="J29" s="134"/>
    </row>
    <row r="30" spans="1:10" ht="15.75" customHeight="1">
      <c r="J30" s="134"/>
    </row>
    <row r="31" spans="1:10" ht="15.75" customHeight="1">
      <c r="J31" s="134"/>
    </row>
    <row r="32" spans="1:10" ht="15.75" customHeight="1">
      <c r="J32" s="134"/>
    </row>
    <row r="33" spans="10:10" ht="15.75" customHeight="1">
      <c r="J33" s="134"/>
    </row>
    <row r="34" spans="10:10" ht="15.75" customHeight="1">
      <c r="J34" s="134"/>
    </row>
    <row r="35" spans="10:10" ht="15.75" customHeight="1">
      <c r="J35" s="134"/>
    </row>
    <row r="36" spans="10:10" ht="15.75" customHeight="1">
      <c r="J36" s="134"/>
    </row>
    <row r="37" spans="10:10" ht="15.75" customHeight="1">
      <c r="J37" s="134"/>
    </row>
    <row r="38" spans="10:10" ht="15.75" customHeight="1">
      <c r="J38" s="134"/>
    </row>
    <row r="39" spans="10:10" ht="15.75" customHeight="1">
      <c r="J39" s="134"/>
    </row>
    <row r="40" spans="10:10" ht="15.75" customHeight="1">
      <c r="J40" s="134"/>
    </row>
    <row r="41" spans="10:10" ht="15.75" customHeight="1">
      <c r="J41" s="134"/>
    </row>
    <row r="42" spans="10:10" ht="15.75" customHeight="1">
      <c r="J42" s="134"/>
    </row>
    <row r="43" spans="10:10" ht="15.75" customHeight="1">
      <c r="J43" s="134"/>
    </row>
    <row r="44" spans="10:10" ht="15.75" customHeight="1">
      <c r="J44" s="134"/>
    </row>
    <row r="45" spans="10:10" ht="15.75" customHeight="1">
      <c r="J45" s="134"/>
    </row>
    <row r="46" spans="10:10" ht="15.75" customHeight="1">
      <c r="J46" s="134"/>
    </row>
    <row r="47" spans="10:10" ht="13">
      <c r="J47" s="134"/>
    </row>
    <row r="48" spans="10:10" ht="13">
      <c r="J48" s="134"/>
    </row>
    <row r="49" spans="10:10" ht="13">
      <c r="J49" s="134"/>
    </row>
    <row r="50" spans="10:10" ht="13">
      <c r="J50" s="134"/>
    </row>
    <row r="51" spans="10:10" ht="13">
      <c r="J51" s="134"/>
    </row>
    <row r="52" spans="10:10" ht="13">
      <c r="J52" s="134"/>
    </row>
    <row r="53" spans="10:10" ht="13">
      <c r="J53" s="134"/>
    </row>
    <row r="54" spans="10:10" ht="13">
      <c r="J54" s="134"/>
    </row>
    <row r="55" spans="10:10" ht="13">
      <c r="J55" s="134"/>
    </row>
    <row r="56" spans="10:10" ht="13">
      <c r="J56" s="134"/>
    </row>
    <row r="57" spans="10:10" ht="13">
      <c r="J57" s="134"/>
    </row>
    <row r="58" spans="10:10" ht="13">
      <c r="J58" s="134"/>
    </row>
    <row r="59" spans="10:10" ht="13">
      <c r="J59" s="134"/>
    </row>
    <row r="60" spans="10:10" ht="13">
      <c r="J60" s="134"/>
    </row>
    <row r="61" spans="10:10" ht="13">
      <c r="J61" s="134"/>
    </row>
    <row r="62" spans="10:10" ht="13">
      <c r="J62" s="134"/>
    </row>
    <row r="63" spans="10:10" ht="13">
      <c r="J63" s="134"/>
    </row>
    <row r="64" spans="10:10" ht="13">
      <c r="J64" s="134"/>
    </row>
    <row r="65" spans="10:10" ht="13">
      <c r="J65" s="134"/>
    </row>
    <row r="66" spans="10:10" ht="13">
      <c r="J66" s="134"/>
    </row>
    <row r="67" spans="10:10" ht="13">
      <c r="J67" s="134"/>
    </row>
    <row r="68" spans="10:10" ht="13">
      <c r="J68" s="134"/>
    </row>
    <row r="69" spans="10:10" ht="13">
      <c r="J69" s="134"/>
    </row>
    <row r="70" spans="10:10" ht="13">
      <c r="J70" s="134"/>
    </row>
    <row r="71" spans="10:10" ht="13">
      <c r="J71" s="134"/>
    </row>
    <row r="72" spans="10:10" ht="13">
      <c r="J72" s="134"/>
    </row>
    <row r="73" spans="10:10" ht="13">
      <c r="J73" s="134"/>
    </row>
    <row r="74" spans="10:10" ht="13">
      <c r="J74" s="134"/>
    </row>
    <row r="75" spans="10:10" ht="13">
      <c r="J75" s="134"/>
    </row>
    <row r="76" spans="10:10" ht="13">
      <c r="J76" s="134"/>
    </row>
    <row r="77" spans="10:10" ht="13">
      <c r="J77" s="134"/>
    </row>
    <row r="78" spans="10:10" ht="13">
      <c r="J78" s="134"/>
    </row>
    <row r="79" spans="10:10" ht="13">
      <c r="J79" s="134"/>
    </row>
    <row r="80" spans="10:10" ht="13">
      <c r="J80" s="134"/>
    </row>
    <row r="81" spans="10:10" ht="13">
      <c r="J81" s="134"/>
    </row>
    <row r="82" spans="10:10" ht="13">
      <c r="J82" s="134"/>
    </row>
    <row r="83" spans="10:10" ht="13">
      <c r="J83" s="134"/>
    </row>
    <row r="84" spans="10:10" ht="13">
      <c r="J84" s="134"/>
    </row>
    <row r="85" spans="10:10" ht="13">
      <c r="J85" s="134"/>
    </row>
    <row r="86" spans="10:10" ht="13">
      <c r="J86" s="134"/>
    </row>
    <row r="87" spans="10:10" ht="13">
      <c r="J87" s="134"/>
    </row>
    <row r="88" spans="10:10" ht="13">
      <c r="J88" s="134"/>
    </row>
    <row r="89" spans="10:10" ht="13">
      <c r="J89" s="134"/>
    </row>
    <row r="90" spans="10:10" ht="13">
      <c r="J90" s="134"/>
    </row>
    <row r="91" spans="10:10" ht="13">
      <c r="J91" s="134"/>
    </row>
    <row r="92" spans="10:10" ht="13">
      <c r="J92" s="134"/>
    </row>
    <row r="93" spans="10:10" ht="13">
      <c r="J93" s="134"/>
    </row>
    <row r="94" spans="10:10" ht="13">
      <c r="J94" s="134"/>
    </row>
    <row r="95" spans="10:10" ht="13">
      <c r="J95" s="134"/>
    </row>
    <row r="96" spans="10:10" ht="13">
      <c r="J96" s="134"/>
    </row>
    <row r="97" spans="10:10" ht="13">
      <c r="J97" s="134"/>
    </row>
    <row r="98" spans="10:10" ht="13">
      <c r="J98" s="134"/>
    </row>
    <row r="99" spans="10:10" ht="13">
      <c r="J99" s="134"/>
    </row>
    <row r="100" spans="10:10" ht="13">
      <c r="J100" s="134"/>
    </row>
    <row r="101" spans="10:10" ht="13">
      <c r="J101" s="134"/>
    </row>
    <row r="102" spans="10:10" ht="13">
      <c r="J102" s="134"/>
    </row>
    <row r="103" spans="10:10" ht="13">
      <c r="J103" s="134"/>
    </row>
    <row r="104" spans="10:10" ht="13">
      <c r="J104" s="134"/>
    </row>
    <row r="105" spans="10:10" ht="13">
      <c r="J105" s="134"/>
    </row>
    <row r="106" spans="10:10" ht="13">
      <c r="J106" s="134"/>
    </row>
    <row r="107" spans="10:10" ht="13">
      <c r="J107" s="134"/>
    </row>
    <row r="108" spans="10:10" ht="13">
      <c r="J108" s="134"/>
    </row>
    <row r="109" spans="10:10" ht="13">
      <c r="J109" s="134"/>
    </row>
    <row r="110" spans="10:10" ht="13">
      <c r="J110" s="134"/>
    </row>
    <row r="111" spans="10:10" ht="13">
      <c r="J111" s="134"/>
    </row>
    <row r="112" spans="10:10" ht="13">
      <c r="J112" s="134"/>
    </row>
    <row r="113" spans="10:10" ht="13">
      <c r="J113" s="134"/>
    </row>
    <row r="114" spans="10:10" ht="13">
      <c r="J114" s="134"/>
    </row>
    <row r="115" spans="10:10" ht="13">
      <c r="J115" s="134"/>
    </row>
    <row r="116" spans="10:10" ht="13">
      <c r="J116" s="134"/>
    </row>
    <row r="117" spans="10:10" ht="13">
      <c r="J117" s="134"/>
    </row>
    <row r="118" spans="10:10" ht="13">
      <c r="J118" s="134"/>
    </row>
    <row r="119" spans="10:10" ht="13">
      <c r="J119" s="134"/>
    </row>
    <row r="120" spans="10:10" ht="13">
      <c r="J120" s="134"/>
    </row>
    <row r="121" spans="10:10" ht="13">
      <c r="J121" s="134"/>
    </row>
    <row r="122" spans="10:10" ht="13">
      <c r="J122" s="134"/>
    </row>
    <row r="123" spans="10:10" ht="13">
      <c r="J123" s="134"/>
    </row>
    <row r="124" spans="10:10" ht="13">
      <c r="J124" s="134"/>
    </row>
    <row r="125" spans="10:10" ht="13">
      <c r="J125" s="134"/>
    </row>
    <row r="126" spans="10:10" ht="13">
      <c r="J126" s="134"/>
    </row>
    <row r="127" spans="10:10" ht="13">
      <c r="J127" s="134"/>
    </row>
    <row r="128" spans="10:10" ht="13">
      <c r="J128" s="134"/>
    </row>
    <row r="129" spans="10:10" ht="13">
      <c r="J129" s="134"/>
    </row>
    <row r="130" spans="10:10" ht="13">
      <c r="J130" s="134"/>
    </row>
    <row r="131" spans="10:10" ht="13">
      <c r="J131" s="134"/>
    </row>
    <row r="132" spans="10:10" ht="13">
      <c r="J132" s="134"/>
    </row>
    <row r="133" spans="10:10" ht="13">
      <c r="J133" s="134"/>
    </row>
    <row r="134" spans="10:10" ht="13">
      <c r="J134" s="134"/>
    </row>
    <row r="135" spans="10:10" ht="13">
      <c r="J135" s="134"/>
    </row>
    <row r="136" spans="10:10" ht="13">
      <c r="J136" s="134"/>
    </row>
    <row r="137" spans="10:10" ht="13">
      <c r="J137" s="134"/>
    </row>
    <row r="138" spans="10:10" ht="13">
      <c r="J138" s="134"/>
    </row>
    <row r="139" spans="10:10" ht="13">
      <c r="J139" s="134"/>
    </row>
    <row r="140" spans="10:10" ht="13">
      <c r="J140" s="134"/>
    </row>
    <row r="141" spans="10:10" ht="13">
      <c r="J141" s="134"/>
    </row>
    <row r="142" spans="10:10" ht="13">
      <c r="J142" s="134"/>
    </row>
    <row r="143" spans="10:10" ht="13">
      <c r="J143" s="134"/>
    </row>
    <row r="144" spans="10:10" ht="13">
      <c r="J144" s="134"/>
    </row>
    <row r="145" spans="10:10" ht="13">
      <c r="J145" s="134"/>
    </row>
    <row r="146" spans="10:10" ht="13">
      <c r="J146" s="134"/>
    </row>
    <row r="147" spans="10:10" ht="13">
      <c r="J147" s="134"/>
    </row>
    <row r="148" spans="10:10" ht="13">
      <c r="J148" s="134"/>
    </row>
    <row r="149" spans="10:10" ht="13">
      <c r="J149" s="134"/>
    </row>
    <row r="150" spans="10:10" ht="13">
      <c r="J150" s="134"/>
    </row>
    <row r="151" spans="10:10" ht="13">
      <c r="J151" s="134"/>
    </row>
    <row r="152" spans="10:10" ht="13">
      <c r="J152" s="134"/>
    </row>
    <row r="153" spans="10:10" ht="13">
      <c r="J153" s="134"/>
    </row>
    <row r="154" spans="10:10" ht="13">
      <c r="J154" s="134"/>
    </row>
    <row r="155" spans="10:10" ht="13">
      <c r="J155" s="134"/>
    </row>
    <row r="156" spans="10:10" ht="13">
      <c r="J156" s="134"/>
    </row>
    <row r="157" spans="10:10" ht="13">
      <c r="J157" s="134"/>
    </row>
    <row r="158" spans="10:10" ht="13">
      <c r="J158" s="134"/>
    </row>
    <row r="159" spans="10:10" ht="13">
      <c r="J159" s="134"/>
    </row>
    <row r="160" spans="10:10" ht="13">
      <c r="J160" s="134"/>
    </row>
    <row r="161" spans="10:10" ht="13">
      <c r="J161" s="134"/>
    </row>
    <row r="162" spans="10:10" ht="13">
      <c r="J162" s="134"/>
    </row>
    <row r="163" spans="10:10" ht="13">
      <c r="J163" s="134"/>
    </row>
    <row r="164" spans="10:10" ht="13">
      <c r="J164" s="134"/>
    </row>
    <row r="165" spans="10:10" ht="13">
      <c r="J165" s="134"/>
    </row>
    <row r="166" spans="10:10" ht="13">
      <c r="J166" s="134"/>
    </row>
    <row r="167" spans="10:10" ht="13">
      <c r="J167" s="134"/>
    </row>
    <row r="168" spans="10:10" ht="13">
      <c r="J168" s="134"/>
    </row>
    <row r="169" spans="10:10" ht="13">
      <c r="J169" s="134"/>
    </row>
    <row r="170" spans="10:10" ht="13">
      <c r="J170" s="134"/>
    </row>
    <row r="171" spans="10:10" ht="13">
      <c r="J171" s="134"/>
    </row>
    <row r="172" spans="10:10" ht="13">
      <c r="J172" s="134"/>
    </row>
    <row r="173" spans="10:10" ht="13">
      <c r="J173" s="134"/>
    </row>
    <row r="174" spans="10:10" ht="13">
      <c r="J174" s="134"/>
    </row>
    <row r="175" spans="10:10" ht="13">
      <c r="J175" s="134"/>
    </row>
    <row r="176" spans="10:10" ht="13">
      <c r="J176" s="134"/>
    </row>
    <row r="177" spans="10:10" ht="13">
      <c r="J177" s="134"/>
    </row>
    <row r="178" spans="10:10" ht="13">
      <c r="J178" s="134"/>
    </row>
    <row r="179" spans="10:10" ht="13">
      <c r="J179" s="134"/>
    </row>
    <row r="180" spans="10:10" ht="13">
      <c r="J180" s="134"/>
    </row>
    <row r="181" spans="10:10" ht="13">
      <c r="J181" s="134"/>
    </row>
    <row r="182" spans="10:10" ht="13">
      <c r="J182" s="134"/>
    </row>
    <row r="183" spans="10:10" ht="13">
      <c r="J183" s="134"/>
    </row>
    <row r="184" spans="10:10" ht="13">
      <c r="J184" s="134"/>
    </row>
    <row r="185" spans="10:10" ht="13">
      <c r="J185" s="134"/>
    </row>
    <row r="186" spans="10:10" ht="13">
      <c r="J186" s="134"/>
    </row>
    <row r="187" spans="10:10" ht="13">
      <c r="J187" s="134"/>
    </row>
    <row r="188" spans="10:10" ht="13">
      <c r="J188" s="134"/>
    </row>
    <row r="189" spans="10:10" ht="13">
      <c r="J189" s="134"/>
    </row>
    <row r="190" spans="10:10" ht="13">
      <c r="J190" s="134"/>
    </row>
    <row r="191" spans="10:10" ht="13">
      <c r="J191" s="134"/>
    </row>
    <row r="192" spans="10:10" ht="13">
      <c r="J192" s="134"/>
    </row>
    <row r="193" spans="10:10" ht="13">
      <c r="J193" s="134"/>
    </row>
    <row r="194" spans="10:10" ht="13">
      <c r="J194" s="134"/>
    </row>
    <row r="195" spans="10:10" ht="13">
      <c r="J195" s="134"/>
    </row>
    <row r="196" spans="10:10" ht="13">
      <c r="J196" s="134"/>
    </row>
    <row r="197" spans="10:10" ht="13">
      <c r="J197" s="134"/>
    </row>
    <row r="198" spans="10:10" ht="13">
      <c r="J198" s="134"/>
    </row>
    <row r="199" spans="10:10" ht="13">
      <c r="J199" s="134"/>
    </row>
    <row r="200" spans="10:10" ht="13">
      <c r="J200" s="134"/>
    </row>
    <row r="201" spans="10:10" ht="13">
      <c r="J201" s="134"/>
    </row>
    <row r="202" spans="10:10" ht="13">
      <c r="J202" s="134"/>
    </row>
    <row r="203" spans="10:10" ht="13">
      <c r="J203" s="134"/>
    </row>
    <row r="204" spans="10:10" ht="13">
      <c r="J204" s="134"/>
    </row>
    <row r="205" spans="10:10" ht="13">
      <c r="J205" s="134"/>
    </row>
    <row r="206" spans="10:10" ht="13">
      <c r="J206" s="134"/>
    </row>
    <row r="207" spans="10:10" ht="13">
      <c r="J207" s="134"/>
    </row>
    <row r="208" spans="10:10" ht="13">
      <c r="J208" s="134"/>
    </row>
    <row r="209" spans="10:10" ht="13">
      <c r="J209" s="134"/>
    </row>
    <row r="210" spans="10:10" ht="13">
      <c r="J210" s="134"/>
    </row>
    <row r="211" spans="10:10" ht="13">
      <c r="J211" s="134"/>
    </row>
    <row r="212" spans="10:10" ht="13">
      <c r="J212" s="134"/>
    </row>
    <row r="213" spans="10:10" ht="13">
      <c r="J213" s="134"/>
    </row>
    <row r="214" spans="10:10" ht="13">
      <c r="J214" s="134"/>
    </row>
    <row r="215" spans="10:10" ht="13">
      <c r="J215" s="134"/>
    </row>
    <row r="216" spans="10:10" ht="13">
      <c r="J216" s="134"/>
    </row>
    <row r="217" spans="10:10" ht="13">
      <c r="J217" s="134"/>
    </row>
    <row r="218" spans="10:10" ht="13">
      <c r="J218" s="134"/>
    </row>
    <row r="219" spans="10:10" ht="13">
      <c r="J219" s="134"/>
    </row>
    <row r="220" spans="10:10" ht="13">
      <c r="J220" s="134"/>
    </row>
    <row r="221" spans="10:10" ht="13">
      <c r="J221" s="134"/>
    </row>
    <row r="222" spans="10:10" ht="13">
      <c r="J222" s="134"/>
    </row>
    <row r="223" spans="10:10" ht="13">
      <c r="J223" s="134"/>
    </row>
    <row r="224" spans="10:10" ht="13">
      <c r="J224" s="134"/>
    </row>
    <row r="225" spans="10:10" ht="13">
      <c r="J225" s="134"/>
    </row>
    <row r="226" spans="10:10" ht="13">
      <c r="J226" s="134"/>
    </row>
    <row r="227" spans="10:10" ht="13">
      <c r="J227" s="134"/>
    </row>
    <row r="228" spans="10:10" ht="13">
      <c r="J228" s="134"/>
    </row>
    <row r="229" spans="10:10" ht="13">
      <c r="J229" s="134"/>
    </row>
    <row r="230" spans="10:10" ht="13">
      <c r="J230" s="134"/>
    </row>
    <row r="231" spans="10:10" ht="13">
      <c r="J231" s="134"/>
    </row>
    <row r="232" spans="10:10" ht="13">
      <c r="J232" s="134"/>
    </row>
    <row r="233" spans="10:10" ht="13">
      <c r="J233" s="134"/>
    </row>
    <row r="234" spans="10:10" ht="13">
      <c r="J234" s="134"/>
    </row>
    <row r="235" spans="10:10" ht="13">
      <c r="J235" s="134"/>
    </row>
    <row r="236" spans="10:10" ht="13">
      <c r="J236" s="134"/>
    </row>
    <row r="237" spans="10:10" ht="13">
      <c r="J237" s="134"/>
    </row>
    <row r="238" spans="10:10" ht="13">
      <c r="J238" s="134"/>
    </row>
    <row r="239" spans="10:10" ht="13">
      <c r="J239" s="134"/>
    </row>
    <row r="240" spans="10:10" ht="13">
      <c r="J240" s="134"/>
    </row>
    <row r="241" spans="10:10" ht="13">
      <c r="J241" s="134"/>
    </row>
    <row r="242" spans="10:10" ht="13">
      <c r="J242" s="134"/>
    </row>
    <row r="243" spans="10:10" ht="13">
      <c r="J243" s="134"/>
    </row>
    <row r="244" spans="10:10" ht="13">
      <c r="J244" s="134"/>
    </row>
    <row r="245" spans="10:10" ht="13">
      <c r="J245" s="134"/>
    </row>
    <row r="246" spans="10:10" ht="13">
      <c r="J246" s="134"/>
    </row>
    <row r="247" spans="10:10" ht="13">
      <c r="J247" s="134"/>
    </row>
    <row r="248" spans="10:10" ht="13">
      <c r="J248" s="134"/>
    </row>
    <row r="249" spans="10:10" ht="13">
      <c r="J249" s="134"/>
    </row>
    <row r="250" spans="10:10" ht="13">
      <c r="J250" s="134"/>
    </row>
    <row r="251" spans="10:10" ht="13">
      <c r="J251" s="134"/>
    </row>
    <row r="252" spans="10:10" ht="13">
      <c r="J252" s="134"/>
    </row>
    <row r="253" spans="10:10" ht="13">
      <c r="J253" s="134"/>
    </row>
    <row r="254" spans="10:10" ht="13">
      <c r="J254" s="134"/>
    </row>
    <row r="255" spans="10:10" ht="13">
      <c r="J255" s="134"/>
    </row>
    <row r="256" spans="10:10" ht="13">
      <c r="J256" s="134"/>
    </row>
    <row r="257" spans="10:10" ht="13">
      <c r="J257" s="134"/>
    </row>
    <row r="258" spans="10:10" ht="13">
      <c r="J258" s="134"/>
    </row>
    <row r="259" spans="10:10" ht="13">
      <c r="J259" s="134"/>
    </row>
    <row r="260" spans="10:10" ht="13">
      <c r="J260" s="134"/>
    </row>
    <row r="261" spans="10:10" ht="13">
      <c r="J261" s="134"/>
    </row>
    <row r="262" spans="10:10" ht="13">
      <c r="J262" s="134"/>
    </row>
    <row r="263" spans="10:10" ht="13">
      <c r="J263" s="134"/>
    </row>
    <row r="264" spans="10:10" ht="13">
      <c r="J264" s="134"/>
    </row>
    <row r="265" spans="10:10" ht="13">
      <c r="J265" s="134"/>
    </row>
    <row r="266" spans="10:10" ht="13">
      <c r="J266" s="134"/>
    </row>
    <row r="267" spans="10:10" ht="13">
      <c r="J267" s="134"/>
    </row>
    <row r="268" spans="10:10" ht="13">
      <c r="J268" s="134"/>
    </row>
    <row r="269" spans="10:10" ht="13">
      <c r="J269" s="134"/>
    </row>
    <row r="270" spans="10:10" ht="13">
      <c r="J270" s="134"/>
    </row>
    <row r="271" spans="10:10" ht="13">
      <c r="J271" s="134"/>
    </row>
    <row r="272" spans="10:10" ht="13">
      <c r="J272" s="134"/>
    </row>
    <row r="273" spans="10:10" ht="13">
      <c r="J273" s="134"/>
    </row>
    <row r="274" spans="10:10" ht="13">
      <c r="J274" s="134"/>
    </row>
    <row r="275" spans="10:10" ht="13">
      <c r="J275" s="134"/>
    </row>
    <row r="276" spans="10:10" ht="13">
      <c r="J276" s="134"/>
    </row>
    <row r="277" spans="10:10" ht="13">
      <c r="J277" s="134"/>
    </row>
    <row r="278" spans="10:10" ht="13">
      <c r="J278" s="134"/>
    </row>
    <row r="279" spans="10:10" ht="13">
      <c r="J279" s="134"/>
    </row>
    <row r="280" spans="10:10" ht="13">
      <c r="J280" s="134"/>
    </row>
    <row r="281" spans="10:10" ht="13">
      <c r="J281" s="134"/>
    </row>
    <row r="282" spans="10:10" ht="13">
      <c r="J282" s="134"/>
    </row>
    <row r="283" spans="10:10" ht="13">
      <c r="J283" s="134"/>
    </row>
    <row r="284" spans="10:10" ht="13">
      <c r="J284" s="134"/>
    </row>
    <row r="285" spans="10:10" ht="13">
      <c r="J285" s="134"/>
    </row>
    <row r="286" spans="10:10" ht="13">
      <c r="J286" s="134"/>
    </row>
    <row r="287" spans="10:10" ht="13">
      <c r="J287" s="134"/>
    </row>
    <row r="288" spans="10:10" ht="13">
      <c r="J288" s="134"/>
    </row>
    <row r="289" spans="10:10" ht="13">
      <c r="J289" s="134"/>
    </row>
    <row r="290" spans="10:10" ht="13">
      <c r="J290" s="134"/>
    </row>
    <row r="291" spans="10:10" ht="13">
      <c r="J291" s="134"/>
    </row>
    <row r="292" spans="10:10" ht="13">
      <c r="J292" s="134"/>
    </row>
    <row r="293" spans="10:10" ht="13">
      <c r="J293" s="134"/>
    </row>
    <row r="294" spans="10:10" ht="13">
      <c r="J294" s="134"/>
    </row>
    <row r="295" spans="10:10" ht="13">
      <c r="J295" s="134"/>
    </row>
    <row r="296" spans="10:10" ht="13">
      <c r="J296" s="134"/>
    </row>
    <row r="297" spans="10:10" ht="13">
      <c r="J297" s="134"/>
    </row>
    <row r="298" spans="10:10" ht="13">
      <c r="J298" s="134"/>
    </row>
    <row r="299" spans="10:10" ht="13">
      <c r="J299" s="134"/>
    </row>
    <row r="300" spans="10:10" ht="13">
      <c r="J300" s="134"/>
    </row>
    <row r="301" spans="10:10" ht="13">
      <c r="J301" s="134"/>
    </row>
    <row r="302" spans="10:10" ht="13">
      <c r="J302" s="134"/>
    </row>
    <row r="303" spans="10:10" ht="13">
      <c r="J303" s="134"/>
    </row>
    <row r="304" spans="10:10" ht="13">
      <c r="J304" s="134"/>
    </row>
    <row r="305" spans="10:10" ht="13">
      <c r="J305" s="134"/>
    </row>
    <row r="306" spans="10:10" ht="13">
      <c r="J306" s="134"/>
    </row>
    <row r="307" spans="10:10" ht="13">
      <c r="J307" s="134"/>
    </row>
    <row r="308" spans="10:10" ht="13">
      <c r="J308" s="134"/>
    </row>
    <row r="309" spans="10:10" ht="13">
      <c r="J309" s="134"/>
    </row>
    <row r="310" spans="10:10" ht="13">
      <c r="J310" s="134"/>
    </row>
    <row r="311" spans="10:10" ht="13">
      <c r="J311" s="134"/>
    </row>
    <row r="312" spans="10:10" ht="13">
      <c r="J312" s="134"/>
    </row>
    <row r="313" spans="10:10" ht="13">
      <c r="J313" s="134"/>
    </row>
    <row r="314" spans="10:10" ht="13">
      <c r="J314" s="134"/>
    </row>
    <row r="315" spans="10:10" ht="13">
      <c r="J315" s="134"/>
    </row>
    <row r="316" spans="10:10" ht="13">
      <c r="J316" s="134"/>
    </row>
    <row r="317" spans="10:10" ht="13">
      <c r="J317" s="134"/>
    </row>
    <row r="318" spans="10:10" ht="13">
      <c r="J318" s="134"/>
    </row>
    <row r="319" spans="10:10" ht="13">
      <c r="J319" s="134"/>
    </row>
    <row r="320" spans="10:10" ht="13">
      <c r="J320" s="134"/>
    </row>
    <row r="321" spans="10:10" ht="13">
      <c r="J321" s="134"/>
    </row>
    <row r="322" spans="10:10" ht="13">
      <c r="J322" s="134"/>
    </row>
    <row r="323" spans="10:10" ht="13">
      <c r="J323" s="134"/>
    </row>
    <row r="324" spans="10:10" ht="13">
      <c r="J324" s="134"/>
    </row>
    <row r="325" spans="10:10" ht="13">
      <c r="J325" s="134"/>
    </row>
    <row r="326" spans="10:10" ht="13">
      <c r="J326" s="134"/>
    </row>
    <row r="327" spans="10:10" ht="13">
      <c r="J327" s="134"/>
    </row>
    <row r="328" spans="10:10" ht="13">
      <c r="J328" s="134"/>
    </row>
    <row r="329" spans="10:10" ht="13">
      <c r="J329" s="134"/>
    </row>
    <row r="330" spans="10:10" ht="13">
      <c r="J330" s="134"/>
    </row>
    <row r="331" spans="10:10" ht="13">
      <c r="J331" s="134"/>
    </row>
    <row r="332" spans="10:10" ht="13">
      <c r="J332" s="134"/>
    </row>
    <row r="333" spans="10:10" ht="13">
      <c r="J333" s="134"/>
    </row>
    <row r="334" spans="10:10" ht="13">
      <c r="J334" s="134"/>
    </row>
    <row r="335" spans="10:10" ht="13">
      <c r="J335" s="134"/>
    </row>
    <row r="336" spans="10:10" ht="13">
      <c r="J336" s="134"/>
    </row>
    <row r="337" spans="10:10" ht="13">
      <c r="J337" s="134"/>
    </row>
    <row r="338" spans="10:10" ht="13">
      <c r="J338" s="134"/>
    </row>
    <row r="339" spans="10:10" ht="13">
      <c r="J339" s="134"/>
    </row>
    <row r="340" spans="10:10" ht="13">
      <c r="J340" s="134"/>
    </row>
    <row r="341" spans="10:10" ht="13">
      <c r="J341" s="134"/>
    </row>
    <row r="342" spans="10:10" ht="13">
      <c r="J342" s="134"/>
    </row>
    <row r="343" spans="10:10" ht="13">
      <c r="J343" s="134"/>
    </row>
    <row r="344" spans="10:10" ht="13">
      <c r="J344" s="134"/>
    </row>
    <row r="345" spans="10:10" ht="13">
      <c r="J345" s="134"/>
    </row>
    <row r="346" spans="10:10" ht="13">
      <c r="J346" s="134"/>
    </row>
    <row r="347" spans="10:10" ht="13">
      <c r="J347" s="134"/>
    </row>
    <row r="348" spans="10:10" ht="13">
      <c r="J348" s="134"/>
    </row>
    <row r="349" spans="10:10" ht="13">
      <c r="J349" s="134"/>
    </row>
    <row r="350" spans="10:10" ht="13">
      <c r="J350" s="134"/>
    </row>
    <row r="351" spans="10:10" ht="13">
      <c r="J351" s="134"/>
    </row>
    <row r="352" spans="10:10" ht="13">
      <c r="J352" s="134"/>
    </row>
    <row r="353" spans="10:10" ht="13">
      <c r="J353" s="134"/>
    </row>
    <row r="354" spans="10:10" ht="13">
      <c r="J354" s="134"/>
    </row>
    <row r="355" spans="10:10" ht="13">
      <c r="J355" s="134"/>
    </row>
    <row r="356" spans="10:10" ht="13">
      <c r="J356" s="134"/>
    </row>
    <row r="357" spans="10:10" ht="13">
      <c r="J357" s="134"/>
    </row>
    <row r="358" spans="10:10" ht="13">
      <c r="J358" s="134"/>
    </row>
    <row r="359" spans="10:10" ht="13">
      <c r="J359" s="134"/>
    </row>
    <row r="360" spans="10:10" ht="13">
      <c r="J360" s="134"/>
    </row>
    <row r="361" spans="10:10" ht="13">
      <c r="J361" s="134"/>
    </row>
    <row r="362" spans="10:10" ht="13">
      <c r="J362" s="134"/>
    </row>
    <row r="363" spans="10:10" ht="13">
      <c r="J363" s="134"/>
    </row>
    <row r="364" spans="10:10" ht="13">
      <c r="J364" s="134"/>
    </row>
    <row r="365" spans="10:10" ht="13">
      <c r="J365" s="134"/>
    </row>
    <row r="366" spans="10:10" ht="13">
      <c r="J366" s="134"/>
    </row>
    <row r="367" spans="10:10" ht="13">
      <c r="J367" s="134"/>
    </row>
    <row r="368" spans="10:10" ht="13">
      <c r="J368" s="134"/>
    </row>
    <row r="369" spans="10:10" ht="13">
      <c r="J369" s="134"/>
    </row>
    <row r="370" spans="10:10" ht="13">
      <c r="J370" s="134"/>
    </row>
    <row r="371" spans="10:10" ht="13">
      <c r="J371" s="134"/>
    </row>
    <row r="372" spans="10:10" ht="13">
      <c r="J372" s="134"/>
    </row>
    <row r="373" spans="10:10" ht="13">
      <c r="J373" s="134"/>
    </row>
    <row r="374" spans="10:10" ht="13">
      <c r="J374" s="134"/>
    </row>
    <row r="375" spans="10:10" ht="13">
      <c r="J375" s="134"/>
    </row>
    <row r="376" spans="10:10" ht="13">
      <c r="J376" s="134"/>
    </row>
    <row r="377" spans="10:10" ht="13">
      <c r="J377" s="134"/>
    </row>
    <row r="378" spans="10:10" ht="13">
      <c r="J378" s="134"/>
    </row>
    <row r="379" spans="10:10" ht="13">
      <c r="J379" s="134"/>
    </row>
    <row r="380" spans="10:10" ht="13">
      <c r="J380" s="134"/>
    </row>
    <row r="381" spans="10:10" ht="13">
      <c r="J381" s="134"/>
    </row>
    <row r="382" spans="10:10" ht="13">
      <c r="J382" s="134"/>
    </row>
    <row r="383" spans="10:10" ht="13">
      <c r="J383" s="134"/>
    </row>
    <row r="384" spans="10:10" ht="13">
      <c r="J384" s="134"/>
    </row>
    <row r="385" spans="10:10" ht="13">
      <c r="J385" s="134"/>
    </row>
    <row r="386" spans="10:10" ht="13">
      <c r="J386" s="134"/>
    </row>
    <row r="387" spans="10:10" ht="13">
      <c r="J387" s="134"/>
    </row>
    <row r="388" spans="10:10" ht="13">
      <c r="J388" s="134"/>
    </row>
    <row r="389" spans="10:10" ht="13">
      <c r="J389" s="134"/>
    </row>
    <row r="390" spans="10:10" ht="13">
      <c r="J390" s="134"/>
    </row>
    <row r="391" spans="10:10" ht="13">
      <c r="J391" s="134"/>
    </row>
    <row r="392" spans="10:10" ht="13">
      <c r="J392" s="134"/>
    </row>
    <row r="393" spans="10:10" ht="13">
      <c r="J393" s="134"/>
    </row>
    <row r="394" spans="10:10" ht="13">
      <c r="J394" s="134"/>
    </row>
    <row r="395" spans="10:10" ht="13">
      <c r="J395" s="134"/>
    </row>
    <row r="396" spans="10:10" ht="13">
      <c r="J396" s="134"/>
    </row>
    <row r="397" spans="10:10" ht="13">
      <c r="J397" s="134"/>
    </row>
    <row r="398" spans="10:10" ht="13">
      <c r="J398" s="134"/>
    </row>
    <row r="399" spans="10:10" ht="13">
      <c r="J399" s="134"/>
    </row>
    <row r="400" spans="10:10" ht="13">
      <c r="J400" s="134"/>
    </row>
    <row r="401" spans="10:10" ht="13">
      <c r="J401" s="134"/>
    </row>
    <row r="402" spans="10:10" ht="13">
      <c r="J402" s="134"/>
    </row>
    <row r="403" spans="10:10" ht="13">
      <c r="J403" s="134"/>
    </row>
    <row r="404" spans="10:10" ht="13">
      <c r="J404" s="134"/>
    </row>
    <row r="405" spans="10:10" ht="13">
      <c r="J405" s="134"/>
    </row>
    <row r="406" spans="10:10" ht="13">
      <c r="J406" s="134"/>
    </row>
    <row r="407" spans="10:10" ht="13">
      <c r="J407" s="134"/>
    </row>
    <row r="408" spans="10:10" ht="13">
      <c r="J408" s="134"/>
    </row>
    <row r="409" spans="10:10" ht="13">
      <c r="J409" s="134"/>
    </row>
    <row r="410" spans="10:10" ht="13">
      <c r="J410" s="134"/>
    </row>
    <row r="411" spans="10:10" ht="13">
      <c r="J411" s="134"/>
    </row>
    <row r="412" spans="10:10" ht="13">
      <c r="J412" s="134"/>
    </row>
    <row r="413" spans="10:10" ht="13">
      <c r="J413" s="134"/>
    </row>
    <row r="414" spans="10:10" ht="13">
      <c r="J414" s="134"/>
    </row>
    <row r="415" spans="10:10" ht="13">
      <c r="J415" s="134"/>
    </row>
    <row r="416" spans="10:10" ht="13">
      <c r="J416" s="134"/>
    </row>
    <row r="417" spans="10:10" ht="13">
      <c r="J417" s="134"/>
    </row>
    <row r="418" spans="10:10" ht="13">
      <c r="J418" s="134"/>
    </row>
    <row r="419" spans="10:10" ht="13">
      <c r="J419" s="134"/>
    </row>
    <row r="420" spans="10:10" ht="13">
      <c r="J420" s="134"/>
    </row>
    <row r="421" spans="10:10" ht="13">
      <c r="J421" s="134"/>
    </row>
    <row r="422" spans="10:10" ht="13">
      <c r="J422" s="134"/>
    </row>
    <row r="423" spans="10:10" ht="13">
      <c r="J423" s="134"/>
    </row>
    <row r="424" spans="10:10" ht="13">
      <c r="J424" s="134"/>
    </row>
    <row r="425" spans="10:10" ht="13">
      <c r="J425" s="134"/>
    </row>
    <row r="426" spans="10:10" ht="13">
      <c r="J426" s="134"/>
    </row>
    <row r="427" spans="10:10" ht="13">
      <c r="J427" s="134"/>
    </row>
    <row r="428" spans="10:10" ht="13">
      <c r="J428" s="134"/>
    </row>
    <row r="429" spans="10:10" ht="13">
      <c r="J429" s="134"/>
    </row>
    <row r="430" spans="10:10" ht="13">
      <c r="J430" s="134"/>
    </row>
    <row r="431" spans="10:10" ht="13">
      <c r="J431" s="134"/>
    </row>
    <row r="432" spans="10:10" ht="13">
      <c r="J432" s="134"/>
    </row>
    <row r="433" spans="10:10" ht="13">
      <c r="J433" s="134"/>
    </row>
    <row r="434" spans="10:10" ht="13">
      <c r="J434" s="134"/>
    </row>
    <row r="435" spans="10:10" ht="13">
      <c r="J435" s="134"/>
    </row>
    <row r="436" spans="10:10" ht="13">
      <c r="J436" s="134"/>
    </row>
    <row r="437" spans="10:10" ht="13">
      <c r="J437" s="134"/>
    </row>
    <row r="438" spans="10:10" ht="13">
      <c r="J438" s="134"/>
    </row>
    <row r="439" spans="10:10" ht="13">
      <c r="J439" s="134"/>
    </row>
    <row r="440" spans="10:10" ht="13">
      <c r="J440" s="134"/>
    </row>
    <row r="441" spans="10:10" ht="13">
      <c r="J441" s="134"/>
    </row>
    <row r="442" spans="10:10" ht="13">
      <c r="J442" s="134"/>
    </row>
    <row r="443" spans="10:10" ht="13">
      <c r="J443" s="134"/>
    </row>
    <row r="444" spans="10:10" ht="13">
      <c r="J444" s="134"/>
    </row>
    <row r="445" spans="10:10" ht="13">
      <c r="J445" s="134"/>
    </row>
    <row r="446" spans="10:10" ht="13">
      <c r="J446" s="134"/>
    </row>
    <row r="447" spans="10:10" ht="13">
      <c r="J447" s="134"/>
    </row>
    <row r="448" spans="10:10" ht="13">
      <c r="J448" s="134"/>
    </row>
    <row r="449" spans="10:10" ht="13">
      <c r="J449" s="134"/>
    </row>
    <row r="450" spans="10:10" ht="13">
      <c r="J450" s="134"/>
    </row>
    <row r="451" spans="10:10" ht="13">
      <c r="J451" s="134"/>
    </row>
    <row r="452" spans="10:10" ht="13">
      <c r="J452" s="134"/>
    </row>
    <row r="453" spans="10:10" ht="13">
      <c r="J453" s="134"/>
    </row>
    <row r="454" spans="10:10" ht="13">
      <c r="J454" s="134"/>
    </row>
    <row r="455" spans="10:10" ht="13">
      <c r="J455" s="134"/>
    </row>
    <row r="456" spans="10:10" ht="13">
      <c r="J456" s="134"/>
    </row>
    <row r="457" spans="10:10" ht="13">
      <c r="J457" s="134"/>
    </row>
    <row r="458" spans="10:10" ht="13">
      <c r="J458" s="134"/>
    </row>
    <row r="459" spans="10:10" ht="13">
      <c r="J459" s="134"/>
    </row>
    <row r="460" spans="10:10" ht="13">
      <c r="J460" s="134"/>
    </row>
    <row r="461" spans="10:10" ht="13">
      <c r="J461" s="134"/>
    </row>
    <row r="462" spans="10:10" ht="13">
      <c r="J462" s="134"/>
    </row>
    <row r="463" spans="10:10" ht="13">
      <c r="J463" s="134"/>
    </row>
    <row r="464" spans="10:10" ht="13">
      <c r="J464" s="134"/>
    </row>
    <row r="465" spans="10:10" ht="13">
      <c r="J465" s="134"/>
    </row>
    <row r="466" spans="10:10" ht="13">
      <c r="J466" s="134"/>
    </row>
    <row r="467" spans="10:10" ht="13">
      <c r="J467" s="134"/>
    </row>
    <row r="468" spans="10:10" ht="13">
      <c r="J468" s="134"/>
    </row>
    <row r="469" spans="10:10" ht="13">
      <c r="J469" s="134"/>
    </row>
    <row r="470" spans="10:10" ht="13">
      <c r="J470" s="134"/>
    </row>
    <row r="471" spans="10:10" ht="13">
      <c r="J471" s="134"/>
    </row>
    <row r="472" spans="10:10" ht="13">
      <c r="J472" s="134"/>
    </row>
    <row r="473" spans="10:10" ht="13">
      <c r="J473" s="134"/>
    </row>
    <row r="474" spans="10:10" ht="13">
      <c r="J474" s="134"/>
    </row>
    <row r="475" spans="10:10" ht="13">
      <c r="J475" s="134"/>
    </row>
    <row r="476" spans="10:10" ht="13">
      <c r="J476" s="134"/>
    </row>
    <row r="477" spans="10:10" ht="13">
      <c r="J477" s="134"/>
    </row>
    <row r="478" spans="10:10" ht="13">
      <c r="J478" s="134"/>
    </row>
    <row r="479" spans="10:10" ht="13">
      <c r="J479" s="134"/>
    </row>
    <row r="480" spans="10:10" ht="13">
      <c r="J480" s="134"/>
    </row>
    <row r="481" spans="10:10" ht="13">
      <c r="J481" s="134"/>
    </row>
    <row r="482" spans="10:10" ht="13">
      <c r="J482" s="134"/>
    </row>
    <row r="483" spans="10:10" ht="13">
      <c r="J483" s="134"/>
    </row>
    <row r="484" spans="10:10" ht="13">
      <c r="J484" s="134"/>
    </row>
    <row r="485" spans="10:10" ht="13">
      <c r="J485" s="134"/>
    </row>
    <row r="486" spans="10:10" ht="13">
      <c r="J486" s="134"/>
    </row>
    <row r="487" spans="10:10" ht="13">
      <c r="J487" s="134"/>
    </row>
    <row r="488" spans="10:10" ht="13">
      <c r="J488" s="134"/>
    </row>
    <row r="489" spans="10:10" ht="13">
      <c r="J489" s="134"/>
    </row>
    <row r="490" spans="10:10" ht="13">
      <c r="J490" s="134"/>
    </row>
    <row r="491" spans="10:10" ht="13">
      <c r="J491" s="134"/>
    </row>
    <row r="492" spans="10:10" ht="13">
      <c r="J492" s="134"/>
    </row>
    <row r="493" spans="10:10" ht="13">
      <c r="J493" s="134"/>
    </row>
    <row r="494" spans="10:10" ht="13">
      <c r="J494" s="134"/>
    </row>
    <row r="495" spans="10:10" ht="13">
      <c r="J495" s="134"/>
    </row>
    <row r="496" spans="10:10" ht="13">
      <c r="J496" s="134"/>
    </row>
    <row r="497" spans="10:10" ht="13">
      <c r="J497" s="134"/>
    </row>
    <row r="498" spans="10:10" ht="13">
      <c r="J498" s="134"/>
    </row>
    <row r="499" spans="10:10" ht="13">
      <c r="J499" s="134"/>
    </row>
    <row r="500" spans="10:10" ht="13">
      <c r="J500" s="134"/>
    </row>
    <row r="501" spans="10:10" ht="13">
      <c r="J501" s="134"/>
    </row>
    <row r="502" spans="10:10" ht="13">
      <c r="J502" s="134"/>
    </row>
    <row r="503" spans="10:10" ht="13">
      <c r="J503" s="134"/>
    </row>
    <row r="504" spans="10:10" ht="13">
      <c r="J504" s="134"/>
    </row>
    <row r="505" spans="10:10" ht="13">
      <c r="J505" s="134"/>
    </row>
    <row r="506" spans="10:10" ht="13">
      <c r="J506" s="134"/>
    </row>
    <row r="507" spans="10:10" ht="13">
      <c r="J507" s="134"/>
    </row>
    <row r="508" spans="10:10" ht="13">
      <c r="J508" s="134"/>
    </row>
    <row r="509" spans="10:10" ht="13">
      <c r="J509" s="134"/>
    </row>
    <row r="510" spans="10:10" ht="13">
      <c r="J510" s="134"/>
    </row>
    <row r="511" spans="10:10" ht="13">
      <c r="J511" s="134"/>
    </row>
    <row r="512" spans="10:10" ht="13">
      <c r="J512" s="134"/>
    </row>
    <row r="513" spans="10:10" ht="13">
      <c r="J513" s="134"/>
    </row>
    <row r="514" spans="10:10" ht="13">
      <c r="J514" s="134"/>
    </row>
    <row r="515" spans="10:10" ht="13">
      <c r="J515" s="134"/>
    </row>
    <row r="516" spans="10:10" ht="13">
      <c r="J516" s="134"/>
    </row>
    <row r="517" spans="10:10" ht="13">
      <c r="J517" s="134"/>
    </row>
    <row r="518" spans="10:10" ht="13">
      <c r="J518" s="134"/>
    </row>
    <row r="519" spans="10:10" ht="13">
      <c r="J519" s="134"/>
    </row>
    <row r="520" spans="10:10" ht="13">
      <c r="J520" s="134"/>
    </row>
    <row r="521" spans="10:10" ht="13">
      <c r="J521" s="134"/>
    </row>
    <row r="522" spans="10:10" ht="13">
      <c r="J522" s="134"/>
    </row>
    <row r="523" spans="10:10" ht="13">
      <c r="J523" s="134"/>
    </row>
    <row r="524" spans="10:10" ht="13">
      <c r="J524" s="134"/>
    </row>
    <row r="525" spans="10:10" ht="13">
      <c r="J525" s="134"/>
    </row>
    <row r="526" spans="10:10" ht="13">
      <c r="J526" s="134"/>
    </row>
    <row r="527" spans="10:10" ht="13">
      <c r="J527" s="134"/>
    </row>
    <row r="528" spans="10:10" ht="13">
      <c r="J528" s="134"/>
    </row>
    <row r="529" spans="10:10" ht="13">
      <c r="J529" s="134"/>
    </row>
    <row r="530" spans="10:10" ht="13">
      <c r="J530" s="134"/>
    </row>
    <row r="531" spans="10:10" ht="13">
      <c r="J531" s="134"/>
    </row>
    <row r="532" spans="10:10" ht="13">
      <c r="J532" s="134"/>
    </row>
    <row r="533" spans="10:10" ht="13">
      <c r="J533" s="134"/>
    </row>
    <row r="534" spans="10:10" ht="13">
      <c r="J534" s="134"/>
    </row>
    <row r="535" spans="10:10" ht="13">
      <c r="J535" s="134"/>
    </row>
    <row r="536" spans="10:10" ht="13">
      <c r="J536" s="134"/>
    </row>
    <row r="537" spans="10:10" ht="13">
      <c r="J537" s="134"/>
    </row>
    <row r="538" spans="10:10" ht="13">
      <c r="J538" s="134"/>
    </row>
    <row r="539" spans="10:10" ht="13">
      <c r="J539" s="134"/>
    </row>
    <row r="540" spans="10:10" ht="13">
      <c r="J540" s="134"/>
    </row>
    <row r="541" spans="10:10" ht="13">
      <c r="J541" s="134"/>
    </row>
    <row r="542" spans="10:10" ht="13">
      <c r="J542" s="134"/>
    </row>
    <row r="543" spans="10:10" ht="13">
      <c r="J543" s="134"/>
    </row>
    <row r="544" spans="10:10" ht="13">
      <c r="J544" s="134"/>
    </row>
    <row r="545" spans="10:10" ht="13">
      <c r="J545" s="134"/>
    </row>
    <row r="546" spans="10:10" ht="13">
      <c r="J546" s="134"/>
    </row>
    <row r="547" spans="10:10" ht="13">
      <c r="J547" s="134"/>
    </row>
    <row r="548" spans="10:10" ht="13">
      <c r="J548" s="134"/>
    </row>
    <row r="549" spans="10:10" ht="13">
      <c r="J549" s="134"/>
    </row>
    <row r="550" spans="10:10" ht="13">
      <c r="J550" s="134"/>
    </row>
    <row r="551" spans="10:10" ht="13">
      <c r="J551" s="134"/>
    </row>
    <row r="552" spans="10:10" ht="13">
      <c r="J552" s="134"/>
    </row>
    <row r="553" spans="10:10" ht="13">
      <c r="J553" s="134"/>
    </row>
    <row r="554" spans="10:10" ht="13">
      <c r="J554" s="134"/>
    </row>
    <row r="555" spans="10:10" ht="13">
      <c r="J555" s="134"/>
    </row>
    <row r="556" spans="10:10" ht="13">
      <c r="J556" s="134"/>
    </row>
    <row r="557" spans="10:10" ht="13">
      <c r="J557" s="134"/>
    </row>
    <row r="558" spans="10:10" ht="13">
      <c r="J558" s="134"/>
    </row>
    <row r="559" spans="10:10" ht="13">
      <c r="J559" s="134"/>
    </row>
    <row r="560" spans="10:10" ht="13">
      <c r="J560" s="134"/>
    </row>
    <row r="561" spans="10:10" ht="13">
      <c r="J561" s="134"/>
    </row>
    <row r="562" spans="10:10" ht="13">
      <c r="J562" s="134"/>
    </row>
    <row r="563" spans="10:10" ht="13">
      <c r="J563" s="134"/>
    </row>
    <row r="564" spans="10:10" ht="13">
      <c r="J564" s="134"/>
    </row>
    <row r="565" spans="10:10" ht="13">
      <c r="J565" s="134"/>
    </row>
    <row r="566" spans="10:10" ht="13">
      <c r="J566" s="134"/>
    </row>
    <row r="567" spans="10:10" ht="13">
      <c r="J567" s="134"/>
    </row>
    <row r="568" spans="10:10" ht="13">
      <c r="J568" s="134"/>
    </row>
    <row r="569" spans="10:10" ht="13">
      <c r="J569" s="134"/>
    </row>
    <row r="570" spans="10:10" ht="13">
      <c r="J570" s="134"/>
    </row>
    <row r="571" spans="10:10" ht="13">
      <c r="J571" s="134"/>
    </row>
    <row r="572" spans="10:10" ht="13">
      <c r="J572" s="134"/>
    </row>
    <row r="573" spans="10:10" ht="13">
      <c r="J573" s="134"/>
    </row>
    <row r="574" spans="10:10" ht="13">
      <c r="J574" s="134"/>
    </row>
    <row r="575" spans="10:10" ht="13">
      <c r="J575" s="134"/>
    </row>
    <row r="576" spans="10:10" ht="13">
      <c r="J576" s="134"/>
    </row>
    <row r="577" spans="10:10" ht="13">
      <c r="J577" s="134"/>
    </row>
    <row r="578" spans="10:10" ht="13">
      <c r="J578" s="134"/>
    </row>
    <row r="579" spans="10:10" ht="13">
      <c r="J579" s="134"/>
    </row>
    <row r="580" spans="10:10" ht="13">
      <c r="J580" s="134"/>
    </row>
    <row r="581" spans="10:10" ht="13">
      <c r="J581" s="134"/>
    </row>
    <row r="582" spans="10:10" ht="13">
      <c r="J582" s="134"/>
    </row>
    <row r="583" spans="10:10" ht="13">
      <c r="J583" s="134"/>
    </row>
    <row r="584" spans="10:10" ht="13">
      <c r="J584" s="134"/>
    </row>
    <row r="585" spans="10:10" ht="13">
      <c r="J585" s="134"/>
    </row>
    <row r="586" spans="10:10" ht="13">
      <c r="J586" s="134"/>
    </row>
    <row r="587" spans="10:10" ht="13">
      <c r="J587" s="134"/>
    </row>
    <row r="588" spans="10:10" ht="13">
      <c r="J588" s="134"/>
    </row>
    <row r="589" spans="10:10" ht="13">
      <c r="J589" s="134"/>
    </row>
    <row r="590" spans="10:10" ht="13">
      <c r="J590" s="134"/>
    </row>
    <row r="591" spans="10:10" ht="13">
      <c r="J591" s="134"/>
    </row>
    <row r="592" spans="10:10" ht="13">
      <c r="J592" s="134"/>
    </row>
    <row r="593" spans="10:10" ht="13">
      <c r="J593" s="134"/>
    </row>
    <row r="594" spans="10:10" ht="13">
      <c r="J594" s="134"/>
    </row>
    <row r="595" spans="10:10" ht="13">
      <c r="J595" s="134"/>
    </row>
    <row r="596" spans="10:10" ht="13">
      <c r="J596" s="134"/>
    </row>
    <row r="597" spans="10:10" ht="13">
      <c r="J597" s="134"/>
    </row>
    <row r="598" spans="10:10" ht="13">
      <c r="J598" s="134"/>
    </row>
    <row r="599" spans="10:10" ht="13">
      <c r="J599" s="134"/>
    </row>
    <row r="600" spans="10:10" ht="13">
      <c r="J600" s="134"/>
    </row>
    <row r="601" spans="10:10" ht="13">
      <c r="J601" s="134"/>
    </row>
    <row r="602" spans="10:10" ht="13">
      <c r="J602" s="134"/>
    </row>
    <row r="603" spans="10:10" ht="13">
      <c r="J603" s="134"/>
    </row>
    <row r="604" spans="10:10" ht="13">
      <c r="J604" s="134"/>
    </row>
    <row r="605" spans="10:10" ht="13">
      <c r="J605" s="134"/>
    </row>
    <row r="606" spans="10:10" ht="13">
      <c r="J606" s="134"/>
    </row>
    <row r="607" spans="10:10" ht="13">
      <c r="J607" s="134"/>
    </row>
    <row r="608" spans="10:10" ht="13">
      <c r="J608" s="134"/>
    </row>
    <row r="609" spans="10:10" ht="13">
      <c r="J609" s="134"/>
    </row>
    <row r="610" spans="10:10" ht="13">
      <c r="J610" s="134"/>
    </row>
    <row r="611" spans="10:10" ht="13">
      <c r="J611" s="134"/>
    </row>
    <row r="612" spans="10:10" ht="13">
      <c r="J612" s="134"/>
    </row>
    <row r="613" spans="10:10" ht="13">
      <c r="J613" s="134"/>
    </row>
    <row r="614" spans="10:10" ht="13">
      <c r="J614" s="134"/>
    </row>
    <row r="615" spans="10:10" ht="13">
      <c r="J615" s="134"/>
    </row>
    <row r="616" spans="10:10" ht="13">
      <c r="J616" s="134"/>
    </row>
    <row r="617" spans="10:10" ht="13">
      <c r="J617" s="134"/>
    </row>
    <row r="618" spans="10:10" ht="13">
      <c r="J618" s="134"/>
    </row>
    <row r="619" spans="10:10" ht="13">
      <c r="J619" s="134"/>
    </row>
    <row r="620" spans="10:10" ht="13">
      <c r="J620" s="134"/>
    </row>
    <row r="621" spans="10:10" ht="13">
      <c r="J621" s="134"/>
    </row>
    <row r="622" spans="10:10" ht="13">
      <c r="J622" s="134"/>
    </row>
    <row r="623" spans="10:10" ht="13">
      <c r="J623" s="134"/>
    </row>
    <row r="624" spans="10:10" ht="13">
      <c r="J624" s="134"/>
    </row>
    <row r="625" spans="10:10" ht="13">
      <c r="J625" s="134"/>
    </row>
    <row r="626" spans="10:10" ht="13">
      <c r="J626" s="134"/>
    </row>
    <row r="627" spans="10:10" ht="13">
      <c r="J627" s="134"/>
    </row>
    <row r="628" spans="10:10" ht="13">
      <c r="J628" s="134"/>
    </row>
    <row r="629" spans="10:10" ht="13">
      <c r="J629" s="134"/>
    </row>
    <row r="630" spans="10:10" ht="13">
      <c r="J630" s="134"/>
    </row>
    <row r="631" spans="10:10" ht="13">
      <c r="J631" s="134"/>
    </row>
    <row r="632" spans="10:10" ht="13">
      <c r="J632" s="134"/>
    </row>
    <row r="633" spans="10:10" ht="13">
      <c r="J633" s="134"/>
    </row>
    <row r="634" spans="10:10" ht="13">
      <c r="J634" s="134"/>
    </row>
    <row r="635" spans="10:10" ht="13">
      <c r="J635" s="134"/>
    </row>
    <row r="636" spans="10:10" ht="13">
      <c r="J636" s="134"/>
    </row>
    <row r="637" spans="10:10" ht="13">
      <c r="J637" s="134"/>
    </row>
    <row r="638" spans="10:10" ht="13">
      <c r="J638" s="134"/>
    </row>
    <row r="639" spans="10:10" ht="13">
      <c r="J639" s="134"/>
    </row>
    <row r="640" spans="10:10" ht="13">
      <c r="J640" s="134"/>
    </row>
    <row r="641" spans="10:10" ht="13">
      <c r="J641" s="134"/>
    </row>
    <row r="642" spans="10:10" ht="13">
      <c r="J642" s="134"/>
    </row>
    <row r="643" spans="10:10" ht="13">
      <c r="J643" s="134"/>
    </row>
    <row r="644" spans="10:10" ht="13">
      <c r="J644" s="134"/>
    </row>
    <row r="645" spans="10:10" ht="13">
      <c r="J645" s="134"/>
    </row>
    <row r="646" spans="10:10" ht="13">
      <c r="J646" s="134"/>
    </row>
    <row r="647" spans="10:10" ht="13">
      <c r="J647" s="134"/>
    </row>
    <row r="648" spans="10:10" ht="13">
      <c r="J648" s="134"/>
    </row>
    <row r="649" spans="10:10" ht="13">
      <c r="J649" s="134"/>
    </row>
    <row r="650" spans="10:10" ht="13">
      <c r="J650" s="134"/>
    </row>
    <row r="651" spans="10:10" ht="13">
      <c r="J651" s="134"/>
    </row>
    <row r="652" spans="10:10" ht="13">
      <c r="J652" s="134"/>
    </row>
    <row r="653" spans="10:10" ht="13">
      <c r="J653" s="134"/>
    </row>
    <row r="654" spans="10:10" ht="13">
      <c r="J654" s="134"/>
    </row>
    <row r="655" spans="10:10" ht="13">
      <c r="J655" s="134"/>
    </row>
    <row r="656" spans="10:10" ht="13">
      <c r="J656" s="134"/>
    </row>
    <row r="657" spans="10:10" ht="13">
      <c r="J657" s="134"/>
    </row>
    <row r="658" spans="10:10" ht="13">
      <c r="J658" s="134"/>
    </row>
    <row r="659" spans="10:10" ht="13">
      <c r="J659" s="134"/>
    </row>
    <row r="660" spans="10:10" ht="13">
      <c r="J660" s="134"/>
    </row>
    <row r="661" spans="10:10" ht="13">
      <c r="J661" s="134"/>
    </row>
    <row r="662" spans="10:10" ht="13">
      <c r="J662" s="134"/>
    </row>
    <row r="663" spans="10:10" ht="13">
      <c r="J663" s="134"/>
    </row>
    <row r="664" spans="10:10" ht="13">
      <c r="J664" s="134"/>
    </row>
    <row r="665" spans="10:10" ht="13">
      <c r="J665" s="134"/>
    </row>
    <row r="666" spans="10:10" ht="13">
      <c r="J666" s="134"/>
    </row>
    <row r="667" spans="10:10" ht="13">
      <c r="J667" s="134"/>
    </row>
    <row r="668" spans="10:10" ht="13">
      <c r="J668" s="134"/>
    </row>
    <row r="669" spans="10:10" ht="13">
      <c r="J669" s="134"/>
    </row>
    <row r="670" spans="10:10" ht="13">
      <c r="J670" s="134"/>
    </row>
    <row r="671" spans="10:10" ht="13">
      <c r="J671" s="134"/>
    </row>
    <row r="672" spans="10:10" ht="13">
      <c r="J672" s="134"/>
    </row>
    <row r="673" spans="10:10" ht="13">
      <c r="J673" s="134"/>
    </row>
    <row r="674" spans="10:10" ht="13">
      <c r="J674" s="134"/>
    </row>
    <row r="675" spans="10:10" ht="13">
      <c r="J675" s="134"/>
    </row>
    <row r="676" spans="10:10" ht="13">
      <c r="J676" s="134"/>
    </row>
    <row r="677" spans="10:10" ht="13">
      <c r="J677" s="134"/>
    </row>
    <row r="678" spans="10:10" ht="13">
      <c r="J678" s="134"/>
    </row>
    <row r="679" spans="10:10" ht="13">
      <c r="J679" s="134"/>
    </row>
    <row r="680" spans="10:10" ht="13">
      <c r="J680" s="134"/>
    </row>
    <row r="681" spans="10:10" ht="13">
      <c r="J681" s="134"/>
    </row>
    <row r="682" spans="10:10" ht="13">
      <c r="J682" s="134"/>
    </row>
    <row r="683" spans="10:10" ht="13">
      <c r="J683" s="134"/>
    </row>
    <row r="684" spans="10:10" ht="13">
      <c r="J684" s="134"/>
    </row>
    <row r="685" spans="10:10" ht="13">
      <c r="J685" s="134"/>
    </row>
    <row r="686" spans="10:10" ht="13">
      <c r="J686" s="134"/>
    </row>
    <row r="687" spans="10:10" ht="13">
      <c r="J687" s="134"/>
    </row>
    <row r="688" spans="10:10" ht="13">
      <c r="J688" s="134"/>
    </row>
    <row r="689" spans="10:10" ht="13">
      <c r="J689" s="134"/>
    </row>
    <row r="690" spans="10:10" ht="13">
      <c r="J690" s="134"/>
    </row>
    <row r="691" spans="10:10" ht="13">
      <c r="J691" s="134"/>
    </row>
    <row r="692" spans="10:10" ht="13">
      <c r="J692" s="134"/>
    </row>
    <row r="693" spans="10:10" ht="13">
      <c r="J693" s="134"/>
    </row>
    <row r="694" spans="10:10" ht="13">
      <c r="J694" s="134"/>
    </row>
    <row r="695" spans="10:10" ht="13">
      <c r="J695" s="134"/>
    </row>
    <row r="696" spans="10:10" ht="13">
      <c r="J696" s="134"/>
    </row>
    <row r="697" spans="10:10" ht="13">
      <c r="J697" s="134"/>
    </row>
    <row r="698" spans="10:10" ht="13">
      <c r="J698" s="134"/>
    </row>
    <row r="699" spans="10:10" ht="13">
      <c r="J699" s="134"/>
    </row>
    <row r="700" spans="10:10" ht="13">
      <c r="J700" s="134"/>
    </row>
    <row r="701" spans="10:10" ht="13">
      <c r="J701" s="134"/>
    </row>
    <row r="702" spans="10:10" ht="13">
      <c r="J702" s="134"/>
    </row>
    <row r="703" spans="10:10" ht="13">
      <c r="J703" s="134"/>
    </row>
    <row r="704" spans="10:10" ht="13">
      <c r="J704" s="134"/>
    </row>
    <row r="705" spans="10:10" ht="13">
      <c r="J705" s="134"/>
    </row>
    <row r="706" spans="10:10" ht="13">
      <c r="J706" s="134"/>
    </row>
    <row r="707" spans="10:10" ht="13">
      <c r="J707" s="134"/>
    </row>
    <row r="708" spans="10:10" ht="13">
      <c r="J708" s="134"/>
    </row>
    <row r="709" spans="10:10" ht="13">
      <c r="J709" s="134"/>
    </row>
    <row r="710" spans="10:10" ht="13">
      <c r="J710" s="134"/>
    </row>
    <row r="711" spans="10:10" ht="13">
      <c r="J711" s="134"/>
    </row>
    <row r="712" spans="10:10" ht="13">
      <c r="J712" s="134"/>
    </row>
    <row r="713" spans="10:10" ht="13">
      <c r="J713" s="134"/>
    </row>
    <row r="714" spans="10:10" ht="13">
      <c r="J714" s="134"/>
    </row>
    <row r="715" spans="10:10" ht="13">
      <c r="J715" s="134"/>
    </row>
    <row r="716" spans="10:10" ht="13">
      <c r="J716" s="134"/>
    </row>
    <row r="717" spans="10:10" ht="13">
      <c r="J717" s="134"/>
    </row>
    <row r="718" spans="10:10" ht="13">
      <c r="J718" s="134"/>
    </row>
    <row r="719" spans="10:10" ht="13">
      <c r="J719" s="134"/>
    </row>
    <row r="720" spans="10:10" ht="13">
      <c r="J720" s="134"/>
    </row>
    <row r="721" spans="10:10" ht="13">
      <c r="J721" s="134"/>
    </row>
    <row r="722" spans="10:10" ht="13">
      <c r="J722" s="134"/>
    </row>
    <row r="723" spans="10:10" ht="13">
      <c r="J723" s="134"/>
    </row>
    <row r="724" spans="10:10" ht="13">
      <c r="J724" s="134"/>
    </row>
    <row r="725" spans="10:10" ht="13">
      <c r="J725" s="134"/>
    </row>
    <row r="726" spans="10:10" ht="13">
      <c r="J726" s="134"/>
    </row>
    <row r="727" spans="10:10" ht="13">
      <c r="J727" s="134"/>
    </row>
    <row r="728" spans="10:10" ht="13">
      <c r="J728" s="134"/>
    </row>
    <row r="729" spans="10:10" ht="13">
      <c r="J729" s="134"/>
    </row>
    <row r="730" spans="10:10" ht="13">
      <c r="J730" s="134"/>
    </row>
    <row r="731" spans="10:10" ht="13">
      <c r="J731" s="134"/>
    </row>
    <row r="732" spans="10:10" ht="13">
      <c r="J732" s="134"/>
    </row>
    <row r="733" spans="10:10" ht="13">
      <c r="J733" s="134"/>
    </row>
    <row r="734" spans="10:10" ht="13">
      <c r="J734" s="134"/>
    </row>
    <row r="735" spans="10:10" ht="13">
      <c r="J735" s="134"/>
    </row>
    <row r="736" spans="10:10" ht="13">
      <c r="J736" s="134"/>
    </row>
    <row r="737" spans="10:10" ht="13">
      <c r="J737" s="134"/>
    </row>
    <row r="738" spans="10:10" ht="13">
      <c r="J738" s="134"/>
    </row>
    <row r="739" spans="10:10" ht="13">
      <c r="J739" s="134"/>
    </row>
    <row r="740" spans="10:10" ht="13">
      <c r="J740" s="134"/>
    </row>
    <row r="741" spans="10:10" ht="13">
      <c r="J741" s="134"/>
    </row>
    <row r="742" spans="10:10" ht="13">
      <c r="J742" s="134"/>
    </row>
    <row r="743" spans="10:10" ht="13">
      <c r="J743" s="134"/>
    </row>
    <row r="744" spans="10:10" ht="13">
      <c r="J744" s="134"/>
    </row>
    <row r="745" spans="10:10" ht="13">
      <c r="J745" s="134"/>
    </row>
    <row r="746" spans="10:10" ht="13">
      <c r="J746" s="134"/>
    </row>
    <row r="747" spans="10:10" ht="13">
      <c r="J747" s="134"/>
    </row>
    <row r="748" spans="10:10" ht="13">
      <c r="J748" s="134"/>
    </row>
    <row r="749" spans="10:10" ht="13">
      <c r="J749" s="134"/>
    </row>
    <row r="750" spans="10:10" ht="13">
      <c r="J750" s="134"/>
    </row>
    <row r="751" spans="10:10" ht="13">
      <c r="J751" s="134"/>
    </row>
    <row r="752" spans="10:10" ht="13">
      <c r="J752" s="134"/>
    </row>
    <row r="753" spans="10:10" ht="13">
      <c r="J753" s="134"/>
    </row>
    <row r="754" spans="10:10" ht="13">
      <c r="J754" s="134"/>
    </row>
    <row r="755" spans="10:10" ht="13">
      <c r="J755" s="134"/>
    </row>
    <row r="756" spans="10:10" ht="13">
      <c r="J756" s="134"/>
    </row>
    <row r="757" spans="10:10" ht="13">
      <c r="J757" s="134"/>
    </row>
    <row r="758" spans="10:10" ht="13">
      <c r="J758" s="134"/>
    </row>
    <row r="759" spans="10:10" ht="13">
      <c r="J759" s="134"/>
    </row>
    <row r="760" spans="10:10" ht="13">
      <c r="J760" s="134"/>
    </row>
    <row r="761" spans="10:10" ht="13">
      <c r="J761" s="134"/>
    </row>
    <row r="762" spans="10:10" ht="13">
      <c r="J762" s="134"/>
    </row>
    <row r="763" spans="10:10" ht="13">
      <c r="J763" s="134"/>
    </row>
    <row r="764" spans="10:10" ht="13">
      <c r="J764" s="134"/>
    </row>
    <row r="765" spans="10:10" ht="13">
      <c r="J765" s="134"/>
    </row>
    <row r="766" spans="10:10" ht="13">
      <c r="J766" s="134"/>
    </row>
    <row r="767" spans="10:10" ht="13">
      <c r="J767" s="134"/>
    </row>
    <row r="768" spans="10:10" ht="13">
      <c r="J768" s="134"/>
    </row>
    <row r="769" spans="10:10" ht="13">
      <c r="J769" s="134"/>
    </row>
    <row r="770" spans="10:10" ht="13">
      <c r="J770" s="134"/>
    </row>
    <row r="771" spans="10:10" ht="13">
      <c r="J771" s="134"/>
    </row>
    <row r="772" spans="10:10" ht="13">
      <c r="J772" s="134"/>
    </row>
    <row r="773" spans="10:10" ht="13">
      <c r="J773" s="134"/>
    </row>
    <row r="774" spans="10:10" ht="13">
      <c r="J774" s="134"/>
    </row>
    <row r="775" spans="10:10" ht="13">
      <c r="J775" s="134"/>
    </row>
    <row r="776" spans="10:10" ht="13">
      <c r="J776" s="134"/>
    </row>
    <row r="777" spans="10:10" ht="13">
      <c r="J777" s="134"/>
    </row>
    <row r="778" spans="10:10" ht="13">
      <c r="J778" s="134"/>
    </row>
    <row r="779" spans="10:10" ht="13">
      <c r="J779" s="134"/>
    </row>
    <row r="780" spans="10:10" ht="13">
      <c r="J780" s="134"/>
    </row>
    <row r="781" spans="10:10" ht="13">
      <c r="J781" s="134"/>
    </row>
    <row r="782" spans="10:10" ht="13">
      <c r="J782" s="134"/>
    </row>
    <row r="783" spans="10:10" ht="13">
      <c r="J783" s="134"/>
    </row>
    <row r="784" spans="10:10" ht="13">
      <c r="J784" s="134"/>
    </row>
    <row r="785" spans="10:10" ht="13">
      <c r="J785" s="134"/>
    </row>
    <row r="786" spans="10:10" ht="13">
      <c r="J786" s="134"/>
    </row>
    <row r="787" spans="10:10" ht="13">
      <c r="J787" s="134"/>
    </row>
    <row r="788" spans="10:10" ht="13">
      <c r="J788" s="134"/>
    </row>
    <row r="789" spans="10:10" ht="13">
      <c r="J789" s="134"/>
    </row>
    <row r="790" spans="10:10" ht="13">
      <c r="J790" s="134"/>
    </row>
    <row r="791" spans="10:10" ht="13">
      <c r="J791" s="134"/>
    </row>
    <row r="792" spans="10:10" ht="13">
      <c r="J792" s="134"/>
    </row>
    <row r="793" spans="10:10" ht="13">
      <c r="J793" s="134"/>
    </row>
    <row r="794" spans="10:10" ht="13">
      <c r="J794" s="134"/>
    </row>
    <row r="795" spans="10:10" ht="13">
      <c r="J795" s="134"/>
    </row>
    <row r="796" spans="10:10" ht="13">
      <c r="J796" s="134"/>
    </row>
    <row r="797" spans="10:10" ht="13">
      <c r="J797" s="134"/>
    </row>
    <row r="798" spans="10:10" ht="13">
      <c r="J798" s="134"/>
    </row>
    <row r="799" spans="10:10" ht="13">
      <c r="J799" s="134"/>
    </row>
    <row r="800" spans="10:10" ht="13">
      <c r="J800" s="134"/>
    </row>
    <row r="801" spans="10:10" ht="13">
      <c r="J801" s="134"/>
    </row>
    <row r="802" spans="10:10" ht="13">
      <c r="J802" s="134"/>
    </row>
    <row r="803" spans="10:10" ht="13">
      <c r="J803" s="134"/>
    </row>
    <row r="804" spans="10:10" ht="13">
      <c r="J804" s="134"/>
    </row>
    <row r="805" spans="10:10" ht="13">
      <c r="J805" s="134"/>
    </row>
    <row r="806" spans="10:10" ht="13">
      <c r="J806" s="134"/>
    </row>
    <row r="807" spans="10:10" ht="13">
      <c r="J807" s="134"/>
    </row>
    <row r="808" spans="10:10" ht="13">
      <c r="J808" s="134"/>
    </row>
    <row r="809" spans="10:10" ht="13">
      <c r="J809" s="134"/>
    </row>
    <row r="810" spans="10:10" ht="13">
      <c r="J810" s="134"/>
    </row>
    <row r="811" spans="10:10" ht="13">
      <c r="J811" s="134"/>
    </row>
    <row r="812" spans="10:10" ht="13">
      <c r="J812" s="134"/>
    </row>
    <row r="813" spans="10:10" ht="13">
      <c r="J813" s="134"/>
    </row>
    <row r="814" spans="10:10" ht="13">
      <c r="J814" s="134"/>
    </row>
    <row r="815" spans="10:10" ht="13">
      <c r="J815" s="134"/>
    </row>
    <row r="816" spans="10:10" ht="13">
      <c r="J816" s="134"/>
    </row>
    <row r="817" spans="10:10" ht="13">
      <c r="J817" s="134"/>
    </row>
    <row r="818" spans="10:10" ht="13">
      <c r="J818" s="134"/>
    </row>
    <row r="819" spans="10:10" ht="13">
      <c r="J819" s="134"/>
    </row>
    <row r="820" spans="10:10" ht="13">
      <c r="J820" s="134"/>
    </row>
    <row r="821" spans="10:10" ht="13">
      <c r="J821" s="134"/>
    </row>
    <row r="822" spans="10:10" ht="13">
      <c r="J822" s="134"/>
    </row>
    <row r="823" spans="10:10" ht="13">
      <c r="J823" s="134"/>
    </row>
    <row r="824" spans="10:10" ht="13">
      <c r="J824" s="134"/>
    </row>
    <row r="825" spans="10:10" ht="13">
      <c r="J825" s="134"/>
    </row>
    <row r="826" spans="10:10" ht="13">
      <c r="J826" s="134"/>
    </row>
    <row r="827" spans="10:10" ht="13">
      <c r="J827" s="134"/>
    </row>
    <row r="828" spans="10:10" ht="13">
      <c r="J828" s="134"/>
    </row>
    <row r="829" spans="10:10" ht="13">
      <c r="J829" s="134"/>
    </row>
    <row r="830" spans="10:10" ht="13">
      <c r="J830" s="134"/>
    </row>
    <row r="831" spans="10:10" ht="13">
      <c r="J831" s="134"/>
    </row>
    <row r="832" spans="10:10" ht="13">
      <c r="J832" s="134"/>
    </row>
    <row r="833" spans="10:10" ht="13">
      <c r="J833" s="134"/>
    </row>
    <row r="834" spans="10:10" ht="13">
      <c r="J834" s="134"/>
    </row>
    <row r="835" spans="10:10" ht="13">
      <c r="J835" s="134"/>
    </row>
    <row r="836" spans="10:10" ht="13">
      <c r="J836" s="134"/>
    </row>
    <row r="837" spans="10:10" ht="13">
      <c r="J837" s="134"/>
    </row>
    <row r="838" spans="10:10" ht="13">
      <c r="J838" s="134"/>
    </row>
    <row r="839" spans="10:10" ht="13">
      <c r="J839" s="134"/>
    </row>
    <row r="840" spans="10:10" ht="13">
      <c r="J840" s="134"/>
    </row>
    <row r="841" spans="10:10" ht="13">
      <c r="J841" s="134"/>
    </row>
    <row r="842" spans="10:10" ht="13">
      <c r="J842" s="134"/>
    </row>
    <row r="843" spans="10:10" ht="13">
      <c r="J843" s="134"/>
    </row>
    <row r="844" spans="10:10" ht="13">
      <c r="J844" s="134"/>
    </row>
    <row r="845" spans="10:10" ht="13">
      <c r="J845" s="134"/>
    </row>
    <row r="846" spans="10:10" ht="13">
      <c r="J846" s="134"/>
    </row>
    <row r="847" spans="10:10" ht="13">
      <c r="J847" s="134"/>
    </row>
    <row r="848" spans="10:10" ht="13">
      <c r="J848" s="134"/>
    </row>
    <row r="849" spans="10:10" ht="13">
      <c r="J849" s="134"/>
    </row>
    <row r="850" spans="10:10" ht="13">
      <c r="J850" s="134"/>
    </row>
    <row r="851" spans="10:10" ht="13">
      <c r="J851" s="134"/>
    </row>
    <row r="852" spans="10:10" ht="13">
      <c r="J852" s="134"/>
    </row>
    <row r="853" spans="10:10" ht="13">
      <c r="J853" s="134"/>
    </row>
    <row r="854" spans="10:10" ht="13">
      <c r="J854" s="134"/>
    </row>
    <row r="855" spans="10:10" ht="13">
      <c r="J855" s="134"/>
    </row>
    <row r="856" spans="10:10" ht="13">
      <c r="J856" s="134"/>
    </row>
    <row r="857" spans="10:10" ht="13">
      <c r="J857" s="134"/>
    </row>
    <row r="858" spans="10:10" ht="13">
      <c r="J858" s="134"/>
    </row>
    <row r="859" spans="10:10" ht="13">
      <c r="J859" s="134"/>
    </row>
    <row r="860" spans="10:10" ht="13">
      <c r="J860" s="134"/>
    </row>
    <row r="861" spans="10:10" ht="13">
      <c r="J861" s="134"/>
    </row>
    <row r="862" spans="10:10" ht="13">
      <c r="J862" s="134"/>
    </row>
    <row r="863" spans="10:10" ht="13">
      <c r="J863" s="134"/>
    </row>
    <row r="864" spans="10:10" ht="13">
      <c r="J864" s="134"/>
    </row>
    <row r="865" spans="10:10" ht="13">
      <c r="J865" s="134"/>
    </row>
    <row r="866" spans="10:10" ht="13">
      <c r="J866" s="134"/>
    </row>
    <row r="867" spans="10:10" ht="13">
      <c r="J867" s="134"/>
    </row>
    <row r="868" spans="10:10" ht="13">
      <c r="J868" s="134"/>
    </row>
    <row r="869" spans="10:10" ht="13">
      <c r="J869" s="134"/>
    </row>
    <row r="870" spans="10:10" ht="13">
      <c r="J870" s="134"/>
    </row>
    <row r="871" spans="10:10" ht="13">
      <c r="J871" s="134"/>
    </row>
    <row r="872" spans="10:10" ht="13">
      <c r="J872" s="134"/>
    </row>
    <row r="873" spans="10:10" ht="13">
      <c r="J873" s="134"/>
    </row>
    <row r="874" spans="10:10" ht="13">
      <c r="J874" s="134"/>
    </row>
    <row r="875" spans="10:10" ht="13">
      <c r="J875" s="134"/>
    </row>
    <row r="876" spans="10:10" ht="13">
      <c r="J876" s="134"/>
    </row>
    <row r="877" spans="10:10" ht="13">
      <c r="J877" s="134"/>
    </row>
    <row r="878" spans="10:10" ht="13">
      <c r="J878" s="134"/>
    </row>
    <row r="879" spans="10:10" ht="13">
      <c r="J879" s="134"/>
    </row>
    <row r="880" spans="10:10" ht="13">
      <c r="J880" s="134"/>
    </row>
    <row r="881" spans="10:10" ht="13">
      <c r="J881" s="134"/>
    </row>
    <row r="882" spans="10:10" ht="13">
      <c r="J882" s="134"/>
    </row>
    <row r="883" spans="10:10" ht="13">
      <c r="J883" s="134"/>
    </row>
    <row r="884" spans="10:10" ht="13">
      <c r="J884" s="134"/>
    </row>
    <row r="885" spans="10:10" ht="13">
      <c r="J885" s="134"/>
    </row>
    <row r="886" spans="10:10" ht="13">
      <c r="J886" s="134"/>
    </row>
    <row r="887" spans="10:10" ht="13">
      <c r="J887" s="134"/>
    </row>
    <row r="888" spans="10:10" ht="13">
      <c r="J888" s="134"/>
    </row>
    <row r="889" spans="10:10" ht="13">
      <c r="J889" s="134"/>
    </row>
    <row r="890" spans="10:10" ht="13">
      <c r="J890" s="134"/>
    </row>
    <row r="891" spans="10:10" ht="13">
      <c r="J891" s="134"/>
    </row>
    <row r="892" spans="10:10" ht="13">
      <c r="J892" s="134"/>
    </row>
    <row r="893" spans="10:10" ht="13">
      <c r="J893" s="134"/>
    </row>
    <row r="894" spans="10:10" ht="13">
      <c r="J894" s="134"/>
    </row>
    <row r="895" spans="10:10" ht="13">
      <c r="J895" s="134"/>
    </row>
    <row r="896" spans="10:10" ht="13">
      <c r="J896" s="134"/>
    </row>
    <row r="897" spans="10:10" ht="13">
      <c r="J897" s="134"/>
    </row>
    <row r="898" spans="10:10" ht="13">
      <c r="J898" s="134"/>
    </row>
    <row r="899" spans="10:10" ht="13">
      <c r="J899" s="134"/>
    </row>
    <row r="900" spans="10:10" ht="13">
      <c r="J900" s="134"/>
    </row>
    <row r="901" spans="10:10" ht="13">
      <c r="J901" s="134"/>
    </row>
    <row r="902" spans="10:10" ht="13">
      <c r="J902" s="134"/>
    </row>
    <row r="903" spans="10:10" ht="13">
      <c r="J903" s="134"/>
    </row>
    <row r="904" spans="10:10" ht="13">
      <c r="J904" s="134"/>
    </row>
    <row r="905" spans="10:10" ht="13">
      <c r="J905" s="134"/>
    </row>
    <row r="906" spans="10:10" ht="13">
      <c r="J906" s="134"/>
    </row>
    <row r="907" spans="10:10" ht="13">
      <c r="J907" s="134"/>
    </row>
    <row r="908" spans="10:10" ht="13">
      <c r="J908" s="134"/>
    </row>
    <row r="909" spans="10:10" ht="13">
      <c r="J909" s="134"/>
    </row>
    <row r="910" spans="10:10" ht="13">
      <c r="J910" s="134"/>
    </row>
    <row r="911" spans="10:10" ht="13">
      <c r="J911" s="134"/>
    </row>
    <row r="912" spans="10:10" ht="13">
      <c r="J912" s="134"/>
    </row>
    <row r="913" spans="10:10" ht="13">
      <c r="J913" s="134"/>
    </row>
    <row r="914" spans="10:10" ht="13">
      <c r="J914" s="134"/>
    </row>
    <row r="915" spans="10:10" ht="13">
      <c r="J915" s="134"/>
    </row>
    <row r="916" spans="10:10" ht="13">
      <c r="J916" s="134"/>
    </row>
    <row r="917" spans="10:10" ht="13">
      <c r="J917" s="134"/>
    </row>
    <row r="918" spans="10:10" ht="13">
      <c r="J918" s="134"/>
    </row>
    <row r="919" spans="10:10" ht="13">
      <c r="J919" s="134"/>
    </row>
    <row r="920" spans="10:10" ht="13">
      <c r="J920" s="134"/>
    </row>
    <row r="921" spans="10:10" ht="13">
      <c r="J921" s="134"/>
    </row>
    <row r="922" spans="10:10" ht="13">
      <c r="J922" s="134"/>
    </row>
    <row r="923" spans="10:10" ht="13">
      <c r="J923" s="134"/>
    </row>
    <row r="924" spans="10:10" ht="13">
      <c r="J924" s="134"/>
    </row>
    <row r="925" spans="10:10" ht="13">
      <c r="J925" s="134"/>
    </row>
    <row r="926" spans="10:10" ht="13">
      <c r="J926" s="134"/>
    </row>
    <row r="927" spans="10:10" ht="13">
      <c r="J927" s="134"/>
    </row>
    <row r="928" spans="10:10" ht="13">
      <c r="J928" s="134"/>
    </row>
    <row r="929" spans="10:10" ht="13">
      <c r="J929" s="134"/>
    </row>
    <row r="930" spans="10:10" ht="13">
      <c r="J930" s="134"/>
    </row>
    <row r="931" spans="10:10" ht="13">
      <c r="J931" s="134"/>
    </row>
    <row r="932" spans="10:10" ht="13">
      <c r="J932" s="134"/>
    </row>
    <row r="933" spans="10:10" ht="13">
      <c r="J933" s="134"/>
    </row>
    <row r="934" spans="10:10" ht="13">
      <c r="J934" s="134"/>
    </row>
    <row r="935" spans="10:10" ht="13">
      <c r="J935" s="134"/>
    </row>
    <row r="936" spans="10:10" ht="13">
      <c r="J936" s="134"/>
    </row>
    <row r="937" spans="10:10" ht="13">
      <c r="J937" s="134"/>
    </row>
    <row r="938" spans="10:10" ht="13">
      <c r="J938" s="134"/>
    </row>
    <row r="939" spans="10:10" ht="13">
      <c r="J939" s="134"/>
    </row>
    <row r="940" spans="10:10" ht="13">
      <c r="J940" s="134"/>
    </row>
    <row r="941" spans="10:10" ht="13">
      <c r="J941" s="134"/>
    </row>
    <row r="942" spans="10:10" ht="13">
      <c r="J942" s="134"/>
    </row>
    <row r="943" spans="10:10" ht="13">
      <c r="J943" s="134"/>
    </row>
    <row r="944" spans="10:10" ht="13">
      <c r="J944" s="134"/>
    </row>
    <row r="945" spans="10:10" ht="13">
      <c r="J945" s="134"/>
    </row>
    <row r="946" spans="10:10" ht="13">
      <c r="J946" s="134"/>
    </row>
    <row r="947" spans="10:10" ht="13">
      <c r="J947" s="134"/>
    </row>
    <row r="948" spans="10:10" ht="13">
      <c r="J948" s="134"/>
    </row>
    <row r="949" spans="10:10" ht="13">
      <c r="J949" s="134"/>
    </row>
    <row r="950" spans="10:10" ht="13">
      <c r="J950" s="134"/>
    </row>
    <row r="951" spans="10:10" ht="13">
      <c r="J951" s="134"/>
    </row>
    <row r="952" spans="10:10" ht="13">
      <c r="J952" s="134"/>
    </row>
    <row r="953" spans="10:10" ht="13">
      <c r="J953" s="134"/>
    </row>
    <row r="954" spans="10:10" ht="13">
      <c r="J954" s="134"/>
    </row>
    <row r="955" spans="10:10" ht="13">
      <c r="J955" s="134"/>
    </row>
    <row r="956" spans="10:10" ht="13">
      <c r="J956" s="134"/>
    </row>
    <row r="957" spans="10:10" ht="13">
      <c r="J957" s="134"/>
    </row>
    <row r="958" spans="10:10" ht="13">
      <c r="J958" s="134"/>
    </row>
    <row r="959" spans="10:10" ht="13">
      <c r="J959" s="134"/>
    </row>
    <row r="960" spans="10:10" ht="13">
      <c r="J960" s="134"/>
    </row>
    <row r="961" spans="10:10" ht="13">
      <c r="J961" s="134"/>
    </row>
    <row r="962" spans="10:10" ht="13">
      <c r="J962" s="134"/>
    </row>
    <row r="963" spans="10:10" ht="13">
      <c r="J963" s="134"/>
    </row>
    <row r="964" spans="10:10" ht="13">
      <c r="J964" s="134"/>
    </row>
    <row r="965" spans="10:10" ht="13">
      <c r="J965" s="134"/>
    </row>
    <row r="966" spans="10:10" ht="13">
      <c r="J966" s="134"/>
    </row>
    <row r="967" spans="10:10" ht="13">
      <c r="J967" s="134"/>
    </row>
    <row r="968" spans="10:10" ht="13">
      <c r="J968" s="134"/>
    </row>
    <row r="969" spans="10:10" ht="13">
      <c r="J969" s="134"/>
    </row>
    <row r="970" spans="10:10" ht="13">
      <c r="J970" s="134"/>
    </row>
    <row r="971" spans="10:10" ht="13">
      <c r="J971" s="134"/>
    </row>
    <row r="972" spans="10:10" ht="13">
      <c r="J972" s="134"/>
    </row>
    <row r="973" spans="10:10" ht="13">
      <c r="J973" s="134"/>
    </row>
    <row r="974" spans="10:10" ht="13">
      <c r="J974" s="134"/>
    </row>
    <row r="975" spans="10:10" ht="13">
      <c r="J975" s="134"/>
    </row>
    <row r="976" spans="10:10" ht="13">
      <c r="J976" s="134"/>
    </row>
    <row r="977" spans="10:10" ht="13">
      <c r="J977" s="13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V994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/>
  <cols>
    <col min="1" max="1" width="6.6640625" customWidth="1"/>
    <col min="2" max="2" width="27.6640625" customWidth="1"/>
    <col min="3" max="9" width="10.83203125" customWidth="1"/>
    <col min="10" max="11" width="11.6640625" customWidth="1"/>
    <col min="12" max="12" width="10.1640625" customWidth="1"/>
    <col min="13" max="13" width="9.1640625" customWidth="1"/>
    <col min="14" max="14" width="10.5" customWidth="1"/>
    <col min="15" max="15" width="9.5" customWidth="1"/>
    <col min="16" max="16" width="10" customWidth="1"/>
    <col min="17" max="17" width="12.5" customWidth="1"/>
    <col min="19" max="19" width="9" customWidth="1"/>
    <col min="20" max="20" width="11.6640625" customWidth="1"/>
    <col min="21" max="22" width="9.6640625" customWidth="1"/>
    <col min="23" max="23" width="12.83203125" customWidth="1"/>
    <col min="24" max="24" width="2.33203125" customWidth="1"/>
    <col min="26" max="26" width="14.1640625" customWidth="1"/>
    <col min="28" max="28" width="2.5" customWidth="1"/>
    <col min="31" max="33" width="11.6640625" customWidth="1"/>
    <col min="34" max="34" width="3.6640625" customWidth="1"/>
    <col min="35" max="35" width="16.6640625" customWidth="1"/>
    <col min="40" max="40" width="3.83203125" customWidth="1"/>
    <col min="42" max="42" width="16.6640625" customWidth="1"/>
    <col min="45" max="45" width="3.6640625" customWidth="1"/>
    <col min="46" max="48" width="15.6640625" customWidth="1"/>
  </cols>
  <sheetData>
    <row r="1" spans="1:48" ht="16">
      <c r="A1" s="149"/>
      <c r="B1" s="149"/>
      <c r="C1" s="150"/>
      <c r="D1" s="150"/>
      <c r="E1" s="150"/>
      <c r="F1" s="150"/>
      <c r="G1" s="150"/>
      <c r="H1" s="151"/>
      <c r="I1" s="318" t="s">
        <v>37</v>
      </c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Y1" s="318" t="s">
        <v>63</v>
      </c>
      <c r="Z1" s="319"/>
      <c r="AA1" s="319"/>
      <c r="AC1" s="318" t="s">
        <v>117</v>
      </c>
      <c r="AD1" s="319"/>
      <c r="AE1" s="319"/>
      <c r="AF1" s="319"/>
      <c r="AG1" s="319"/>
      <c r="AI1" s="318" t="s">
        <v>76</v>
      </c>
      <c r="AJ1" s="319"/>
      <c r="AK1" s="319"/>
      <c r="AL1" s="151"/>
      <c r="AM1" s="151"/>
      <c r="AO1" s="318" t="s">
        <v>118</v>
      </c>
      <c r="AP1" s="319"/>
      <c r="AQ1" s="319"/>
      <c r="AR1" s="151"/>
      <c r="AS1" s="81"/>
      <c r="AT1" s="152"/>
      <c r="AU1" s="152"/>
      <c r="AV1" s="152"/>
    </row>
    <row r="2" spans="1:48" ht="13">
      <c r="A2" s="320" t="s">
        <v>119</v>
      </c>
      <c r="B2" s="321"/>
      <c r="C2" s="153" t="s">
        <v>56</v>
      </c>
      <c r="D2" s="153" t="s">
        <v>120</v>
      </c>
      <c r="E2" s="153" t="s">
        <v>121</v>
      </c>
      <c r="F2" s="153" t="s">
        <v>122</v>
      </c>
      <c r="G2" s="153" t="s">
        <v>123</v>
      </c>
      <c r="H2" s="153" t="s">
        <v>124</v>
      </c>
      <c r="I2" s="153" t="s">
        <v>50</v>
      </c>
      <c r="J2" s="153" t="s">
        <v>125</v>
      </c>
      <c r="K2" s="153" t="s">
        <v>41</v>
      </c>
      <c r="L2" s="153" t="s">
        <v>126</v>
      </c>
      <c r="M2" s="153" t="s">
        <v>127</v>
      </c>
      <c r="N2" s="153" t="s">
        <v>45</v>
      </c>
      <c r="O2" s="153" t="s">
        <v>128</v>
      </c>
      <c r="P2" s="153" t="s">
        <v>129</v>
      </c>
      <c r="Q2" s="153" t="s">
        <v>46</v>
      </c>
      <c r="R2" s="153" t="s">
        <v>130</v>
      </c>
      <c r="S2" s="153" t="s">
        <v>48</v>
      </c>
      <c r="T2" s="153" t="s">
        <v>131</v>
      </c>
      <c r="U2" s="153" t="s">
        <v>132</v>
      </c>
      <c r="V2" s="153" t="s">
        <v>51</v>
      </c>
      <c r="W2" s="153" t="s">
        <v>133</v>
      </c>
      <c r="X2" s="154"/>
      <c r="Y2" s="155" t="s">
        <v>65</v>
      </c>
      <c r="Z2" s="156" t="s">
        <v>66</v>
      </c>
      <c r="AA2" s="157" t="s">
        <v>67</v>
      </c>
      <c r="AB2" s="50"/>
      <c r="AC2" s="158" t="s">
        <v>134</v>
      </c>
      <c r="AD2" s="155" t="s">
        <v>71</v>
      </c>
      <c r="AE2" s="155" t="s">
        <v>135</v>
      </c>
      <c r="AF2" s="155" t="s">
        <v>136</v>
      </c>
      <c r="AG2" s="155" t="s">
        <v>75</v>
      </c>
      <c r="AH2" s="159"/>
      <c r="AI2" s="155" t="s">
        <v>137</v>
      </c>
      <c r="AJ2" s="155" t="s">
        <v>138</v>
      </c>
      <c r="AK2" s="155" t="s">
        <v>78</v>
      </c>
      <c r="AL2" s="155" t="s">
        <v>139</v>
      </c>
      <c r="AM2" s="155" t="s">
        <v>80</v>
      </c>
      <c r="AN2" s="160"/>
      <c r="AO2" s="158" t="s">
        <v>73</v>
      </c>
      <c r="AP2" s="157" t="s">
        <v>140</v>
      </c>
      <c r="AQ2" s="157" t="s">
        <v>84</v>
      </c>
      <c r="AR2" s="161" t="s">
        <v>141</v>
      </c>
      <c r="AS2" s="162"/>
      <c r="AT2" s="106"/>
      <c r="AU2" s="106"/>
      <c r="AV2" s="106"/>
    </row>
    <row r="3" spans="1:48" ht="17.25" customHeight="1">
      <c r="A3" s="322" t="s">
        <v>142</v>
      </c>
      <c r="B3" s="321"/>
      <c r="C3" s="163">
        <f t="shared" ref="C3:C4" si="0">231837.91/12</f>
        <v>19319.825833333332</v>
      </c>
      <c r="D3" s="163">
        <f>107543.76/12</f>
        <v>8961.98</v>
      </c>
      <c r="E3" s="163">
        <f>75349.2/12</f>
        <v>6279.0999999999995</v>
      </c>
      <c r="F3" s="163">
        <f>115456.3/12</f>
        <v>9621.3583333333336</v>
      </c>
      <c r="G3" s="163">
        <v>0</v>
      </c>
      <c r="H3" s="163">
        <v>37712</v>
      </c>
      <c r="I3" s="163">
        <f>3132747.07/12</f>
        <v>261062.25583333333</v>
      </c>
      <c r="J3" s="163">
        <f>672555.97/12</f>
        <v>56046.330833333333</v>
      </c>
      <c r="K3" s="163">
        <f>1727530.9/12</f>
        <v>143960.90833333333</v>
      </c>
      <c r="L3" s="163">
        <f>1443030/12</f>
        <v>120252.5</v>
      </c>
      <c r="M3" s="163">
        <f t="shared" ref="M3:M4" si="1">141120/12</f>
        <v>11760</v>
      </c>
      <c r="N3" s="163">
        <f>247620/12</f>
        <v>20635</v>
      </c>
      <c r="O3" s="163">
        <f t="shared" ref="O3:O4" si="2">77551.35/12</f>
        <v>6462.6125000000002</v>
      </c>
      <c r="P3" s="163">
        <f>541317.35/12</f>
        <v>45109.779166666667</v>
      </c>
      <c r="Q3" s="163">
        <f t="shared" ref="Q3:Q4" si="3">145189.45/12</f>
        <v>12099.120833333334</v>
      </c>
      <c r="R3" s="163">
        <f>1025987.37/12</f>
        <v>85498.947499999995</v>
      </c>
      <c r="S3" s="163">
        <f t="shared" ref="S3:S4" si="4">254419.6/12</f>
        <v>21201.633333333335</v>
      </c>
      <c r="T3" s="163">
        <f t="shared" ref="T3:T4" si="5">108500/12</f>
        <v>9041.6666666666661</v>
      </c>
      <c r="U3" s="163">
        <f>100872.9/12</f>
        <v>8406.0749999999989</v>
      </c>
      <c r="V3" s="163">
        <f>122341.43/12</f>
        <v>10195.119166666665</v>
      </c>
      <c r="W3" s="163">
        <f t="shared" ref="W3:W4" si="6">108000/12</f>
        <v>9000</v>
      </c>
      <c r="X3" s="164"/>
      <c r="Y3" s="165">
        <f>7441060.31/12</f>
        <v>620088.35916666663</v>
      </c>
      <c r="Z3" s="165">
        <f t="shared" ref="Z3:Z4" si="7">1164623.41/12</f>
        <v>97051.950833333321</v>
      </c>
      <c r="AA3" s="165">
        <f>222272.01/12</f>
        <v>18522.6675</v>
      </c>
      <c r="AB3" s="166"/>
      <c r="AC3" s="167">
        <f>3891384/12</f>
        <v>324282</v>
      </c>
      <c r="AD3" s="165">
        <f t="shared" ref="AD3:AD4" si="8">199127/12</f>
        <v>16593.916666666668</v>
      </c>
      <c r="AE3" s="165">
        <f>34800/12</f>
        <v>2900</v>
      </c>
      <c r="AF3" s="165">
        <v>5580</v>
      </c>
      <c r="AG3" s="165">
        <f>88105/12</f>
        <v>7342.083333333333</v>
      </c>
      <c r="AH3" s="168"/>
      <c r="AI3" s="169">
        <f>311698/12</f>
        <v>25974.833333333332</v>
      </c>
      <c r="AJ3" s="169">
        <f>1299497.16/12</f>
        <v>108291.43</v>
      </c>
      <c r="AK3" s="169">
        <f t="shared" ref="AK3:AK4" si="9">22140/12</f>
        <v>1845</v>
      </c>
      <c r="AL3" s="169">
        <f>130783/12</f>
        <v>10898.583333333334</v>
      </c>
      <c r="AM3" s="169">
        <f>3818677/12</f>
        <v>318223.08333333331</v>
      </c>
      <c r="AN3" s="166"/>
      <c r="AO3" s="169">
        <f>270120/12</f>
        <v>22510</v>
      </c>
      <c r="AP3" s="170">
        <f>460246.81/12</f>
        <v>38353.900833333333</v>
      </c>
      <c r="AQ3" s="171">
        <f t="shared" ref="AQ3:AQ4" si="10">496800/12</f>
        <v>41400</v>
      </c>
      <c r="AR3" s="172">
        <f>50250/12</f>
        <v>4187.5</v>
      </c>
      <c r="AS3" s="173"/>
      <c r="AT3" s="69"/>
      <c r="AU3" s="69"/>
      <c r="AV3" s="69"/>
    </row>
    <row r="4" spans="1:48" ht="15" customHeight="1">
      <c r="A4" s="320" t="s">
        <v>143</v>
      </c>
      <c r="B4" s="321"/>
      <c r="C4" s="163">
        <f t="shared" si="0"/>
        <v>19319.825833333332</v>
      </c>
      <c r="D4" s="174">
        <f>81201.27/12</f>
        <v>6766.7725</v>
      </c>
      <c r="E4" s="174">
        <f>104461.56/12</f>
        <v>8705.1299999999992</v>
      </c>
      <c r="F4" s="174">
        <f>89061.62/12</f>
        <v>7421.8016666666663</v>
      </c>
      <c r="G4" s="174">
        <v>0</v>
      </c>
      <c r="H4" s="174">
        <v>0</v>
      </c>
      <c r="I4" s="174">
        <f>2242086.98/12</f>
        <v>186840.58166666667</v>
      </c>
      <c r="J4" s="174">
        <f>552780.75/12</f>
        <v>46065.0625</v>
      </c>
      <c r="K4" s="174">
        <f>1731914.37/12</f>
        <v>144326.19750000001</v>
      </c>
      <c r="L4" s="174">
        <f>1385460/12</f>
        <v>115455</v>
      </c>
      <c r="M4" s="163">
        <f t="shared" si="1"/>
        <v>11760</v>
      </c>
      <c r="N4" s="174">
        <f>227060/12</f>
        <v>18921.666666666668</v>
      </c>
      <c r="O4" s="163">
        <f t="shared" si="2"/>
        <v>6462.6125000000002</v>
      </c>
      <c r="P4" s="174">
        <f>541507.34/12</f>
        <v>45125.611666666664</v>
      </c>
      <c r="Q4" s="163">
        <f t="shared" si="3"/>
        <v>12099.120833333334</v>
      </c>
      <c r="R4" s="174">
        <f>598896.67/12</f>
        <v>49908.055833333339</v>
      </c>
      <c r="S4" s="163">
        <f t="shared" si="4"/>
        <v>21201.633333333335</v>
      </c>
      <c r="T4" s="163">
        <f t="shared" si="5"/>
        <v>9041.6666666666661</v>
      </c>
      <c r="U4" s="174">
        <f>105052.8/12</f>
        <v>8754.4</v>
      </c>
      <c r="V4" s="174">
        <f>119038.28/12</f>
        <v>9919.8566666666666</v>
      </c>
      <c r="W4" s="163">
        <f t="shared" si="6"/>
        <v>9000</v>
      </c>
      <c r="X4" s="164"/>
      <c r="Y4" s="165">
        <f>7431179.15/12</f>
        <v>619264.9291666667</v>
      </c>
      <c r="Z4" s="165">
        <f t="shared" si="7"/>
        <v>97051.950833333321</v>
      </c>
      <c r="AA4" s="165">
        <f>222991.21/12</f>
        <v>18582.600833333334</v>
      </c>
      <c r="AB4" s="166"/>
      <c r="AC4" s="167">
        <f>3804813.12/12</f>
        <v>317067.76</v>
      </c>
      <c r="AD4" s="165">
        <f t="shared" si="8"/>
        <v>16593.916666666668</v>
      </c>
      <c r="AE4" s="165">
        <f>44800/12</f>
        <v>3733.3333333333335</v>
      </c>
      <c r="AF4" s="165">
        <v>5580</v>
      </c>
      <c r="AG4" s="165">
        <f>93781/12</f>
        <v>7815.083333333333</v>
      </c>
      <c r="AH4" s="168"/>
      <c r="AI4" s="167">
        <f>312927/12</f>
        <v>26077.25</v>
      </c>
      <c r="AJ4" s="167">
        <f>1244692.4/12</f>
        <v>103724.36666666665</v>
      </c>
      <c r="AK4" s="169">
        <f t="shared" si="9"/>
        <v>1845</v>
      </c>
      <c r="AL4" s="169">
        <f>130983/12</f>
        <v>10915.25</v>
      </c>
      <c r="AM4" s="169">
        <f>3842756/12</f>
        <v>320229.66666666669</v>
      </c>
      <c r="AN4" s="166"/>
      <c r="AO4" s="167">
        <f>266200/12</f>
        <v>22183.333333333332</v>
      </c>
      <c r="AP4" s="165">
        <f>459166.91/12</f>
        <v>38263.909166666665</v>
      </c>
      <c r="AQ4" s="171">
        <f t="shared" si="10"/>
        <v>41400</v>
      </c>
      <c r="AR4" s="169">
        <f>59750/12</f>
        <v>4979.166666666667</v>
      </c>
      <c r="AS4" s="173"/>
      <c r="AT4" s="69">
        <f>SUM(C4:AR4)</f>
        <v>2392402.5125000002</v>
      </c>
      <c r="AU4" s="69"/>
      <c r="AV4" s="69"/>
    </row>
    <row r="5" spans="1:48" ht="15" customHeight="1">
      <c r="A5" s="99"/>
      <c r="B5" s="99" t="s">
        <v>144</v>
      </c>
      <c r="C5" s="174">
        <f t="shared" ref="C5:W5" si="11">C3-C4</f>
        <v>0</v>
      </c>
      <c r="D5" s="174">
        <f t="shared" si="11"/>
        <v>2195.2074999999995</v>
      </c>
      <c r="E5" s="174">
        <f t="shared" si="11"/>
        <v>-2426.0299999999997</v>
      </c>
      <c r="F5" s="174">
        <f t="shared" si="11"/>
        <v>2199.5566666666673</v>
      </c>
      <c r="G5" s="174">
        <f t="shared" si="11"/>
        <v>0</v>
      </c>
      <c r="H5" s="174">
        <f t="shared" si="11"/>
        <v>37712</v>
      </c>
      <c r="I5" s="174">
        <f t="shared" si="11"/>
        <v>74221.674166666664</v>
      </c>
      <c r="J5" s="174">
        <f t="shared" si="11"/>
        <v>9981.2683333333334</v>
      </c>
      <c r="K5" s="174">
        <f t="shared" si="11"/>
        <v>-365.28916666668374</v>
      </c>
      <c r="L5" s="174">
        <f t="shared" si="11"/>
        <v>4797.5</v>
      </c>
      <c r="M5" s="174">
        <f t="shared" si="11"/>
        <v>0</v>
      </c>
      <c r="N5" s="174">
        <f t="shared" si="11"/>
        <v>1713.3333333333321</v>
      </c>
      <c r="O5" s="174">
        <f t="shared" si="11"/>
        <v>0</v>
      </c>
      <c r="P5" s="174">
        <f t="shared" si="11"/>
        <v>-15.832499999996799</v>
      </c>
      <c r="Q5" s="174">
        <f t="shared" si="11"/>
        <v>0</v>
      </c>
      <c r="R5" s="174">
        <f t="shared" si="11"/>
        <v>35590.891666666656</v>
      </c>
      <c r="S5" s="174">
        <f t="shared" si="11"/>
        <v>0</v>
      </c>
      <c r="T5" s="174">
        <f t="shared" si="11"/>
        <v>0</v>
      </c>
      <c r="U5" s="174">
        <f t="shared" si="11"/>
        <v>-348.32500000000073</v>
      </c>
      <c r="V5" s="174">
        <f t="shared" si="11"/>
        <v>275.26249999999891</v>
      </c>
      <c r="W5" s="174">
        <f t="shared" si="11"/>
        <v>0</v>
      </c>
      <c r="X5" s="175"/>
      <c r="Y5" s="174">
        <f t="shared" ref="Y5:AA5" si="12">Y3-Y4</f>
        <v>823.42999999993481</v>
      </c>
      <c r="Z5" s="174">
        <f t="shared" si="12"/>
        <v>0</v>
      </c>
      <c r="AA5" s="174">
        <f t="shared" si="12"/>
        <v>-59.933333333334303</v>
      </c>
      <c r="AB5" s="175"/>
      <c r="AC5" s="174">
        <f t="shared" ref="AC5:AG5" si="13">AC3-AC4</f>
        <v>7214.2399999999907</v>
      </c>
      <c r="AD5" s="174">
        <f t="shared" si="13"/>
        <v>0</v>
      </c>
      <c r="AE5" s="174">
        <f t="shared" si="13"/>
        <v>-833.33333333333348</v>
      </c>
      <c r="AF5" s="174">
        <f t="shared" si="13"/>
        <v>0</v>
      </c>
      <c r="AG5" s="174">
        <f t="shared" si="13"/>
        <v>-473</v>
      </c>
      <c r="AH5" s="176"/>
      <c r="AI5" s="174">
        <f t="shared" ref="AI5:AM5" si="14">AI3-AI4</f>
        <v>-102.41666666666788</v>
      </c>
      <c r="AJ5" s="174">
        <f t="shared" si="14"/>
        <v>4567.063333333339</v>
      </c>
      <c r="AK5" s="174">
        <f t="shared" si="14"/>
        <v>0</v>
      </c>
      <c r="AL5" s="174">
        <f t="shared" si="14"/>
        <v>-16.66666666666606</v>
      </c>
      <c r="AM5" s="174">
        <f t="shared" si="14"/>
        <v>-2006.5833333333721</v>
      </c>
      <c r="AN5" s="175"/>
      <c r="AO5" s="174">
        <f t="shared" ref="AO5:AR5" si="15">AO3-AO4</f>
        <v>326.66666666666788</v>
      </c>
      <c r="AP5" s="174">
        <f t="shared" si="15"/>
        <v>89.991666666668607</v>
      </c>
      <c r="AQ5" s="174">
        <f t="shared" si="15"/>
        <v>0</v>
      </c>
      <c r="AR5" s="174">
        <f t="shared" si="15"/>
        <v>-791.66666666666697</v>
      </c>
      <c r="AS5" s="173"/>
      <c r="AT5" s="69"/>
      <c r="AU5" s="69"/>
      <c r="AV5" s="69"/>
    </row>
    <row r="6" spans="1:48" ht="15" customHeight="1">
      <c r="A6" s="320" t="s">
        <v>145</v>
      </c>
      <c r="B6" s="321"/>
      <c r="C6" s="177">
        <f>56100/12</f>
        <v>4675</v>
      </c>
      <c r="D6" s="177">
        <f t="shared" ref="D6:E6" si="16">1000/12</f>
        <v>83.333333333333329</v>
      </c>
      <c r="E6" s="177">
        <f t="shared" si="16"/>
        <v>83.333333333333329</v>
      </c>
      <c r="F6" s="177">
        <f>18600/12</f>
        <v>1550</v>
      </c>
      <c r="G6" s="177"/>
      <c r="H6" s="177">
        <f>64950/12</f>
        <v>5412.5</v>
      </c>
      <c r="I6" s="177">
        <f>90400/12</f>
        <v>7533.333333333333</v>
      </c>
      <c r="J6" s="177">
        <f>27300/12</f>
        <v>2275</v>
      </c>
      <c r="K6" s="177">
        <f>89100/12</f>
        <v>7425</v>
      </c>
      <c r="L6" s="177">
        <f>18700/12</f>
        <v>1558.3333333333333</v>
      </c>
      <c r="M6" s="177">
        <f>2000/12</f>
        <v>166.66666666666666</v>
      </c>
      <c r="N6" s="177">
        <f>24400/12</f>
        <v>2033.3333333333333</v>
      </c>
      <c r="O6" s="177">
        <f>1000/12</f>
        <v>83.333333333333329</v>
      </c>
      <c r="P6" s="174">
        <f>7150/12</f>
        <v>595.83333333333337</v>
      </c>
      <c r="Q6" s="174">
        <f>20600/12</f>
        <v>1716.6666666666667</v>
      </c>
      <c r="R6" s="177">
        <f>5600/12</f>
        <v>466.66666666666669</v>
      </c>
      <c r="S6" s="177">
        <f>21200/12</f>
        <v>1766.6666666666667</v>
      </c>
      <c r="T6" s="177">
        <f>1200/12</f>
        <v>100</v>
      </c>
      <c r="U6" s="177"/>
      <c r="V6" s="177"/>
      <c r="W6" s="178">
        <f>1000/12</f>
        <v>83.333333333333329</v>
      </c>
      <c r="X6" s="164"/>
      <c r="Y6" s="179">
        <f>102200/12</f>
        <v>8516.6666666666661</v>
      </c>
      <c r="Z6" s="179">
        <f>5400/12</f>
        <v>450</v>
      </c>
      <c r="AA6" s="179"/>
      <c r="AB6" s="166"/>
      <c r="AC6" s="167">
        <f>(306650+19200)/12</f>
        <v>27154.166666666668</v>
      </c>
      <c r="AD6" s="165"/>
      <c r="AE6" s="165"/>
      <c r="AF6" s="165">
        <f>400/12</f>
        <v>33.333333333333336</v>
      </c>
      <c r="AG6" s="165"/>
      <c r="AH6" s="168"/>
      <c r="AI6" s="167">
        <f>9800/12</f>
        <v>816.66666666666663</v>
      </c>
      <c r="AJ6" s="167"/>
      <c r="AK6" s="167"/>
      <c r="AL6" s="167">
        <f>2800/12</f>
        <v>233.33333333333334</v>
      </c>
      <c r="AM6" s="167"/>
      <c r="AN6" s="166"/>
      <c r="AO6" s="180"/>
      <c r="AP6" s="179"/>
      <c r="AQ6" s="179"/>
      <c r="AR6" s="172"/>
      <c r="AS6" s="173"/>
      <c r="AT6" s="69"/>
      <c r="AU6" s="69"/>
      <c r="AV6" s="69"/>
    </row>
    <row r="7" spans="1:48" ht="13">
      <c r="A7" s="325" t="s">
        <v>146</v>
      </c>
      <c r="B7" s="153" t="s">
        <v>147</v>
      </c>
      <c r="C7" s="181">
        <f>Монолит!I3+Монолит!I4+Монолит!I5</f>
        <v>8594.7593716201591</v>
      </c>
      <c r="D7" s="181">
        <f>Усадьба!I3</f>
        <v>1496.6355140186915</v>
      </c>
      <c r="E7" s="181">
        <f>Тобол!I3+Тобол!I4</f>
        <v>2346.2688473520247</v>
      </c>
      <c r="F7" s="181">
        <f>Высота!I3+Высота!I4</f>
        <v>5986.8146766169148</v>
      </c>
      <c r="G7" s="181">
        <f>Вавилон!I3</f>
        <v>0</v>
      </c>
      <c r="H7" s="181">
        <f>Электрон!I3+Электрон!I4</f>
        <v>849.63333333333333</v>
      </c>
      <c r="I7" s="181">
        <f>Запад!I3+Запад!I4+Запад!I5</f>
        <v>67133.294185613981</v>
      </c>
      <c r="J7" s="181">
        <f>Ирида!I3+Ирида!I4+Ирида!I5</f>
        <v>6927.2695652173916</v>
      </c>
      <c r="K7" s="181">
        <f>ЖСУ!I3+ЖСУ!I4</f>
        <v>29915.426086956522</v>
      </c>
      <c r="L7" s="181">
        <f>Суходолье!I3+Суходолье!I4</f>
        <v>3700.9336650082914</v>
      </c>
      <c r="M7" s="181">
        <f>'УК линейная'!I3</f>
        <v>1057.4096185737976</v>
      </c>
      <c r="N7" s="181">
        <f>'Аурика '!I3+'Аурика '!I4</f>
        <v>1850.4668325041457</v>
      </c>
      <c r="O7" s="181">
        <f>'Надежное управление'!I3+'Надежное управление'!I5</f>
        <v>660.88101160862357</v>
      </c>
      <c r="P7" s="181">
        <f>'ЖЭУ 9'!I3+'ЖЭУ 9'!I4</f>
        <v>2379.1716417910447</v>
      </c>
      <c r="Q7" s="181">
        <f>'УК на Ткацком'!I3</f>
        <v>528.70480928689881</v>
      </c>
      <c r="R7" s="181">
        <f>'УК на пражской'!I3+'УК на пражской'!I4</f>
        <v>14067.253565505804</v>
      </c>
      <c r="S7" s="181">
        <f>ТЭСК!I3+ТЭСК!I4+ТЭСК!I5</f>
        <v>2028.2732832182041</v>
      </c>
      <c r="T7" s="181">
        <f>'Восток сити'!I3+'Восток сити'!I4</f>
        <v>1113.9857379767827</v>
      </c>
      <c r="U7" s="181">
        <f>Ладья!I3</f>
        <v>1496.6355140186915</v>
      </c>
      <c r="V7" s="181">
        <f>Юг!I4+Юг!I3</f>
        <v>1820.8880434782609</v>
      </c>
      <c r="W7" s="182">
        <f>'УК на Полевой'!I3+'УК на Полевой'!I4</f>
        <v>1036.7127725856699</v>
      </c>
      <c r="X7" s="166"/>
      <c r="Y7" s="181">
        <f>Алсу!I3+Алсу!I4</f>
        <v>77259.242529470124</v>
      </c>
      <c r="Z7" s="181">
        <f>'УК Альметьевск'!I2+'УК Альметьевск'!I3+'УК Альметьевск'!I4</f>
        <v>10677.985060940242</v>
      </c>
      <c r="AA7" s="181">
        <f>Новация!I2</f>
        <v>3818.9458582834332</v>
      </c>
      <c r="AB7" s="166"/>
      <c r="AC7" s="183">
        <f>Жилкомплекс!I2</f>
        <v>71314.940551181106</v>
      </c>
      <c r="AD7" s="184">
        <f>Радужный_З!I2</f>
        <v>355.13818897637799</v>
      </c>
      <c r="AE7" s="184">
        <f>'Салават Купере'!I2</f>
        <v>355.13818897637799</v>
      </c>
      <c r="AF7" s="184">
        <f>'ТСЖ №6'!I2</f>
        <v>473.5175853018373</v>
      </c>
      <c r="AG7" s="184">
        <f>Прямые!I2</f>
        <v>1065.414566929134</v>
      </c>
      <c r="AH7" s="168"/>
      <c r="AI7" s="181">
        <f>'Радужный (Казань)'!I2</f>
        <v>8497.65625</v>
      </c>
      <c r="AJ7" s="181">
        <f>'ЖК Моск рай-на'!H2+'ЖК Моск рай-на'!H3</f>
        <v>9541.6666666666661</v>
      </c>
      <c r="AK7" s="181">
        <f>'Фукса 12'!I2</f>
        <v>566.51041666666663</v>
      </c>
      <c r="AL7" s="181">
        <f>'ТСЖ Соврменник'!I3</f>
        <v>453.20833333333331</v>
      </c>
      <c r="AM7" s="181">
        <f>ЭРТХ_К!G2</f>
        <v>184780.91666666666</v>
      </c>
      <c r="AN7" s="166"/>
      <c r="AO7" s="181">
        <f>Тринити!I2+Тринити!I3</f>
        <v>129.9212598425197</v>
      </c>
      <c r="AP7" s="181">
        <f>'Жилищный фонд'!I2</f>
        <v>2150</v>
      </c>
      <c r="AQ7" s="181">
        <f>ЗИОН!I2+ЗИОН!I4</f>
        <v>1216.3461538461538</v>
      </c>
      <c r="AR7" s="181">
        <f>'СК Иннокомфорт'!I2</f>
        <v>473.5175853018373</v>
      </c>
      <c r="AS7" s="103"/>
      <c r="AT7" s="59"/>
      <c r="AU7" s="59"/>
      <c r="AV7" s="59"/>
    </row>
    <row r="8" spans="1:48" ht="13">
      <c r="A8" s="326"/>
      <c r="B8" s="153" t="s">
        <v>148</v>
      </c>
      <c r="C8" s="181">
        <f>Монолит!I8+Монолит!I12+Монолит!I11</f>
        <v>2333.09</v>
      </c>
      <c r="D8" s="181">
        <f>Усадьба!I6</f>
        <v>127.91666666666667</v>
      </c>
      <c r="E8" s="181">
        <f>Тобол!I7</f>
        <v>182.5</v>
      </c>
      <c r="F8" s="181">
        <f>Высота!I6+Высота!I10</f>
        <v>241.33333333333331</v>
      </c>
      <c r="G8" s="181">
        <f>Вавилон!I6</f>
        <v>0</v>
      </c>
      <c r="H8" s="181">
        <f>Электрон!I7</f>
        <v>46.166666666666664</v>
      </c>
      <c r="I8" s="181">
        <f>Запад!I9+Запад!I12</f>
        <v>17670.666666666668</v>
      </c>
      <c r="J8" s="181">
        <f>Ирида!I6+Ирида!I9+Ирида!I10</f>
        <v>2912.5</v>
      </c>
      <c r="K8" s="181">
        <f>ЖСУ!I7+ЖСУ!I10+ЖСУ!I12</f>
        <v>10697.166666666666</v>
      </c>
      <c r="L8" s="181">
        <f>Суходолье!I6+Суходолье!I9+Суходолье!I10</f>
        <v>5431.3333333333339</v>
      </c>
      <c r="M8" s="181">
        <f>'УК линейная'!I4+'УК линейная'!I7</f>
        <v>213.75</v>
      </c>
      <c r="N8" s="181">
        <f>'Аурика '!I7+'Аурика '!I10+'Аурика '!I12</f>
        <v>6767</v>
      </c>
      <c r="O8" s="181">
        <f>'Надежное управление'!I6+'Надежное управление'!I9</f>
        <v>73.75</v>
      </c>
      <c r="P8" s="181">
        <f>'ЖЭУ 9'!I5+'ЖЭУ 9'!I8</f>
        <v>1278.6666666666667</v>
      </c>
      <c r="Q8" s="181"/>
      <c r="R8" s="181">
        <f>'УК на пражской'!I6+'УК на пражской'!I11</f>
        <v>9453.1666666666661</v>
      </c>
      <c r="S8" s="181">
        <f>ТЭСК!I6+ТЭСК!I9</f>
        <v>1162</v>
      </c>
      <c r="T8" s="181">
        <f>'Восток сити'!I7+'Восток сити'!I12</f>
        <v>880.16666666666663</v>
      </c>
      <c r="U8" s="181">
        <f>Ладья!I5</f>
        <v>1537.9166666666667</v>
      </c>
      <c r="V8" s="181">
        <f>Юг!I6+Юг!I9</f>
        <v>393.83333333333331</v>
      </c>
      <c r="W8" s="182">
        <f>'УК на Полевой'!I7+'УК на Полевой'!I10+'УК на Полевой'!I12</f>
        <v>44.583333333333336</v>
      </c>
      <c r="X8" s="166"/>
      <c r="Y8" s="181">
        <f>Алсу!I6+Алсу!I9</f>
        <v>27971.75</v>
      </c>
      <c r="Z8" s="181">
        <f>'УК Альметьевск'!I10</f>
        <v>4724.666666666667</v>
      </c>
      <c r="AA8" s="181">
        <f>Новация!I3</f>
        <v>269.70833333333331</v>
      </c>
      <c r="AB8" s="166"/>
      <c r="AC8" s="183">
        <f>Жилкомплекс!I5</f>
        <v>22333.333333333332</v>
      </c>
      <c r="AD8" s="184">
        <f>Радужный_З!I4</f>
        <v>0</v>
      </c>
      <c r="AE8" s="184"/>
      <c r="AF8" s="184">
        <f>'ТСЖ №6'!I5</f>
        <v>2.1666666666666665</v>
      </c>
      <c r="AG8" s="184"/>
      <c r="AH8" s="168"/>
      <c r="AI8" s="181">
        <f>'Радужный (Казань)'!I6</f>
        <v>0</v>
      </c>
      <c r="AJ8" s="181">
        <f>'ЖК Моск рай-на'!H6+'ЖК Моск рай-на'!H9+'ЖК Моск рай-на'!H8</f>
        <v>1733.6666666666665</v>
      </c>
      <c r="AK8" s="181">
        <f>'Фукса 12'!I3</f>
        <v>0</v>
      </c>
      <c r="AL8" s="181">
        <f>'ТСЖ Соврменник'!I6</f>
        <v>89.583333333333329</v>
      </c>
      <c r="AM8" s="181">
        <f>ЭРТХ_К!G3</f>
        <v>1266.6666666666667</v>
      </c>
      <c r="AN8" s="166"/>
      <c r="AO8" s="181">
        <f>Тринити!I5</f>
        <v>5685.666666666667</v>
      </c>
      <c r="AP8" s="181">
        <f>'Жилищный фонд'!I3</f>
        <v>0</v>
      </c>
      <c r="AQ8" s="181">
        <f>ЗИОН!I5</f>
        <v>3939.6666666666665</v>
      </c>
      <c r="AR8" s="181">
        <f>'СК Иннокомфорт'!I4</f>
        <v>2222.1666666666665</v>
      </c>
      <c r="AS8" s="103"/>
      <c r="AT8" s="59"/>
      <c r="AU8" s="59"/>
      <c r="AV8" s="59"/>
    </row>
    <row r="9" spans="1:48" ht="13">
      <c r="A9" s="326"/>
      <c r="B9" s="153" t="s">
        <v>149</v>
      </c>
      <c r="C9" s="181">
        <f>Монолит!I10</f>
        <v>0</v>
      </c>
      <c r="D9" s="181"/>
      <c r="E9" s="181"/>
      <c r="F9" s="181">
        <f>Высота!I8</f>
        <v>1107.25</v>
      </c>
      <c r="G9" s="181">
        <f>Вавилон!I8</f>
        <v>0</v>
      </c>
      <c r="H9" s="181">
        <f>Электрон!I9</f>
        <v>0</v>
      </c>
      <c r="I9" s="181">
        <f>Запад!I11</f>
        <v>0</v>
      </c>
      <c r="J9" s="181">
        <f>Ирида!I8</f>
        <v>0</v>
      </c>
      <c r="K9" s="181">
        <f>ЖСУ!I9</f>
        <v>0</v>
      </c>
      <c r="L9" s="181">
        <f>Суходолье!I8</f>
        <v>0</v>
      </c>
      <c r="M9" s="181">
        <f>'УК линейная'!I5</f>
        <v>0</v>
      </c>
      <c r="N9" s="181">
        <f>'Аурика '!I9</f>
        <v>0</v>
      </c>
      <c r="O9" s="181"/>
      <c r="P9" s="181">
        <f>'ЖЭУ 9'!I7</f>
        <v>0</v>
      </c>
      <c r="Q9" s="181"/>
      <c r="R9" s="181">
        <f>'УК на пражской'!I8</f>
        <v>2291.0833333333335</v>
      </c>
      <c r="S9" s="181">
        <f>ТЭСК!I8</f>
        <v>0</v>
      </c>
      <c r="T9" s="181">
        <f>'Восток сити'!I9</f>
        <v>0</v>
      </c>
      <c r="U9" s="181"/>
      <c r="V9" s="181">
        <f>Юг!I8</f>
        <v>0</v>
      </c>
      <c r="W9" s="182">
        <f>'УК на Полевой'!I9</f>
        <v>0</v>
      </c>
      <c r="X9" s="166"/>
      <c r="Y9" s="181">
        <f>Алсу!I8</f>
        <v>6724.416666666667</v>
      </c>
      <c r="Z9" s="181">
        <f>'УК Альметьевск'!I12</f>
        <v>0</v>
      </c>
      <c r="AA9" s="181"/>
      <c r="AB9" s="166"/>
      <c r="AC9" s="183">
        <f>Жилкомплекс!I7</f>
        <v>61500</v>
      </c>
      <c r="AD9" s="184"/>
      <c r="AE9" s="184"/>
      <c r="AF9" s="184"/>
      <c r="AG9" s="184">
        <f>Прямые!I4</f>
        <v>0</v>
      </c>
      <c r="AH9" s="168"/>
      <c r="AI9" s="181"/>
      <c r="AJ9" s="181"/>
      <c r="AK9" s="181"/>
      <c r="AL9" s="181">
        <f>'ТСЖ Соврменник'!I8</f>
        <v>0</v>
      </c>
      <c r="AM9" s="181"/>
      <c r="AN9" s="166"/>
      <c r="AO9" s="181"/>
      <c r="AP9" s="181"/>
      <c r="AQ9" s="181"/>
      <c r="AR9" s="181"/>
      <c r="AS9" s="103"/>
      <c r="AT9" s="59"/>
      <c r="AU9" s="59"/>
      <c r="AV9" s="59"/>
    </row>
    <row r="10" spans="1:48" ht="13">
      <c r="A10" s="326"/>
      <c r="B10" s="153" t="s">
        <v>150</v>
      </c>
      <c r="C10" s="181">
        <f>Монолит!I9</f>
        <v>40053</v>
      </c>
      <c r="D10" s="181"/>
      <c r="E10" s="181"/>
      <c r="F10" s="181">
        <f>Высота!I7</f>
        <v>0</v>
      </c>
      <c r="G10" s="181">
        <f>Вавилон!I7</f>
        <v>0</v>
      </c>
      <c r="H10" s="181">
        <f>Электрон!I8</f>
        <v>14819.416666666666</v>
      </c>
      <c r="I10" s="181">
        <f>Запад!I10</f>
        <v>11103.75</v>
      </c>
      <c r="J10" s="181">
        <f>Ирида!I7</f>
        <v>0</v>
      </c>
      <c r="K10" s="181">
        <f>ЖСУ!I8</f>
        <v>0</v>
      </c>
      <c r="L10" s="181"/>
      <c r="M10" s="181">
        <f>'УК линейная'!I5</f>
        <v>0</v>
      </c>
      <c r="N10" s="181">
        <f>'Аурика '!I8</f>
        <v>0</v>
      </c>
      <c r="O10" s="181"/>
      <c r="P10" s="181">
        <f>'ЖЭУ 9'!I6</f>
        <v>3150.5833333333335</v>
      </c>
      <c r="Q10" s="181"/>
      <c r="R10" s="181">
        <f>'УК на пражской'!I7</f>
        <v>0</v>
      </c>
      <c r="S10" s="181">
        <f>ТЭСК!I7</f>
        <v>3764.8333333333335</v>
      </c>
      <c r="T10" s="181">
        <f>'Восток сити'!I8</f>
        <v>265</v>
      </c>
      <c r="U10" s="181"/>
      <c r="V10" s="181">
        <f>Юг!I7</f>
        <v>0</v>
      </c>
      <c r="W10" s="182">
        <f>'УК на Полевой'!I8</f>
        <v>0</v>
      </c>
      <c r="X10" s="166"/>
      <c r="Y10" s="181">
        <f>Алсу!I7</f>
        <v>8508.3333333333339</v>
      </c>
      <c r="Z10" s="181">
        <f>'УК Альметьевск'!I11</f>
        <v>8433.9166666666661</v>
      </c>
      <c r="AA10" s="181"/>
      <c r="AB10" s="166"/>
      <c r="AC10" s="183">
        <f>Жилкомплекс!I6</f>
        <v>0</v>
      </c>
      <c r="AD10" s="184"/>
      <c r="AE10" s="184"/>
      <c r="AF10" s="184"/>
      <c r="AG10" s="184"/>
      <c r="AH10" s="168"/>
      <c r="AI10" s="181"/>
      <c r="AJ10" s="181">
        <f>'ЖК Моск рай-на'!H5</f>
        <v>11626.833333333334</v>
      </c>
      <c r="AK10" s="181"/>
      <c r="AL10" s="181">
        <f>'ТСЖ Соврменник'!I7</f>
        <v>0</v>
      </c>
      <c r="AM10" s="181"/>
      <c r="AN10" s="166"/>
      <c r="AO10" s="181"/>
      <c r="AP10" s="181"/>
      <c r="AQ10" s="181"/>
      <c r="AR10" s="181"/>
      <c r="AS10" s="103"/>
      <c r="AT10" s="59"/>
      <c r="AU10" s="59"/>
      <c r="AV10" s="59"/>
    </row>
    <row r="11" spans="1:48" ht="13">
      <c r="A11" s="326"/>
      <c r="B11" s="153" t="s">
        <v>151</v>
      </c>
      <c r="C11" s="181">
        <f>Монолит!I7</f>
        <v>2468.9166666666665</v>
      </c>
      <c r="D11" s="181"/>
      <c r="E11" s="181"/>
      <c r="F11" s="181">
        <f>Высота!I5</f>
        <v>554.16666666666663</v>
      </c>
      <c r="G11" s="181">
        <f>Вавилон!I5</f>
        <v>270</v>
      </c>
      <c r="H11" s="181">
        <f>Электрон!I6</f>
        <v>95.833333333333329</v>
      </c>
      <c r="I11" s="181">
        <f>Запад!I7+Запад!I8</f>
        <v>28494.516666666666</v>
      </c>
      <c r="J11" s="181">
        <f>Ирида!I11</f>
        <v>2280.4166666666665</v>
      </c>
      <c r="K11" s="181">
        <f>ЖСУ!I5+ЖСУ!I6</f>
        <v>14419.438333333334</v>
      </c>
      <c r="L11" s="181">
        <f>Суходолье!I5</f>
        <v>7200</v>
      </c>
      <c r="M11" s="181"/>
      <c r="N11" s="181">
        <f>'Аурика '!I5</f>
        <v>1316</v>
      </c>
      <c r="O11" s="181"/>
      <c r="P11" s="181">
        <f>'ЖЭУ 9'!I9</f>
        <v>861.58333333333337</v>
      </c>
      <c r="Q11" s="181">
        <f>'УК на Ткацком'!I7</f>
        <v>3333.3333333333335</v>
      </c>
      <c r="R11" s="181">
        <f>'УК на пражской'!I5</f>
        <v>4765.916666666667</v>
      </c>
      <c r="S11" s="181">
        <f>ТЭСК!I11</f>
        <v>432.41083333333336</v>
      </c>
      <c r="T11" s="181">
        <f>'Восток сити'!I5</f>
        <v>681.66666666666663</v>
      </c>
      <c r="U11" s="181">
        <f>Ладья!I4</f>
        <v>758.33333333333337</v>
      </c>
      <c r="V11" s="181">
        <f>Юг!I5</f>
        <v>706.25</v>
      </c>
      <c r="W11" s="182">
        <f>'УК на Полевой'!I6</f>
        <v>625.96833333333336</v>
      </c>
      <c r="X11" s="166"/>
      <c r="Y11" s="181">
        <f>Алсу!I5</f>
        <v>21308.416666666668</v>
      </c>
      <c r="Z11" s="181">
        <f>'УК Альметьевск'!I5</f>
        <v>5238.833333333333</v>
      </c>
      <c r="AA11" s="181"/>
      <c r="AB11" s="166"/>
      <c r="AC11" s="183">
        <f>Жилкомплекс!I3</f>
        <v>14411.916666666666</v>
      </c>
      <c r="AD11" s="184">
        <f>Радужный_З!I3</f>
        <v>1783.3333333333333</v>
      </c>
      <c r="AE11" s="184"/>
      <c r="AF11" s="184">
        <f>'ТСЖ №6'!I3</f>
        <v>502</v>
      </c>
      <c r="AG11" s="184"/>
      <c r="AH11" s="168"/>
      <c r="AI11" s="181">
        <f>'Радужный (Казань)'!I3</f>
        <v>511.66666666666669</v>
      </c>
      <c r="AJ11" s="181">
        <f>'ЖК Моск рай-на'!H4</f>
        <v>7855.083333333333</v>
      </c>
      <c r="AK11" s="181"/>
      <c r="AL11" s="181">
        <f>'ТСЖ Соврменник'!I5+'ТСЖ Соврменник'!I4</f>
        <v>0</v>
      </c>
      <c r="AM11" s="181"/>
      <c r="AN11" s="166"/>
      <c r="AO11" s="181">
        <f>Тринити!I4</f>
        <v>6914.25</v>
      </c>
      <c r="AP11" s="181"/>
      <c r="AQ11" s="181">
        <f>ЗИОН!I3</f>
        <v>6283.75</v>
      </c>
      <c r="AR11" s="181">
        <f>'СК Иннокомфорт'!I3</f>
        <v>1243.75</v>
      </c>
      <c r="AS11" s="103"/>
      <c r="AT11" s="59"/>
      <c r="AU11" s="59"/>
      <c r="AV11" s="59"/>
    </row>
    <row r="12" spans="1:48" ht="13">
      <c r="A12" s="326"/>
      <c r="B12" s="153" t="s">
        <v>152</v>
      </c>
      <c r="C12" s="181">
        <f>Монолит!I14</f>
        <v>21887.249593596636</v>
      </c>
      <c r="D12" s="181">
        <f>Усадьба!I12</f>
        <v>2641.8809232840867</v>
      </c>
      <c r="E12" s="181">
        <f>Тобол!I13</f>
        <v>1614.4827864513863</v>
      </c>
      <c r="F12" s="181">
        <f>Высота!I12</f>
        <v>5081.9514982617502</v>
      </c>
      <c r="G12" s="181">
        <f>Вавилон!I12</f>
        <v>495.35267311576627</v>
      </c>
      <c r="H12" s="181">
        <f>Электрон!I13</f>
        <v>5173.6834747646699</v>
      </c>
      <c r="I12" s="181">
        <f>Запад!I17</f>
        <v>67936.70179806232</v>
      </c>
      <c r="J12" s="181">
        <f>Ирида!I13</f>
        <v>13539.639731830945</v>
      </c>
      <c r="K12" s="181">
        <f>ЖСУ!I13</f>
        <v>37701.842342699987</v>
      </c>
      <c r="L12" s="181">
        <f>Суходолье!I12</f>
        <v>36509.32664816203</v>
      </c>
      <c r="M12" s="181">
        <f>'УК линейная'!I8</f>
        <v>3595.8934789144514</v>
      </c>
      <c r="N12" s="181">
        <f>'Аурика '!I13</f>
        <v>4715.0235922500715</v>
      </c>
      <c r="O12" s="181">
        <f>'Надежное управление'!I10</f>
        <v>2018.1034830642329</v>
      </c>
      <c r="P12" s="181">
        <f>'ЖЭУ 9'!I11</f>
        <v>11906.810550078975</v>
      </c>
      <c r="Q12" s="181">
        <f>'УК на Ткацком'!I8</f>
        <v>3109.7140034489771</v>
      </c>
      <c r="R12" s="181">
        <f>'УК на пражской'!I12</f>
        <v>15777.899958502185</v>
      </c>
      <c r="S12" s="181">
        <f>ТЭСК!I12</f>
        <v>3999.514175527298</v>
      </c>
      <c r="T12" s="181">
        <f>'Восток сити'!I13</f>
        <v>1320.9404616420434</v>
      </c>
      <c r="U12" s="181">
        <f>Ладья!I9</f>
        <v>2623.5345279835028</v>
      </c>
      <c r="V12" s="181">
        <f>Юг!I10</f>
        <v>2440.0705749776635</v>
      </c>
      <c r="W12" s="182">
        <f>'УК на Полевой'!I13</f>
        <v>1651.1755770525542</v>
      </c>
      <c r="X12" s="166"/>
      <c r="Y12" s="181">
        <f>Алсу!I15</f>
        <v>119352.47462794879</v>
      </c>
      <c r="Z12" s="181">
        <f>'УК Альметьевск'!I16</f>
        <v>17318.997163751235</v>
      </c>
      <c r="AA12" s="181">
        <f>Новация!I5</f>
        <v>8145.7995134592675</v>
      </c>
      <c r="AB12" s="166"/>
      <c r="AC12" s="183">
        <f>Жилкомплекс!I12</f>
        <v>99033.841832552091</v>
      </c>
      <c r="AD12" s="184">
        <f>Радужный_З!I6</f>
        <v>4513.2132439436482</v>
      </c>
      <c r="AE12" s="184">
        <f>'Салават Купере'!I3</f>
        <v>1045.7445321332843</v>
      </c>
      <c r="AF12" s="184">
        <f>'ТСЖ №6'!I6</f>
        <v>2641.8809232840867</v>
      </c>
      <c r="AG12" s="184">
        <f>Прямые!I5</f>
        <v>2596.0149350326269</v>
      </c>
      <c r="AH12" s="168"/>
      <c r="AI12" s="181">
        <f>'Радужный (Казань)'!I8</f>
        <v>11659.134213521091</v>
      </c>
      <c r="AJ12" s="181">
        <f>'ЖК Моск рай-на'!H12</f>
        <v>15355.932866588755</v>
      </c>
      <c r="AK12" s="181">
        <f>'Фукса 12'!I5</f>
        <v>366.92790601167872</v>
      </c>
      <c r="AL12" s="181">
        <f>'ТСЖ Соврменник'!I12</f>
        <v>3302.3511541051084</v>
      </c>
      <c r="AM12" s="181">
        <f>ЭРТХ_К!G4</f>
        <v>0</v>
      </c>
      <c r="AN12" s="166"/>
      <c r="AO12" s="181">
        <f>Тринити!I6</f>
        <v>1559.4436005496345</v>
      </c>
      <c r="AP12" s="181">
        <f>'Жилищный фонд'!I5</f>
        <v>10228.115380075544</v>
      </c>
      <c r="AQ12" s="181">
        <f>ЗИОН!I7</f>
        <v>4036.2069661284659</v>
      </c>
      <c r="AR12" s="181">
        <f>'СК Иннокомфорт'!I5</f>
        <v>963.18575328065663</v>
      </c>
      <c r="AS12" s="103"/>
      <c r="AT12" s="59"/>
      <c r="AU12" s="59"/>
      <c r="AV12" s="59"/>
    </row>
    <row r="13" spans="1:48" ht="13">
      <c r="A13" s="326"/>
      <c r="B13" s="153" t="s">
        <v>153</v>
      </c>
      <c r="C13" s="181">
        <f>Монолит!I15</f>
        <v>654.7024698201526</v>
      </c>
      <c r="D13" s="181">
        <f>Усадьба!I13</f>
        <v>79.025277161862505</v>
      </c>
      <c r="E13" s="181">
        <f>Тобол!I14</f>
        <v>48.293224932249316</v>
      </c>
      <c r="F13" s="181">
        <f>Высота!I13</f>
        <v>152.01390120719387</v>
      </c>
      <c r="G13" s="181">
        <f>Вавилон!I13</f>
        <v>14.817239467849221</v>
      </c>
      <c r="H13" s="181">
        <f>Электрон!I14</f>
        <v>154.75783444198075</v>
      </c>
      <c r="I13" s="181">
        <f>Запад!I18</f>
        <v>2032.1569536831728</v>
      </c>
      <c r="J13" s="181">
        <f>Ирида!I14</f>
        <v>405.00454545454539</v>
      </c>
      <c r="K13" s="181">
        <f>ЖСУ!I14</f>
        <v>1127.756559497413</v>
      </c>
      <c r="L13" s="181">
        <f>Суходолье!I13</f>
        <v>1092.0854274451833</v>
      </c>
      <c r="M13" s="181">
        <f>'УК линейная'!I9</f>
        <v>107.56218280364619</v>
      </c>
      <c r="N13" s="181">
        <f>'Аурика '!I14</f>
        <v>141.03816826804629</v>
      </c>
      <c r="O13" s="181">
        <f>'Надежное управление'!I11</f>
        <v>60.366531165311642</v>
      </c>
      <c r="P13" s="181">
        <f>'ЖЭУ 9'!I12</f>
        <v>356.16253387533868</v>
      </c>
      <c r="Q13" s="181">
        <f>'УК на Ткацком'!I9</f>
        <v>93.019336659275666</v>
      </c>
      <c r="R13" s="181">
        <f>'УК на пражской'!I13</f>
        <v>471.95651638334556</v>
      </c>
      <c r="S13" s="181">
        <f>ТЭСК!I13</f>
        <v>119.63548903670852</v>
      </c>
      <c r="T13" s="181">
        <f>'Восток сити'!I14</f>
        <v>39.512638580931252</v>
      </c>
      <c r="U13" s="181">
        <f>Ладья!I10</f>
        <v>78.476490514905137</v>
      </c>
      <c r="V13" s="181">
        <f>Юг!I11</f>
        <v>72.988624045331349</v>
      </c>
      <c r="W13" s="182">
        <f>'УК на Полевой'!I14</f>
        <v>49.390798226164073</v>
      </c>
      <c r="X13" s="166"/>
      <c r="Y13" s="185">
        <f>Алсу!I14</f>
        <v>7490.4463810413636</v>
      </c>
      <c r="Z13" s="181">
        <f>'УК Альметьевск'!I15</f>
        <v>1086.9235852283525</v>
      </c>
      <c r="AA13" s="181">
        <f>Новация!I4</f>
        <v>511.22253373028445</v>
      </c>
      <c r="AB13" s="166"/>
      <c r="AC13" s="183">
        <f>Жилкомплекс!I13</f>
        <v>23046.118466828142</v>
      </c>
      <c r="AD13" s="184">
        <f>Радужный_З!I7</f>
        <v>1050.2677181992817</v>
      </c>
      <c r="AE13" s="184">
        <f>'Салават Купере'!I4</f>
        <v>243.35471519251649</v>
      </c>
      <c r="AF13" s="184">
        <f>'ТСЖ №6'!I7</f>
        <v>614.79085943372593</v>
      </c>
      <c r="AG13" s="184">
        <f>Прямые!I6</f>
        <v>604.11740701300141</v>
      </c>
      <c r="AH13" s="168"/>
      <c r="AI13" s="181">
        <f>'Радужный (Казань)'!I7</f>
        <v>0</v>
      </c>
      <c r="AJ13" s="181">
        <f>'ЖК Моск рай-на'!H11</f>
        <v>0</v>
      </c>
      <c r="AK13" s="181">
        <f>'Фукса 12'!I4</f>
        <v>0</v>
      </c>
      <c r="AL13" s="181">
        <f>'ТСЖ Соврменник'!I13</f>
        <v>0</v>
      </c>
      <c r="AM13" s="181"/>
      <c r="AN13" s="166"/>
      <c r="AO13" s="181">
        <f>Тринити!I7</f>
        <v>287.14207650273221</v>
      </c>
      <c r="AP13" s="181">
        <f>'Жилищный фонд'!I6</f>
        <v>1883.3142076502731</v>
      </c>
      <c r="AQ13" s="181">
        <f>ЗИОН!I8</f>
        <v>743.19125683060111</v>
      </c>
      <c r="AR13" s="181">
        <f>'СК Иннокомфорт'!I6</f>
        <v>177.35245901639342</v>
      </c>
      <c r="AS13" s="103"/>
      <c r="AT13" s="59"/>
      <c r="AU13" s="59"/>
      <c r="AV13" s="59"/>
    </row>
    <row r="14" spans="1:48" ht="13">
      <c r="A14" s="326"/>
      <c r="B14" s="153" t="s">
        <v>154</v>
      </c>
      <c r="C14" s="181">
        <f>Монолит!I6</f>
        <v>841.66666666666663</v>
      </c>
      <c r="D14" s="181"/>
      <c r="E14" s="181">
        <f>Тобол!I15</f>
        <v>131.65045242578071</v>
      </c>
      <c r="F14" s="181"/>
      <c r="G14" s="181">
        <f>Вавилон!I4</f>
        <v>0</v>
      </c>
      <c r="H14" s="181">
        <f>Электрон!I5</f>
        <v>0</v>
      </c>
      <c r="I14" s="181">
        <f>Запад!I6+Запад!I15</f>
        <v>71946.583333333343</v>
      </c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2"/>
      <c r="X14" s="166"/>
      <c r="Y14" s="181">
        <f>Алсу!I13+Алсу!I11</f>
        <v>62563.25</v>
      </c>
      <c r="Z14" s="181">
        <f>'УК Альметьевск'!I14+'УК Альметьевск'!I9</f>
        <v>15997.5</v>
      </c>
      <c r="AA14" s="181"/>
      <c r="AB14" s="166"/>
      <c r="AC14" s="183">
        <f>Жилкомплекс!I8+Жилкомплекс!I10</f>
        <v>46583.333333333336</v>
      </c>
      <c r="AD14" s="184">
        <f>Радужный_З!AA8</f>
        <v>0</v>
      </c>
      <c r="AE14" s="184"/>
      <c r="AF14" s="184"/>
      <c r="AG14" s="184">
        <f>Прямые!AA7</f>
        <v>0</v>
      </c>
      <c r="AH14" s="168"/>
      <c r="AI14" s="181"/>
      <c r="AJ14" s="181">
        <f>'ЖК Моск рай-на'!H7</f>
        <v>317.20333333333332</v>
      </c>
      <c r="AK14" s="181"/>
      <c r="AL14" s="181"/>
      <c r="AM14" s="181"/>
      <c r="AN14" s="166"/>
      <c r="AO14" s="181"/>
      <c r="AP14" s="181"/>
      <c r="AQ14" s="181"/>
      <c r="AR14" s="181"/>
      <c r="AS14" s="103"/>
      <c r="AT14" s="59"/>
      <c r="AU14" s="59"/>
      <c r="AV14" s="59"/>
    </row>
    <row r="15" spans="1:48" ht="13">
      <c r="A15" s="327"/>
      <c r="B15" s="153" t="s">
        <v>155</v>
      </c>
      <c r="C15" s="181">
        <f>Монолит!I13</f>
        <v>49421.666666666664</v>
      </c>
      <c r="D15" s="181"/>
      <c r="E15" s="181"/>
      <c r="F15" s="181">
        <f>Высота!I11</f>
        <v>0</v>
      </c>
      <c r="G15" s="181">
        <f>Вавилон!I11</f>
        <v>2375</v>
      </c>
      <c r="H15" s="181">
        <f>Электрон!I12</f>
        <v>12360.333333333334</v>
      </c>
      <c r="I15" s="181">
        <f>Запад!I16</f>
        <v>17035.416666666668</v>
      </c>
      <c r="J15" s="181">
        <f>Ирида!I12</f>
        <v>0</v>
      </c>
      <c r="K15" s="181">
        <f>ЖСУ!I11</f>
        <v>2833.3333333333335</v>
      </c>
      <c r="L15" s="181">
        <f>Суходолье!I11</f>
        <v>0</v>
      </c>
      <c r="M15" s="181">
        <f>'УК линейная'!I6</f>
        <v>0</v>
      </c>
      <c r="N15" s="181">
        <f>'Аурика '!I11</f>
        <v>0</v>
      </c>
      <c r="O15" s="181"/>
      <c r="P15" s="181">
        <f>'ЖЭУ 9'!I10</f>
        <v>0</v>
      </c>
      <c r="Q15" s="181"/>
      <c r="R15" s="181">
        <f>'УК на пражской'!I10</f>
        <v>0</v>
      </c>
      <c r="S15" s="181">
        <f>ТЭСК!I10</f>
        <v>2262.4166666666665</v>
      </c>
      <c r="T15" s="181">
        <f>'Восток сити'!I11</f>
        <v>291.66666666666669</v>
      </c>
      <c r="U15" s="181"/>
      <c r="V15" s="181">
        <f>Юг!I8</f>
        <v>0</v>
      </c>
      <c r="W15" s="182">
        <f>'УК на Полевой'!I11</f>
        <v>0</v>
      </c>
      <c r="X15" s="166"/>
      <c r="Y15" s="181">
        <f>Алсу!I12</f>
        <v>23448.083333333336</v>
      </c>
      <c r="Z15" s="181">
        <f>'УК Альметьевск'!I13</f>
        <v>0</v>
      </c>
      <c r="AA15" s="181"/>
      <c r="AB15" s="166"/>
      <c r="AC15" s="183">
        <f>Жилкомплекс!I11</f>
        <v>25416.666666666668</v>
      </c>
      <c r="AD15" s="184"/>
      <c r="AE15" s="184"/>
      <c r="AF15" s="184"/>
      <c r="AG15" s="184">
        <f>Прямые!I3</f>
        <v>0</v>
      </c>
      <c r="AH15" s="168"/>
      <c r="AI15" s="181">
        <f>'Радужный (Казань)'!I5</f>
        <v>0</v>
      </c>
      <c r="AJ15" s="181">
        <f>'ЖК Моск рай-на'!H10</f>
        <v>5400</v>
      </c>
      <c r="AK15" s="181"/>
      <c r="AL15" s="181">
        <f>'ТСЖ Соврменник'!I10</f>
        <v>0</v>
      </c>
      <c r="AM15" s="181"/>
      <c r="AN15" s="166"/>
      <c r="AO15" s="181"/>
      <c r="AP15" s="181"/>
      <c r="AQ15" s="181"/>
      <c r="AR15" s="181"/>
      <c r="AS15" s="103"/>
      <c r="AT15" s="59"/>
      <c r="AU15" s="59"/>
      <c r="AV15" s="59"/>
    </row>
    <row r="16" spans="1:48" ht="13">
      <c r="A16" s="186"/>
      <c r="B16" s="153" t="s">
        <v>156</v>
      </c>
      <c r="C16" s="181">
        <f>Монолит!I16</f>
        <v>1784.7612470904137</v>
      </c>
      <c r="D16" s="181">
        <f>Усадьба!I14</f>
        <v>215.42801306036847</v>
      </c>
      <c r="E16" s="181"/>
      <c r="F16" s="181">
        <f>Высота!I14</f>
        <v>414.39971956751435</v>
      </c>
      <c r="G16" s="181">
        <f>Вавилон!I14</f>
        <v>40.392752448819088</v>
      </c>
      <c r="H16" s="181">
        <f>Электрон!I15</f>
        <v>421.87985890988824</v>
      </c>
      <c r="I16" s="181">
        <f>Запад!I19</f>
        <v>5539.7911969621136</v>
      </c>
      <c r="J16" s="181">
        <f>Ирида!I15</f>
        <v>1104.0685669343884</v>
      </c>
      <c r="K16" s="181">
        <f>ЖСУ!I15</f>
        <v>3074.3372697156751</v>
      </c>
      <c r="L16" s="181">
        <f>Суходолье!I14</f>
        <v>2977.0954582648142</v>
      </c>
      <c r="M16" s="181">
        <f>'УК линейная'!I10</f>
        <v>293.2214622210571</v>
      </c>
      <c r="N16" s="181">
        <f>'Аурика '!I15</f>
        <v>384.47916219801868</v>
      </c>
      <c r="O16" s="181">
        <f>'Надежное управление'!I12</f>
        <v>164.56306553222592</v>
      </c>
      <c r="P16" s="181">
        <f>'ЖЭУ 9'!I13</f>
        <v>970.92208664013287</v>
      </c>
      <c r="Q16" s="181">
        <f>'УК на Ткацком'!I10</f>
        <v>253.57672370647538</v>
      </c>
      <c r="R16" s="181">
        <f>'УК на пражской'!I14</f>
        <v>1286.5839668883116</v>
      </c>
      <c r="S16" s="181">
        <f>ТЭСК!I14</f>
        <v>326.13407532750227</v>
      </c>
      <c r="T16" s="181">
        <f>'Восток сити'!I15</f>
        <v>107.71400653018424</v>
      </c>
      <c r="U16" s="181">
        <f>Ладья!I11</f>
        <v>213.93198519189369</v>
      </c>
      <c r="V16" s="181">
        <f>Юг!I12</f>
        <v>198.97170650714588</v>
      </c>
      <c r="W16" s="182">
        <f>'УК на Полевой'!I15</f>
        <v>134.64250816273028</v>
      </c>
      <c r="X16" s="166"/>
      <c r="Y16" s="181">
        <f>Алсу!I16</f>
        <v>9732.409298362687</v>
      </c>
      <c r="Z16" s="181">
        <f>'УК Альметьевск'!I17</f>
        <v>1412.2503078401933</v>
      </c>
      <c r="AA16" s="181">
        <f>Новация!I6</f>
        <v>820.6998621846725</v>
      </c>
      <c r="AB16" s="166"/>
      <c r="AC16" s="183">
        <f>Жилкомплекс!I14</f>
        <v>9977.7879641280688</v>
      </c>
      <c r="AD16" s="184">
        <f>Радужный_З!I8</f>
        <v>454.71208580502127</v>
      </c>
      <c r="AE16" s="184">
        <f>'Салават Купере'!I5</f>
        <v>105.36011744262689</v>
      </c>
      <c r="AF16" s="184">
        <f>'ТСЖ №6'!I8</f>
        <v>266.17292827611004</v>
      </c>
      <c r="AG16" s="184">
        <f>Прямые!I7</f>
        <v>261.55187049353867</v>
      </c>
      <c r="AH16" s="168"/>
      <c r="AI16" s="181">
        <f>'Радужный (Казань)'!I9</f>
        <v>1174.6728883296382</v>
      </c>
      <c r="AJ16" s="181">
        <f>'ЖК Моск рай-на'!H13</f>
        <v>1547.1301456048895</v>
      </c>
      <c r="AK16" s="181"/>
      <c r="AL16" s="181">
        <f>'ТСЖ Соврменник'!I14</f>
        <v>332.7161603451375</v>
      </c>
      <c r="AM16" s="181"/>
      <c r="AN16" s="166"/>
      <c r="AO16" s="181">
        <f>Тринити!I8</f>
        <v>157.11596460742606</v>
      </c>
      <c r="AP16" s="181">
        <f>'Жилищный фонд'!I7</f>
        <v>0</v>
      </c>
      <c r="AQ16" s="181">
        <f>ЗИОН!I9</f>
        <v>406.65308486627919</v>
      </c>
      <c r="AR16" s="185">
        <f>'СК Иннокомфорт'!I7</f>
        <v>97.042213433998441</v>
      </c>
      <c r="AS16" s="103"/>
      <c r="AT16" s="59"/>
      <c r="AU16" s="59"/>
      <c r="AV16" s="59"/>
    </row>
    <row r="17" spans="1:48" ht="13">
      <c r="A17" s="328" t="s">
        <v>157</v>
      </c>
      <c r="B17" s="321"/>
      <c r="C17" s="187">
        <f t="shared" ref="C17:W17" si="17">SUM(C7:C16)</f>
        <v>128039.81268212738</v>
      </c>
      <c r="D17" s="187">
        <f t="shared" si="17"/>
        <v>4560.8863941916761</v>
      </c>
      <c r="E17" s="187">
        <f t="shared" si="17"/>
        <v>4323.1953111614412</v>
      </c>
      <c r="F17" s="187">
        <f t="shared" si="17"/>
        <v>13537.929795653374</v>
      </c>
      <c r="G17" s="187">
        <f t="shared" si="17"/>
        <v>3195.5626650324348</v>
      </c>
      <c r="H17" s="187">
        <f t="shared" si="17"/>
        <v>33921.704501449873</v>
      </c>
      <c r="I17" s="187">
        <f t="shared" si="17"/>
        <v>288892.87746765494</v>
      </c>
      <c r="J17" s="187">
        <f t="shared" si="17"/>
        <v>27168.899076103939</v>
      </c>
      <c r="K17" s="187">
        <f t="shared" si="17"/>
        <v>99769.300592202926</v>
      </c>
      <c r="L17" s="187">
        <f t="shared" si="17"/>
        <v>56910.774532213654</v>
      </c>
      <c r="M17" s="187">
        <f t="shared" si="17"/>
        <v>5267.8367425129527</v>
      </c>
      <c r="N17" s="187">
        <f t="shared" si="17"/>
        <v>15174.007755220282</v>
      </c>
      <c r="O17" s="187">
        <f t="shared" si="17"/>
        <v>2977.6640913703941</v>
      </c>
      <c r="P17" s="187">
        <f t="shared" si="17"/>
        <v>20903.900145718828</v>
      </c>
      <c r="Q17" s="187">
        <f t="shared" si="17"/>
        <v>7318.348206434961</v>
      </c>
      <c r="R17" s="187">
        <f t="shared" si="17"/>
        <v>48113.860673946314</v>
      </c>
      <c r="S17" s="187">
        <f t="shared" si="17"/>
        <v>14095.217856443045</v>
      </c>
      <c r="T17" s="187">
        <f t="shared" si="17"/>
        <v>4700.6528447299415</v>
      </c>
      <c r="U17" s="187">
        <f t="shared" si="17"/>
        <v>6708.8285177089938</v>
      </c>
      <c r="V17" s="187">
        <f t="shared" si="17"/>
        <v>5633.0022823417348</v>
      </c>
      <c r="W17" s="187">
        <f t="shared" si="17"/>
        <v>3542.4733226937851</v>
      </c>
      <c r="X17" s="188"/>
      <c r="Y17" s="187">
        <f t="shared" ref="Y17:AA17" si="18">SUM(Y7:Y16)</f>
        <v>364358.82283682295</v>
      </c>
      <c r="Z17" s="187">
        <f t="shared" si="18"/>
        <v>64891.072784426688</v>
      </c>
      <c r="AA17" s="187">
        <f t="shared" si="18"/>
        <v>13566.37610099099</v>
      </c>
      <c r="AB17" s="188"/>
      <c r="AC17" s="187">
        <f t="shared" ref="AC17:AG17" si="19">SUM(AC7:AC16)</f>
        <v>373617.93881468941</v>
      </c>
      <c r="AD17" s="187">
        <f t="shared" si="19"/>
        <v>8156.6645702576634</v>
      </c>
      <c r="AE17" s="187">
        <f t="shared" si="19"/>
        <v>1749.5975537448057</v>
      </c>
      <c r="AF17" s="187">
        <f t="shared" si="19"/>
        <v>4500.5289629624267</v>
      </c>
      <c r="AG17" s="187">
        <f t="shared" si="19"/>
        <v>4527.0987794683006</v>
      </c>
      <c r="AH17" s="168"/>
      <c r="AI17" s="187">
        <f t="shared" ref="AI17:AM17" si="20">SUM(AI7:AI16)</f>
        <v>21843.130018517397</v>
      </c>
      <c r="AJ17" s="187">
        <f t="shared" si="20"/>
        <v>53377.516345526972</v>
      </c>
      <c r="AK17" s="187">
        <f t="shared" si="20"/>
        <v>933.43832267834534</v>
      </c>
      <c r="AL17" s="187">
        <f t="shared" si="20"/>
        <v>4177.8589811169122</v>
      </c>
      <c r="AM17" s="187">
        <f t="shared" si="20"/>
        <v>186047.58333333331</v>
      </c>
      <c r="AN17" s="188"/>
      <c r="AO17" s="187">
        <f t="shared" ref="AO17:AR17" si="21">SUM(AO7:AO16)</f>
        <v>14733.539568168981</v>
      </c>
      <c r="AP17" s="187">
        <f t="shared" si="21"/>
        <v>14261.429587725817</v>
      </c>
      <c r="AQ17" s="187">
        <f t="shared" si="21"/>
        <v>16625.814128338166</v>
      </c>
      <c r="AR17" s="187">
        <f t="shared" si="21"/>
        <v>5177.0146776995525</v>
      </c>
      <c r="AS17" s="189"/>
      <c r="AT17" s="190">
        <f>SUM(C17:AR17)</f>
        <v>1947302.160823382</v>
      </c>
      <c r="AU17" s="190">
        <f>24551172/12</f>
        <v>2045931</v>
      </c>
      <c r="AV17" s="190">
        <f>AU17-AT17</f>
        <v>98628.839176618028</v>
      </c>
    </row>
    <row r="18" spans="1:48" ht="13">
      <c r="A18" s="329"/>
      <c r="B18" s="319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2"/>
      <c r="Q18" s="192"/>
      <c r="R18" s="191"/>
      <c r="S18" s="191"/>
      <c r="T18" s="191"/>
      <c r="U18" s="191"/>
      <c r="V18" s="191"/>
      <c r="W18" s="193"/>
      <c r="X18" s="166"/>
      <c r="Y18" s="177"/>
      <c r="Z18" s="177"/>
      <c r="AA18" s="177"/>
      <c r="AB18" s="166"/>
      <c r="AC18" s="194"/>
      <c r="AD18" s="194"/>
      <c r="AE18" s="194"/>
      <c r="AF18" s="194"/>
      <c r="AG18" s="194"/>
      <c r="AH18" s="168"/>
      <c r="AI18" s="177"/>
      <c r="AJ18" s="177"/>
      <c r="AK18" s="177"/>
      <c r="AL18" s="177"/>
      <c r="AM18" s="177"/>
      <c r="AN18" s="166"/>
      <c r="AO18" s="177"/>
      <c r="AP18" s="177"/>
      <c r="AQ18" s="177"/>
      <c r="AR18" s="177"/>
      <c r="AS18" s="103"/>
      <c r="AT18" s="59"/>
      <c r="AU18" s="59"/>
      <c r="AV18" s="59"/>
    </row>
    <row r="19" spans="1:48" ht="14">
      <c r="A19" s="149"/>
      <c r="B19" s="81" t="s">
        <v>158</v>
      </c>
      <c r="C19" s="195">
        <f t="shared" ref="C19:W19" si="22">C4+C6-C17</f>
        <v>-104044.98684879404</v>
      </c>
      <c r="D19" s="195">
        <f t="shared" si="22"/>
        <v>2289.2194391416569</v>
      </c>
      <c r="E19" s="195">
        <f t="shared" si="22"/>
        <v>4465.268022171892</v>
      </c>
      <c r="F19" s="195">
        <f t="shared" si="22"/>
        <v>-4566.1281289867075</v>
      </c>
      <c r="G19" s="195">
        <f t="shared" si="22"/>
        <v>-3195.5626650324348</v>
      </c>
      <c r="H19" s="195">
        <f t="shared" si="22"/>
        <v>-28509.204501449873</v>
      </c>
      <c r="I19" s="195">
        <f t="shared" si="22"/>
        <v>-94518.962467654928</v>
      </c>
      <c r="J19" s="195">
        <f t="shared" si="22"/>
        <v>21171.163423896061</v>
      </c>
      <c r="K19" s="195">
        <f t="shared" si="22"/>
        <v>51981.896907797083</v>
      </c>
      <c r="L19" s="195">
        <f t="shared" si="22"/>
        <v>60102.558801119674</v>
      </c>
      <c r="M19" s="195">
        <f t="shared" si="22"/>
        <v>6658.8299241537134</v>
      </c>
      <c r="N19" s="195">
        <f t="shared" si="22"/>
        <v>5780.992244779718</v>
      </c>
      <c r="O19" s="195">
        <f t="shared" si="22"/>
        <v>3568.2817419629391</v>
      </c>
      <c r="P19" s="195">
        <f t="shared" si="22"/>
        <v>24817.544854281172</v>
      </c>
      <c r="Q19" s="195">
        <f t="shared" si="22"/>
        <v>6497.4392935650394</v>
      </c>
      <c r="R19" s="195">
        <f t="shared" si="22"/>
        <v>2260.8618260536896</v>
      </c>
      <c r="S19" s="195">
        <f t="shared" si="22"/>
        <v>8873.0821435569578</v>
      </c>
      <c r="T19" s="195">
        <f t="shared" si="22"/>
        <v>4441.0138219367245</v>
      </c>
      <c r="U19" s="195">
        <f t="shared" si="22"/>
        <v>2045.5714822910059</v>
      </c>
      <c r="V19" s="195">
        <f t="shared" si="22"/>
        <v>4286.8543843249317</v>
      </c>
      <c r="W19" s="195">
        <f t="shared" si="22"/>
        <v>5540.8600106395488</v>
      </c>
      <c r="X19" s="195"/>
      <c r="Y19" s="195">
        <f t="shared" ref="Y19:AA19" si="23">Y4+Y6-Y17</f>
        <v>263422.77299651038</v>
      </c>
      <c r="Z19" s="195">
        <f t="shared" si="23"/>
        <v>32610.878048906634</v>
      </c>
      <c r="AA19" s="195">
        <f t="shared" si="23"/>
        <v>5016.2247323423435</v>
      </c>
      <c r="AB19" s="195"/>
      <c r="AC19" s="195">
        <f t="shared" ref="AC19:AG19" si="24">AC4+AC6-AC17</f>
        <v>-29396.01214802271</v>
      </c>
      <c r="AD19" s="195">
        <f t="shared" si="24"/>
        <v>8437.2520964090036</v>
      </c>
      <c r="AE19" s="195">
        <f t="shared" si="24"/>
        <v>1983.7357795885277</v>
      </c>
      <c r="AF19" s="195">
        <f t="shared" si="24"/>
        <v>1112.8043703709063</v>
      </c>
      <c r="AG19" s="195">
        <f t="shared" si="24"/>
        <v>3287.9845538650325</v>
      </c>
      <c r="AH19" s="195"/>
      <c r="AI19" s="195">
        <f t="shared" ref="AI19:AM19" si="25">AI4+AI6-AI17</f>
        <v>5050.7866481492711</v>
      </c>
      <c r="AJ19" s="195">
        <f t="shared" si="25"/>
        <v>50346.850321139682</v>
      </c>
      <c r="AK19" s="195">
        <f t="shared" si="25"/>
        <v>911.56167732165466</v>
      </c>
      <c r="AL19" s="195">
        <f t="shared" si="25"/>
        <v>6970.7243522164217</v>
      </c>
      <c r="AM19" s="195">
        <f t="shared" si="25"/>
        <v>134182.08333333337</v>
      </c>
      <c r="AN19" s="195"/>
      <c r="AO19" s="195">
        <f t="shared" ref="AO19:AR19" si="26">AO4+AO6-AO17</f>
        <v>7449.7937651643515</v>
      </c>
      <c r="AP19" s="195">
        <f t="shared" si="26"/>
        <v>24002.479578940845</v>
      </c>
      <c r="AQ19" s="195">
        <f t="shared" si="26"/>
        <v>24774.185871661834</v>
      </c>
      <c r="AR19" s="195">
        <f t="shared" si="26"/>
        <v>-197.84801103288555</v>
      </c>
      <c r="AS19" s="196"/>
      <c r="AT19" s="197">
        <f>SUM(C19:AR19)</f>
        <v>519912.85167661839</v>
      </c>
      <c r="AU19" s="198"/>
      <c r="AV19" s="198"/>
    </row>
    <row r="20" spans="1:48" ht="13">
      <c r="P20" s="59"/>
      <c r="Q20" s="59"/>
      <c r="T20" s="60"/>
      <c r="AL20" s="60"/>
      <c r="AT20" s="59"/>
      <c r="AU20" s="59"/>
      <c r="AV20" s="59"/>
    </row>
    <row r="21" spans="1:48" ht="13">
      <c r="P21" s="59"/>
      <c r="Q21" s="59"/>
      <c r="T21" s="60"/>
      <c r="AL21" s="60"/>
      <c r="AT21" s="59"/>
      <c r="AU21" s="59"/>
      <c r="AV21" s="59"/>
    </row>
    <row r="22" spans="1:48" ht="13">
      <c r="A22" s="323"/>
      <c r="B22" s="319"/>
      <c r="C22" s="199"/>
      <c r="D22" s="199"/>
      <c r="E22" s="199"/>
      <c r="F22" s="199"/>
      <c r="G22" s="199"/>
      <c r="H22" s="199"/>
      <c r="I22" s="330"/>
      <c r="J22" s="319"/>
      <c r="K22" s="319"/>
      <c r="L22" s="319"/>
      <c r="M22" s="319"/>
      <c r="P22" s="59"/>
      <c r="Q22" s="59"/>
      <c r="AT22" s="59"/>
      <c r="AU22" s="59"/>
      <c r="AV22" s="59"/>
    </row>
    <row r="23" spans="1:48" ht="13">
      <c r="A23" s="323"/>
      <c r="B23" s="106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2"/>
      <c r="P23" s="59"/>
      <c r="Q23" s="59"/>
      <c r="AT23" s="59"/>
      <c r="AU23" s="59"/>
      <c r="AV23" s="59"/>
    </row>
    <row r="24" spans="1:48" ht="13">
      <c r="A24" s="319"/>
      <c r="B24" s="106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2"/>
      <c r="P24" s="59"/>
      <c r="Q24" s="59"/>
      <c r="AT24" s="59"/>
      <c r="AU24" s="59"/>
      <c r="AV24" s="59"/>
    </row>
    <row r="25" spans="1:48" ht="13">
      <c r="A25" s="319"/>
      <c r="B25" s="106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2"/>
      <c r="P25" s="59"/>
      <c r="Q25" s="59"/>
      <c r="AT25" s="59"/>
      <c r="AU25" s="59"/>
      <c r="AV25" s="59"/>
    </row>
    <row r="26" spans="1:48" ht="13">
      <c r="A26" s="319"/>
      <c r="B26" s="106"/>
      <c r="C26" s="69"/>
      <c r="D26" s="69"/>
      <c r="E26" s="69"/>
      <c r="F26" s="69"/>
      <c r="G26" s="69"/>
      <c r="H26" s="69"/>
      <c r="I26" s="69"/>
      <c r="J26" s="69"/>
      <c r="K26" s="69"/>
      <c r="L26" s="118"/>
      <c r="M26" s="62"/>
      <c r="P26" s="59"/>
      <c r="Q26" s="59"/>
      <c r="AT26" s="59"/>
      <c r="AU26" s="59"/>
      <c r="AV26" s="59"/>
    </row>
    <row r="27" spans="1:48" ht="13">
      <c r="A27" s="319"/>
      <c r="B27" s="106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2"/>
      <c r="P27" s="59"/>
      <c r="Q27" s="59"/>
      <c r="AT27" s="59"/>
      <c r="AU27" s="59"/>
      <c r="AV27" s="59"/>
    </row>
    <row r="28" spans="1:48" ht="13">
      <c r="A28" s="324"/>
      <c r="B28" s="31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2"/>
      <c r="P28" s="59"/>
      <c r="Q28" s="59"/>
      <c r="AT28" s="59"/>
      <c r="AU28" s="59"/>
      <c r="AV28" s="59"/>
    </row>
    <row r="29" spans="1:48" ht="13">
      <c r="A29" s="57"/>
      <c r="B29" s="57"/>
      <c r="C29" s="57"/>
      <c r="D29" s="57"/>
      <c r="E29" s="57"/>
      <c r="F29" s="57"/>
      <c r="G29" s="57"/>
      <c r="H29" s="57"/>
      <c r="I29" s="57"/>
      <c r="J29" s="118"/>
      <c r="K29" s="118"/>
      <c r="L29" s="57"/>
      <c r="M29" s="62"/>
      <c r="P29" s="59"/>
      <c r="Q29" s="59"/>
      <c r="AT29" s="59"/>
      <c r="AU29" s="59"/>
      <c r="AV29" s="59"/>
    </row>
    <row r="30" spans="1:48" ht="13">
      <c r="A30" s="57"/>
      <c r="B30" s="57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2"/>
      <c r="P30" s="59"/>
      <c r="Q30" s="59"/>
      <c r="AT30" s="59"/>
      <c r="AU30" s="59"/>
      <c r="AV30" s="59"/>
    </row>
    <row r="31" spans="1:48" ht="13"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2"/>
      <c r="P31" s="59"/>
      <c r="Q31" s="59"/>
      <c r="AT31" s="59"/>
      <c r="AU31" s="59"/>
      <c r="AV31" s="59"/>
    </row>
    <row r="32" spans="1:48" ht="13"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P32" s="59"/>
      <c r="Q32" s="59"/>
      <c r="AT32" s="59"/>
      <c r="AU32" s="59"/>
      <c r="AV32" s="59"/>
    </row>
    <row r="33" spans="3:48" ht="13"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P33" s="59"/>
      <c r="Q33" s="59"/>
      <c r="AT33" s="59"/>
      <c r="AU33" s="59"/>
      <c r="AV33" s="59"/>
    </row>
    <row r="34" spans="3:48" ht="13">
      <c r="C34" s="59"/>
      <c r="D34" s="59"/>
      <c r="E34" s="59"/>
      <c r="F34" s="59"/>
      <c r="G34" s="59"/>
      <c r="H34" s="59"/>
      <c r="I34" s="59"/>
      <c r="J34" s="62"/>
      <c r="K34" s="62"/>
      <c r="L34" s="62"/>
      <c r="M34" s="62"/>
      <c r="P34" s="59"/>
      <c r="Q34" s="59"/>
      <c r="AT34" s="59"/>
      <c r="AU34" s="59"/>
      <c r="AV34" s="59"/>
    </row>
    <row r="35" spans="3:48" ht="13">
      <c r="P35" s="59"/>
      <c r="Q35" s="59"/>
      <c r="AT35" s="59"/>
      <c r="AU35" s="59"/>
      <c r="AV35" s="59"/>
    </row>
    <row r="36" spans="3:48" ht="13">
      <c r="P36" s="59"/>
      <c r="Q36" s="59"/>
      <c r="AT36" s="59"/>
      <c r="AU36" s="59"/>
      <c r="AV36" s="59"/>
    </row>
    <row r="37" spans="3:48" ht="13">
      <c r="P37" s="59"/>
      <c r="Q37" s="59"/>
      <c r="AT37" s="59"/>
      <c r="AU37" s="59"/>
      <c r="AV37" s="59"/>
    </row>
    <row r="38" spans="3:48" ht="13">
      <c r="P38" s="59"/>
      <c r="Q38" s="59"/>
      <c r="AT38" s="59"/>
      <c r="AU38" s="59"/>
      <c r="AV38" s="59"/>
    </row>
    <row r="39" spans="3:48" ht="13">
      <c r="P39" s="59"/>
      <c r="Q39" s="59"/>
      <c r="AT39" s="59"/>
      <c r="AU39" s="59"/>
      <c r="AV39" s="59"/>
    </row>
    <row r="40" spans="3:48" ht="13">
      <c r="P40" s="59"/>
      <c r="Q40" s="59"/>
      <c r="AT40" s="59"/>
      <c r="AU40" s="59"/>
      <c r="AV40" s="59"/>
    </row>
    <row r="41" spans="3:48" ht="13">
      <c r="P41" s="59"/>
      <c r="Q41" s="59"/>
      <c r="AT41" s="59"/>
      <c r="AU41" s="59"/>
      <c r="AV41" s="59"/>
    </row>
    <row r="42" spans="3:48" ht="13">
      <c r="P42" s="59"/>
      <c r="Q42" s="59"/>
      <c r="AT42" s="59"/>
      <c r="AU42" s="59"/>
      <c r="AV42" s="59"/>
    </row>
    <row r="43" spans="3:48" ht="13">
      <c r="P43" s="59"/>
      <c r="Q43" s="59"/>
      <c r="AT43" s="59"/>
      <c r="AU43" s="59"/>
      <c r="AV43" s="59"/>
    </row>
    <row r="44" spans="3:48" ht="13">
      <c r="P44" s="59"/>
      <c r="Q44" s="59"/>
      <c r="AT44" s="59"/>
      <c r="AU44" s="59"/>
      <c r="AV44" s="59"/>
    </row>
    <row r="45" spans="3:48" ht="13">
      <c r="P45" s="59"/>
      <c r="Q45" s="59"/>
      <c r="AT45" s="59"/>
      <c r="AU45" s="59"/>
      <c r="AV45" s="59"/>
    </row>
    <row r="46" spans="3:48" ht="13">
      <c r="P46" s="59"/>
      <c r="Q46" s="59"/>
      <c r="AT46" s="59"/>
      <c r="AU46" s="59"/>
      <c r="AV46" s="59"/>
    </row>
    <row r="47" spans="3:48" ht="13">
      <c r="P47" s="59"/>
      <c r="Q47" s="59"/>
      <c r="AT47" s="59"/>
      <c r="AU47" s="59"/>
      <c r="AV47" s="59"/>
    </row>
    <row r="48" spans="3:48" ht="13">
      <c r="P48" s="59"/>
      <c r="Q48" s="59"/>
      <c r="AT48" s="59"/>
      <c r="AU48" s="59"/>
      <c r="AV48" s="59"/>
    </row>
    <row r="49" spans="16:48" ht="13">
      <c r="P49" s="59"/>
      <c r="Q49" s="59"/>
      <c r="AT49" s="59"/>
      <c r="AU49" s="59"/>
      <c r="AV49" s="59"/>
    </row>
    <row r="50" spans="16:48" ht="13">
      <c r="P50" s="59"/>
      <c r="Q50" s="59"/>
      <c r="AT50" s="59"/>
      <c r="AU50" s="59"/>
      <c r="AV50" s="59"/>
    </row>
    <row r="51" spans="16:48" ht="13">
      <c r="P51" s="59"/>
      <c r="Q51" s="59"/>
      <c r="AT51" s="59"/>
      <c r="AU51" s="59"/>
      <c r="AV51" s="59"/>
    </row>
    <row r="52" spans="16:48" ht="13">
      <c r="P52" s="59"/>
      <c r="Q52" s="59"/>
      <c r="AT52" s="59"/>
      <c r="AU52" s="59"/>
      <c r="AV52" s="59"/>
    </row>
    <row r="53" spans="16:48" ht="13">
      <c r="P53" s="59"/>
      <c r="Q53" s="59"/>
      <c r="AT53" s="59"/>
      <c r="AU53" s="59"/>
      <c r="AV53" s="59"/>
    </row>
    <row r="54" spans="16:48" ht="13">
      <c r="P54" s="59"/>
      <c r="Q54" s="59"/>
      <c r="AT54" s="59"/>
      <c r="AU54" s="59"/>
      <c r="AV54" s="59"/>
    </row>
    <row r="55" spans="16:48" ht="13">
      <c r="P55" s="59"/>
      <c r="Q55" s="59"/>
      <c r="AT55" s="59"/>
      <c r="AU55" s="59"/>
      <c r="AV55" s="59"/>
    </row>
    <row r="56" spans="16:48" ht="13">
      <c r="P56" s="59"/>
      <c r="Q56" s="59"/>
      <c r="AT56" s="59"/>
      <c r="AU56" s="59"/>
      <c r="AV56" s="59"/>
    </row>
    <row r="57" spans="16:48" ht="13">
      <c r="P57" s="59"/>
      <c r="Q57" s="59"/>
      <c r="AT57" s="59"/>
      <c r="AU57" s="59"/>
      <c r="AV57" s="59"/>
    </row>
    <row r="58" spans="16:48" ht="13">
      <c r="P58" s="59"/>
      <c r="Q58" s="59"/>
      <c r="AT58" s="59"/>
      <c r="AU58" s="59"/>
      <c r="AV58" s="59"/>
    </row>
    <row r="59" spans="16:48" ht="13">
      <c r="P59" s="59"/>
      <c r="Q59" s="59"/>
      <c r="AT59" s="59"/>
      <c r="AU59" s="59"/>
      <c r="AV59" s="59"/>
    </row>
    <row r="60" spans="16:48" ht="13">
      <c r="P60" s="59"/>
      <c r="Q60" s="59"/>
      <c r="AT60" s="59"/>
      <c r="AU60" s="59"/>
      <c r="AV60" s="59"/>
    </row>
    <row r="61" spans="16:48" ht="13">
      <c r="P61" s="59"/>
      <c r="Q61" s="59"/>
      <c r="AT61" s="59"/>
      <c r="AU61" s="59"/>
      <c r="AV61" s="59"/>
    </row>
    <row r="62" spans="16:48" ht="13">
      <c r="P62" s="59"/>
      <c r="Q62" s="59"/>
      <c r="AT62" s="59"/>
      <c r="AU62" s="59"/>
      <c r="AV62" s="59"/>
    </row>
    <row r="63" spans="16:48" ht="13">
      <c r="P63" s="59"/>
      <c r="Q63" s="59"/>
      <c r="AT63" s="59"/>
      <c r="AU63" s="59"/>
      <c r="AV63" s="59"/>
    </row>
    <row r="64" spans="16:48" ht="13">
      <c r="P64" s="59"/>
      <c r="Q64" s="59"/>
      <c r="AT64" s="59"/>
      <c r="AU64" s="59"/>
      <c r="AV64" s="59"/>
    </row>
    <row r="65" spans="16:48" ht="13">
      <c r="P65" s="59"/>
      <c r="Q65" s="59"/>
      <c r="AT65" s="59"/>
      <c r="AU65" s="59"/>
      <c r="AV65" s="59"/>
    </row>
    <row r="66" spans="16:48" ht="13">
      <c r="P66" s="59"/>
      <c r="Q66" s="59"/>
      <c r="AT66" s="59"/>
      <c r="AU66" s="59"/>
      <c r="AV66" s="59"/>
    </row>
    <row r="67" spans="16:48" ht="13">
      <c r="P67" s="59"/>
      <c r="Q67" s="59"/>
      <c r="AT67" s="59"/>
      <c r="AU67" s="59"/>
      <c r="AV67" s="59"/>
    </row>
    <row r="68" spans="16:48" ht="13">
      <c r="P68" s="59"/>
      <c r="Q68" s="59"/>
      <c r="AT68" s="59"/>
      <c r="AU68" s="59"/>
      <c r="AV68" s="59"/>
    </row>
    <row r="69" spans="16:48" ht="13">
      <c r="P69" s="59"/>
      <c r="Q69" s="59"/>
      <c r="AT69" s="59"/>
      <c r="AU69" s="59"/>
      <c r="AV69" s="59"/>
    </row>
    <row r="70" spans="16:48" ht="13">
      <c r="P70" s="59"/>
      <c r="Q70" s="59"/>
      <c r="AT70" s="59"/>
      <c r="AU70" s="59"/>
      <c r="AV70" s="59"/>
    </row>
    <row r="71" spans="16:48" ht="13">
      <c r="P71" s="59"/>
      <c r="Q71" s="59"/>
      <c r="AT71" s="59"/>
      <c r="AU71" s="59"/>
      <c r="AV71" s="59"/>
    </row>
    <row r="72" spans="16:48" ht="13">
      <c r="P72" s="59"/>
      <c r="Q72" s="59"/>
      <c r="AT72" s="59"/>
      <c r="AU72" s="59"/>
      <c r="AV72" s="59"/>
    </row>
    <row r="73" spans="16:48" ht="13">
      <c r="P73" s="59"/>
      <c r="Q73" s="59"/>
      <c r="AT73" s="59"/>
      <c r="AU73" s="59"/>
      <c r="AV73" s="59"/>
    </row>
    <row r="74" spans="16:48" ht="13">
      <c r="P74" s="59"/>
      <c r="Q74" s="59"/>
      <c r="AT74" s="59"/>
      <c r="AU74" s="59"/>
      <c r="AV74" s="59"/>
    </row>
    <row r="75" spans="16:48" ht="13">
      <c r="P75" s="59"/>
      <c r="Q75" s="59"/>
      <c r="AT75" s="59"/>
      <c r="AU75" s="59"/>
      <c r="AV75" s="59"/>
    </row>
    <row r="76" spans="16:48" ht="13">
      <c r="P76" s="59"/>
      <c r="Q76" s="59"/>
      <c r="AT76" s="59"/>
      <c r="AU76" s="59"/>
      <c r="AV76" s="59"/>
    </row>
    <row r="77" spans="16:48" ht="13">
      <c r="P77" s="59"/>
      <c r="Q77" s="59"/>
      <c r="AT77" s="59"/>
      <c r="AU77" s="59"/>
      <c r="AV77" s="59"/>
    </row>
    <row r="78" spans="16:48" ht="13">
      <c r="P78" s="59"/>
      <c r="Q78" s="59"/>
      <c r="AT78" s="59"/>
      <c r="AU78" s="59"/>
      <c r="AV78" s="59"/>
    </row>
    <row r="79" spans="16:48" ht="13">
      <c r="P79" s="59"/>
      <c r="Q79" s="59"/>
      <c r="AT79" s="59"/>
      <c r="AU79" s="59"/>
      <c r="AV79" s="59"/>
    </row>
    <row r="80" spans="16:48" ht="13">
      <c r="P80" s="59"/>
      <c r="Q80" s="59"/>
      <c r="AT80" s="59"/>
      <c r="AU80" s="59"/>
      <c r="AV80" s="59"/>
    </row>
    <row r="81" spans="16:48" ht="13">
      <c r="P81" s="59"/>
      <c r="Q81" s="59"/>
      <c r="AT81" s="59"/>
      <c r="AU81" s="59"/>
      <c r="AV81" s="59"/>
    </row>
    <row r="82" spans="16:48" ht="13">
      <c r="P82" s="59"/>
      <c r="Q82" s="59"/>
      <c r="AT82" s="59"/>
      <c r="AU82" s="59"/>
      <c r="AV82" s="59"/>
    </row>
    <row r="83" spans="16:48" ht="13">
      <c r="P83" s="59"/>
      <c r="Q83" s="59"/>
      <c r="AT83" s="59"/>
      <c r="AU83" s="59"/>
      <c r="AV83" s="59"/>
    </row>
    <row r="84" spans="16:48" ht="13">
      <c r="P84" s="59"/>
      <c r="Q84" s="59"/>
      <c r="AT84" s="59"/>
      <c r="AU84" s="59"/>
      <c r="AV84" s="59"/>
    </row>
    <row r="85" spans="16:48" ht="13">
      <c r="P85" s="59"/>
      <c r="Q85" s="59"/>
      <c r="AT85" s="59"/>
      <c r="AU85" s="59"/>
      <c r="AV85" s="59"/>
    </row>
    <row r="86" spans="16:48" ht="13">
      <c r="P86" s="59"/>
      <c r="Q86" s="59"/>
      <c r="AT86" s="59"/>
      <c r="AU86" s="59"/>
      <c r="AV86" s="59"/>
    </row>
    <row r="87" spans="16:48" ht="13">
      <c r="P87" s="59"/>
      <c r="Q87" s="59"/>
      <c r="AT87" s="59"/>
      <c r="AU87" s="59"/>
      <c r="AV87" s="59"/>
    </row>
    <row r="88" spans="16:48" ht="13">
      <c r="P88" s="59"/>
      <c r="Q88" s="59"/>
      <c r="AT88" s="59"/>
      <c r="AU88" s="59"/>
      <c r="AV88" s="59"/>
    </row>
    <row r="89" spans="16:48" ht="13">
      <c r="P89" s="59"/>
      <c r="Q89" s="59"/>
      <c r="AT89" s="59"/>
      <c r="AU89" s="59"/>
      <c r="AV89" s="59"/>
    </row>
    <row r="90" spans="16:48" ht="13">
      <c r="P90" s="59"/>
      <c r="Q90" s="59"/>
      <c r="AT90" s="59"/>
      <c r="AU90" s="59"/>
      <c r="AV90" s="59"/>
    </row>
    <row r="91" spans="16:48" ht="13">
      <c r="P91" s="59"/>
      <c r="Q91" s="59"/>
      <c r="AT91" s="59"/>
      <c r="AU91" s="59"/>
      <c r="AV91" s="59"/>
    </row>
    <row r="92" spans="16:48" ht="13">
      <c r="P92" s="59"/>
      <c r="Q92" s="59"/>
      <c r="AT92" s="59"/>
      <c r="AU92" s="59"/>
      <c r="AV92" s="59"/>
    </row>
    <row r="93" spans="16:48" ht="13">
      <c r="P93" s="59"/>
      <c r="Q93" s="59"/>
      <c r="AT93" s="59"/>
      <c r="AU93" s="59"/>
      <c r="AV93" s="59"/>
    </row>
    <row r="94" spans="16:48" ht="13">
      <c r="P94" s="59"/>
      <c r="Q94" s="59"/>
      <c r="AT94" s="59"/>
      <c r="AU94" s="59"/>
      <c r="AV94" s="59"/>
    </row>
    <row r="95" spans="16:48" ht="13">
      <c r="P95" s="59"/>
      <c r="Q95" s="59"/>
      <c r="AT95" s="59"/>
      <c r="AU95" s="59"/>
      <c r="AV95" s="59"/>
    </row>
    <row r="96" spans="16:48" ht="13">
      <c r="P96" s="59"/>
      <c r="Q96" s="59"/>
      <c r="AT96" s="59"/>
      <c r="AU96" s="59"/>
      <c r="AV96" s="59"/>
    </row>
    <row r="97" spans="16:48" ht="13">
      <c r="P97" s="59"/>
      <c r="Q97" s="59"/>
      <c r="AT97" s="59"/>
      <c r="AU97" s="59"/>
      <c r="AV97" s="59"/>
    </row>
    <row r="98" spans="16:48" ht="13">
      <c r="P98" s="59"/>
      <c r="Q98" s="59"/>
      <c r="AT98" s="59"/>
      <c r="AU98" s="59"/>
      <c r="AV98" s="59"/>
    </row>
    <row r="99" spans="16:48" ht="13">
      <c r="P99" s="59"/>
      <c r="Q99" s="59"/>
      <c r="AT99" s="59"/>
      <c r="AU99" s="59"/>
      <c r="AV99" s="59"/>
    </row>
    <row r="100" spans="16:48" ht="13">
      <c r="P100" s="59"/>
      <c r="Q100" s="59"/>
      <c r="AT100" s="59"/>
      <c r="AU100" s="59"/>
      <c r="AV100" s="59"/>
    </row>
    <row r="101" spans="16:48" ht="13">
      <c r="P101" s="59"/>
      <c r="Q101" s="59"/>
      <c r="AT101" s="59"/>
      <c r="AU101" s="59"/>
      <c r="AV101" s="59"/>
    </row>
    <row r="102" spans="16:48" ht="13">
      <c r="P102" s="59"/>
      <c r="Q102" s="59"/>
      <c r="AT102" s="59"/>
      <c r="AU102" s="59"/>
      <c r="AV102" s="59"/>
    </row>
    <row r="103" spans="16:48" ht="13">
      <c r="P103" s="59"/>
      <c r="Q103" s="59"/>
      <c r="AT103" s="59"/>
      <c r="AU103" s="59"/>
      <c r="AV103" s="59"/>
    </row>
    <row r="104" spans="16:48" ht="13">
      <c r="P104" s="59"/>
      <c r="Q104" s="59"/>
      <c r="AT104" s="59"/>
      <c r="AU104" s="59"/>
      <c r="AV104" s="59"/>
    </row>
    <row r="105" spans="16:48" ht="13">
      <c r="P105" s="59"/>
      <c r="Q105" s="59"/>
      <c r="AT105" s="59"/>
      <c r="AU105" s="59"/>
      <c r="AV105" s="59"/>
    </row>
    <row r="106" spans="16:48" ht="13">
      <c r="P106" s="59"/>
      <c r="Q106" s="59"/>
      <c r="AT106" s="59"/>
      <c r="AU106" s="59"/>
      <c r="AV106" s="59"/>
    </row>
    <row r="107" spans="16:48" ht="13">
      <c r="P107" s="59"/>
      <c r="Q107" s="59"/>
      <c r="AT107" s="59"/>
      <c r="AU107" s="59"/>
      <c r="AV107" s="59"/>
    </row>
    <row r="108" spans="16:48" ht="13">
      <c r="P108" s="59"/>
      <c r="Q108" s="59"/>
      <c r="AT108" s="59"/>
      <c r="AU108" s="59"/>
      <c r="AV108" s="59"/>
    </row>
    <row r="109" spans="16:48" ht="13">
      <c r="P109" s="59"/>
      <c r="Q109" s="59"/>
      <c r="AT109" s="59"/>
      <c r="AU109" s="59"/>
      <c r="AV109" s="59"/>
    </row>
    <row r="110" spans="16:48" ht="13">
      <c r="P110" s="59"/>
      <c r="Q110" s="59"/>
      <c r="AT110" s="59"/>
      <c r="AU110" s="59"/>
      <c r="AV110" s="59"/>
    </row>
    <row r="111" spans="16:48" ht="13">
      <c r="P111" s="59"/>
      <c r="Q111" s="59"/>
      <c r="AT111" s="59"/>
      <c r="AU111" s="59"/>
      <c r="AV111" s="59"/>
    </row>
    <row r="112" spans="16:48" ht="13">
      <c r="P112" s="59"/>
      <c r="Q112" s="59"/>
      <c r="AT112" s="59"/>
      <c r="AU112" s="59"/>
      <c r="AV112" s="59"/>
    </row>
    <row r="113" spans="16:48" ht="13">
      <c r="P113" s="59"/>
      <c r="Q113" s="59"/>
      <c r="AT113" s="59"/>
      <c r="AU113" s="59"/>
      <c r="AV113" s="59"/>
    </row>
    <row r="114" spans="16:48" ht="13">
      <c r="P114" s="59"/>
      <c r="Q114" s="59"/>
      <c r="AT114" s="59"/>
      <c r="AU114" s="59"/>
      <c r="AV114" s="59"/>
    </row>
    <row r="115" spans="16:48" ht="13">
      <c r="P115" s="59"/>
      <c r="Q115" s="59"/>
      <c r="AT115" s="59"/>
      <c r="AU115" s="59"/>
      <c r="AV115" s="59"/>
    </row>
    <row r="116" spans="16:48" ht="13">
      <c r="P116" s="59"/>
      <c r="Q116" s="59"/>
      <c r="AT116" s="59"/>
      <c r="AU116" s="59"/>
      <c r="AV116" s="59"/>
    </row>
    <row r="117" spans="16:48" ht="13">
      <c r="P117" s="59"/>
      <c r="Q117" s="59"/>
      <c r="AT117" s="59"/>
      <c r="AU117" s="59"/>
      <c r="AV117" s="59"/>
    </row>
    <row r="118" spans="16:48" ht="13">
      <c r="P118" s="59"/>
      <c r="Q118" s="59"/>
      <c r="AT118" s="59"/>
      <c r="AU118" s="59"/>
      <c r="AV118" s="59"/>
    </row>
    <row r="119" spans="16:48" ht="13">
      <c r="P119" s="59"/>
      <c r="Q119" s="59"/>
      <c r="AT119" s="59"/>
      <c r="AU119" s="59"/>
      <c r="AV119" s="59"/>
    </row>
    <row r="120" spans="16:48" ht="13">
      <c r="P120" s="59"/>
      <c r="Q120" s="59"/>
      <c r="AT120" s="59"/>
      <c r="AU120" s="59"/>
      <c r="AV120" s="59"/>
    </row>
    <row r="121" spans="16:48" ht="13">
      <c r="P121" s="59"/>
      <c r="Q121" s="59"/>
      <c r="AT121" s="59"/>
      <c r="AU121" s="59"/>
      <c r="AV121" s="59"/>
    </row>
    <row r="122" spans="16:48" ht="13">
      <c r="P122" s="59"/>
      <c r="Q122" s="59"/>
      <c r="AT122" s="59"/>
      <c r="AU122" s="59"/>
      <c r="AV122" s="59"/>
    </row>
    <row r="123" spans="16:48" ht="13">
      <c r="P123" s="59"/>
      <c r="Q123" s="59"/>
      <c r="AT123" s="59"/>
      <c r="AU123" s="59"/>
      <c r="AV123" s="59"/>
    </row>
    <row r="124" spans="16:48" ht="13">
      <c r="P124" s="59"/>
      <c r="Q124" s="59"/>
      <c r="AT124" s="59"/>
      <c r="AU124" s="59"/>
      <c r="AV124" s="59"/>
    </row>
    <row r="125" spans="16:48" ht="13">
      <c r="P125" s="59"/>
      <c r="Q125" s="59"/>
      <c r="AT125" s="59"/>
      <c r="AU125" s="59"/>
      <c r="AV125" s="59"/>
    </row>
    <row r="126" spans="16:48" ht="13">
      <c r="P126" s="59"/>
      <c r="Q126" s="59"/>
      <c r="AT126" s="59"/>
      <c r="AU126" s="59"/>
      <c r="AV126" s="59"/>
    </row>
    <row r="127" spans="16:48" ht="13">
      <c r="P127" s="59"/>
      <c r="Q127" s="59"/>
      <c r="AT127" s="59"/>
      <c r="AU127" s="59"/>
      <c r="AV127" s="59"/>
    </row>
    <row r="128" spans="16:48" ht="13">
      <c r="P128" s="59"/>
      <c r="Q128" s="59"/>
      <c r="AT128" s="59"/>
      <c r="AU128" s="59"/>
      <c r="AV128" s="59"/>
    </row>
    <row r="129" spans="16:48" ht="13">
      <c r="P129" s="59"/>
      <c r="Q129" s="59"/>
      <c r="AT129" s="59"/>
      <c r="AU129" s="59"/>
      <c r="AV129" s="59"/>
    </row>
    <row r="130" spans="16:48" ht="13">
      <c r="P130" s="59"/>
      <c r="Q130" s="59"/>
      <c r="AT130" s="59"/>
      <c r="AU130" s="59"/>
      <c r="AV130" s="59"/>
    </row>
    <row r="131" spans="16:48" ht="13">
      <c r="P131" s="59"/>
      <c r="Q131" s="59"/>
      <c r="AT131" s="59"/>
      <c r="AU131" s="59"/>
      <c r="AV131" s="59"/>
    </row>
    <row r="132" spans="16:48" ht="13">
      <c r="P132" s="59"/>
      <c r="Q132" s="59"/>
      <c r="AT132" s="59"/>
      <c r="AU132" s="59"/>
      <c r="AV132" s="59"/>
    </row>
    <row r="133" spans="16:48" ht="13">
      <c r="P133" s="59"/>
      <c r="Q133" s="59"/>
      <c r="AT133" s="59"/>
      <c r="AU133" s="59"/>
      <c r="AV133" s="59"/>
    </row>
    <row r="134" spans="16:48" ht="13">
      <c r="P134" s="59"/>
      <c r="Q134" s="59"/>
      <c r="AT134" s="59"/>
      <c r="AU134" s="59"/>
      <c r="AV134" s="59"/>
    </row>
    <row r="135" spans="16:48" ht="13">
      <c r="P135" s="59"/>
      <c r="Q135" s="59"/>
      <c r="AT135" s="59"/>
      <c r="AU135" s="59"/>
      <c r="AV135" s="59"/>
    </row>
    <row r="136" spans="16:48" ht="13">
      <c r="P136" s="59"/>
      <c r="Q136" s="59"/>
      <c r="AT136" s="59"/>
      <c r="AU136" s="59"/>
      <c r="AV136" s="59"/>
    </row>
    <row r="137" spans="16:48" ht="13">
      <c r="P137" s="59"/>
      <c r="Q137" s="59"/>
      <c r="AT137" s="59"/>
      <c r="AU137" s="59"/>
      <c r="AV137" s="59"/>
    </row>
    <row r="138" spans="16:48" ht="13">
      <c r="P138" s="59"/>
      <c r="Q138" s="59"/>
      <c r="AT138" s="59"/>
      <c r="AU138" s="59"/>
      <c r="AV138" s="59"/>
    </row>
    <row r="139" spans="16:48" ht="13">
      <c r="P139" s="59"/>
      <c r="Q139" s="59"/>
      <c r="AT139" s="59"/>
      <c r="AU139" s="59"/>
      <c r="AV139" s="59"/>
    </row>
    <row r="140" spans="16:48" ht="13">
      <c r="P140" s="59"/>
      <c r="Q140" s="59"/>
      <c r="AT140" s="59"/>
      <c r="AU140" s="59"/>
      <c r="AV140" s="59"/>
    </row>
    <row r="141" spans="16:48" ht="13">
      <c r="P141" s="59"/>
      <c r="Q141" s="59"/>
      <c r="AT141" s="59"/>
      <c r="AU141" s="59"/>
      <c r="AV141" s="59"/>
    </row>
    <row r="142" spans="16:48" ht="13">
      <c r="P142" s="59"/>
      <c r="Q142" s="59"/>
      <c r="AT142" s="59"/>
      <c r="AU142" s="59"/>
      <c r="AV142" s="59"/>
    </row>
    <row r="143" spans="16:48" ht="13">
      <c r="P143" s="59"/>
      <c r="Q143" s="59"/>
      <c r="AT143" s="59"/>
      <c r="AU143" s="59"/>
      <c r="AV143" s="59"/>
    </row>
    <row r="144" spans="16:48" ht="13">
      <c r="P144" s="59"/>
      <c r="Q144" s="59"/>
      <c r="AT144" s="59"/>
      <c r="AU144" s="59"/>
      <c r="AV144" s="59"/>
    </row>
    <row r="145" spans="16:48" ht="13">
      <c r="P145" s="59"/>
      <c r="Q145" s="59"/>
      <c r="AT145" s="59"/>
      <c r="AU145" s="59"/>
      <c r="AV145" s="59"/>
    </row>
    <row r="146" spans="16:48" ht="13">
      <c r="P146" s="59"/>
      <c r="Q146" s="59"/>
      <c r="AT146" s="59"/>
      <c r="AU146" s="59"/>
      <c r="AV146" s="59"/>
    </row>
    <row r="147" spans="16:48" ht="13">
      <c r="P147" s="59"/>
      <c r="Q147" s="59"/>
      <c r="AT147" s="59"/>
      <c r="AU147" s="59"/>
      <c r="AV147" s="59"/>
    </row>
    <row r="148" spans="16:48" ht="13">
      <c r="P148" s="59"/>
      <c r="Q148" s="59"/>
      <c r="AT148" s="59"/>
      <c r="AU148" s="59"/>
      <c r="AV148" s="59"/>
    </row>
    <row r="149" spans="16:48" ht="13">
      <c r="P149" s="59"/>
      <c r="Q149" s="59"/>
      <c r="AT149" s="59"/>
      <c r="AU149" s="59"/>
      <c r="AV149" s="59"/>
    </row>
    <row r="150" spans="16:48" ht="13">
      <c r="P150" s="59"/>
      <c r="Q150" s="59"/>
      <c r="AT150" s="59"/>
      <c r="AU150" s="59"/>
      <c r="AV150" s="59"/>
    </row>
    <row r="151" spans="16:48" ht="13">
      <c r="P151" s="59"/>
      <c r="Q151" s="59"/>
      <c r="AT151" s="59"/>
      <c r="AU151" s="59"/>
      <c r="AV151" s="59"/>
    </row>
    <row r="152" spans="16:48" ht="13">
      <c r="P152" s="59"/>
      <c r="Q152" s="59"/>
      <c r="AT152" s="59"/>
      <c r="AU152" s="59"/>
      <c r="AV152" s="59"/>
    </row>
    <row r="153" spans="16:48" ht="13">
      <c r="P153" s="59"/>
      <c r="Q153" s="59"/>
      <c r="AT153" s="59"/>
      <c r="AU153" s="59"/>
      <c r="AV153" s="59"/>
    </row>
    <row r="154" spans="16:48" ht="13">
      <c r="P154" s="59"/>
      <c r="Q154" s="59"/>
      <c r="AT154" s="59"/>
      <c r="AU154" s="59"/>
      <c r="AV154" s="59"/>
    </row>
    <row r="155" spans="16:48" ht="13">
      <c r="P155" s="59"/>
      <c r="Q155" s="59"/>
      <c r="AT155" s="59"/>
      <c r="AU155" s="59"/>
      <c r="AV155" s="59"/>
    </row>
    <row r="156" spans="16:48" ht="13">
      <c r="P156" s="59"/>
      <c r="Q156" s="59"/>
      <c r="AT156" s="59"/>
      <c r="AU156" s="59"/>
      <c r="AV156" s="59"/>
    </row>
    <row r="157" spans="16:48" ht="13">
      <c r="P157" s="59"/>
      <c r="Q157" s="59"/>
      <c r="AT157" s="59"/>
      <c r="AU157" s="59"/>
      <c r="AV157" s="59"/>
    </row>
    <row r="158" spans="16:48" ht="13">
      <c r="P158" s="59"/>
      <c r="Q158" s="59"/>
      <c r="AT158" s="59"/>
      <c r="AU158" s="59"/>
      <c r="AV158" s="59"/>
    </row>
    <row r="159" spans="16:48" ht="13">
      <c r="P159" s="59"/>
      <c r="Q159" s="59"/>
      <c r="AT159" s="59"/>
      <c r="AU159" s="59"/>
      <c r="AV159" s="59"/>
    </row>
    <row r="160" spans="16:48" ht="13">
      <c r="P160" s="59"/>
      <c r="Q160" s="59"/>
      <c r="AT160" s="59"/>
      <c r="AU160" s="59"/>
      <c r="AV160" s="59"/>
    </row>
    <row r="161" spans="16:48" ht="13">
      <c r="P161" s="59"/>
      <c r="Q161" s="59"/>
      <c r="AT161" s="59"/>
      <c r="AU161" s="59"/>
      <c r="AV161" s="59"/>
    </row>
    <row r="162" spans="16:48" ht="13">
      <c r="P162" s="59"/>
      <c r="Q162" s="59"/>
      <c r="AT162" s="59"/>
      <c r="AU162" s="59"/>
      <c r="AV162" s="59"/>
    </row>
    <row r="163" spans="16:48" ht="13">
      <c r="P163" s="59"/>
      <c r="Q163" s="59"/>
      <c r="AT163" s="59"/>
      <c r="AU163" s="59"/>
      <c r="AV163" s="59"/>
    </row>
    <row r="164" spans="16:48" ht="13">
      <c r="P164" s="59"/>
      <c r="Q164" s="59"/>
      <c r="AT164" s="59"/>
      <c r="AU164" s="59"/>
      <c r="AV164" s="59"/>
    </row>
    <row r="165" spans="16:48" ht="13">
      <c r="P165" s="59"/>
      <c r="Q165" s="59"/>
      <c r="AT165" s="59"/>
      <c r="AU165" s="59"/>
      <c r="AV165" s="59"/>
    </row>
    <row r="166" spans="16:48" ht="13">
      <c r="P166" s="59"/>
      <c r="Q166" s="59"/>
      <c r="AT166" s="59"/>
      <c r="AU166" s="59"/>
      <c r="AV166" s="59"/>
    </row>
    <row r="167" spans="16:48" ht="13">
      <c r="P167" s="59"/>
      <c r="Q167" s="59"/>
      <c r="AT167" s="59"/>
      <c r="AU167" s="59"/>
      <c r="AV167" s="59"/>
    </row>
    <row r="168" spans="16:48" ht="13">
      <c r="P168" s="59"/>
      <c r="Q168" s="59"/>
      <c r="AT168" s="59"/>
      <c r="AU168" s="59"/>
      <c r="AV168" s="59"/>
    </row>
    <row r="169" spans="16:48" ht="13">
      <c r="P169" s="59"/>
      <c r="Q169" s="59"/>
      <c r="AT169" s="59"/>
      <c r="AU169" s="59"/>
      <c r="AV169" s="59"/>
    </row>
    <row r="170" spans="16:48" ht="13">
      <c r="P170" s="59"/>
      <c r="Q170" s="59"/>
      <c r="AT170" s="59"/>
      <c r="AU170" s="59"/>
      <c r="AV170" s="59"/>
    </row>
    <row r="171" spans="16:48" ht="13">
      <c r="P171" s="59"/>
      <c r="Q171" s="59"/>
      <c r="AT171" s="59"/>
      <c r="AU171" s="59"/>
      <c r="AV171" s="59"/>
    </row>
    <row r="172" spans="16:48" ht="13">
      <c r="P172" s="59"/>
      <c r="Q172" s="59"/>
      <c r="AT172" s="59"/>
      <c r="AU172" s="59"/>
      <c r="AV172" s="59"/>
    </row>
    <row r="173" spans="16:48" ht="13">
      <c r="P173" s="59"/>
      <c r="Q173" s="59"/>
      <c r="AT173" s="59"/>
      <c r="AU173" s="59"/>
      <c r="AV173" s="59"/>
    </row>
    <row r="174" spans="16:48" ht="13">
      <c r="P174" s="59"/>
      <c r="Q174" s="59"/>
      <c r="AT174" s="59"/>
      <c r="AU174" s="59"/>
      <c r="AV174" s="59"/>
    </row>
    <row r="175" spans="16:48" ht="13">
      <c r="P175" s="59"/>
      <c r="Q175" s="59"/>
      <c r="AT175" s="59"/>
      <c r="AU175" s="59"/>
      <c r="AV175" s="59"/>
    </row>
    <row r="176" spans="16:48" ht="13">
      <c r="P176" s="59"/>
      <c r="Q176" s="59"/>
      <c r="AT176" s="59"/>
      <c r="AU176" s="59"/>
      <c r="AV176" s="59"/>
    </row>
    <row r="177" spans="16:48" ht="13">
      <c r="P177" s="59"/>
      <c r="Q177" s="59"/>
      <c r="AT177" s="59"/>
      <c r="AU177" s="59"/>
      <c r="AV177" s="59"/>
    </row>
    <row r="178" spans="16:48" ht="13">
      <c r="P178" s="59"/>
      <c r="Q178" s="59"/>
      <c r="AT178" s="59"/>
      <c r="AU178" s="59"/>
      <c r="AV178" s="59"/>
    </row>
    <row r="179" spans="16:48" ht="13">
      <c r="P179" s="59"/>
      <c r="Q179" s="59"/>
      <c r="AT179" s="59"/>
      <c r="AU179" s="59"/>
      <c r="AV179" s="59"/>
    </row>
    <row r="180" spans="16:48" ht="13">
      <c r="P180" s="59"/>
      <c r="Q180" s="59"/>
      <c r="AT180" s="59"/>
      <c r="AU180" s="59"/>
      <c r="AV180" s="59"/>
    </row>
    <row r="181" spans="16:48" ht="13">
      <c r="P181" s="59"/>
      <c r="Q181" s="59"/>
      <c r="AT181" s="59"/>
      <c r="AU181" s="59"/>
      <c r="AV181" s="59"/>
    </row>
    <row r="182" spans="16:48" ht="13">
      <c r="P182" s="59"/>
      <c r="Q182" s="59"/>
      <c r="AT182" s="59"/>
      <c r="AU182" s="59"/>
      <c r="AV182" s="59"/>
    </row>
    <row r="183" spans="16:48" ht="13">
      <c r="P183" s="59"/>
      <c r="Q183" s="59"/>
      <c r="AT183" s="59"/>
      <c r="AU183" s="59"/>
      <c r="AV183" s="59"/>
    </row>
    <row r="184" spans="16:48" ht="13">
      <c r="P184" s="59"/>
      <c r="Q184" s="59"/>
      <c r="AT184" s="59"/>
      <c r="AU184" s="59"/>
      <c r="AV184" s="59"/>
    </row>
    <row r="185" spans="16:48" ht="13">
      <c r="P185" s="59"/>
      <c r="Q185" s="59"/>
      <c r="AT185" s="59"/>
      <c r="AU185" s="59"/>
      <c r="AV185" s="59"/>
    </row>
    <row r="186" spans="16:48" ht="13">
      <c r="P186" s="59"/>
      <c r="Q186" s="59"/>
      <c r="AT186" s="59"/>
      <c r="AU186" s="59"/>
      <c r="AV186" s="59"/>
    </row>
    <row r="187" spans="16:48" ht="13">
      <c r="P187" s="59"/>
      <c r="Q187" s="59"/>
      <c r="AT187" s="59"/>
      <c r="AU187" s="59"/>
      <c r="AV187" s="59"/>
    </row>
    <row r="188" spans="16:48" ht="13">
      <c r="P188" s="59"/>
      <c r="Q188" s="59"/>
      <c r="AT188" s="59"/>
      <c r="AU188" s="59"/>
      <c r="AV188" s="59"/>
    </row>
    <row r="189" spans="16:48" ht="13">
      <c r="P189" s="59"/>
      <c r="Q189" s="59"/>
      <c r="AT189" s="59"/>
      <c r="AU189" s="59"/>
      <c r="AV189" s="59"/>
    </row>
    <row r="190" spans="16:48" ht="13">
      <c r="P190" s="59"/>
      <c r="Q190" s="59"/>
      <c r="AT190" s="59"/>
      <c r="AU190" s="59"/>
      <c r="AV190" s="59"/>
    </row>
    <row r="191" spans="16:48" ht="13">
      <c r="P191" s="59"/>
      <c r="Q191" s="59"/>
      <c r="AT191" s="59"/>
      <c r="AU191" s="59"/>
      <c r="AV191" s="59"/>
    </row>
    <row r="192" spans="16:48" ht="13">
      <c r="P192" s="59"/>
      <c r="Q192" s="59"/>
      <c r="AT192" s="59"/>
      <c r="AU192" s="59"/>
      <c r="AV192" s="59"/>
    </row>
    <row r="193" spans="16:48" ht="13">
      <c r="P193" s="59"/>
      <c r="Q193" s="59"/>
      <c r="AT193" s="59"/>
      <c r="AU193" s="59"/>
      <c r="AV193" s="59"/>
    </row>
    <row r="194" spans="16:48" ht="13">
      <c r="P194" s="59"/>
      <c r="Q194" s="59"/>
      <c r="AT194" s="59"/>
      <c r="AU194" s="59"/>
      <c r="AV194" s="59"/>
    </row>
    <row r="195" spans="16:48" ht="13">
      <c r="P195" s="59"/>
      <c r="Q195" s="59"/>
      <c r="AT195" s="59"/>
      <c r="AU195" s="59"/>
      <c r="AV195" s="59"/>
    </row>
    <row r="196" spans="16:48" ht="13">
      <c r="P196" s="59"/>
      <c r="Q196" s="59"/>
      <c r="AT196" s="59"/>
      <c r="AU196" s="59"/>
      <c r="AV196" s="59"/>
    </row>
    <row r="197" spans="16:48" ht="13">
      <c r="P197" s="59"/>
      <c r="Q197" s="59"/>
      <c r="AT197" s="59"/>
      <c r="AU197" s="59"/>
      <c r="AV197" s="59"/>
    </row>
    <row r="198" spans="16:48" ht="13">
      <c r="P198" s="59"/>
      <c r="Q198" s="59"/>
      <c r="AT198" s="59"/>
      <c r="AU198" s="59"/>
      <c r="AV198" s="59"/>
    </row>
    <row r="199" spans="16:48" ht="13">
      <c r="P199" s="59"/>
      <c r="Q199" s="59"/>
      <c r="AT199" s="59"/>
      <c r="AU199" s="59"/>
      <c r="AV199" s="59"/>
    </row>
    <row r="200" spans="16:48" ht="13">
      <c r="P200" s="59"/>
      <c r="Q200" s="59"/>
      <c r="AT200" s="59"/>
      <c r="AU200" s="59"/>
      <c r="AV200" s="59"/>
    </row>
    <row r="201" spans="16:48" ht="13">
      <c r="P201" s="59"/>
      <c r="Q201" s="59"/>
      <c r="AT201" s="59"/>
      <c r="AU201" s="59"/>
      <c r="AV201" s="59"/>
    </row>
    <row r="202" spans="16:48" ht="13">
      <c r="P202" s="59"/>
      <c r="Q202" s="59"/>
      <c r="AT202" s="59"/>
      <c r="AU202" s="59"/>
      <c r="AV202" s="59"/>
    </row>
    <row r="203" spans="16:48" ht="13">
      <c r="P203" s="59"/>
      <c r="Q203" s="59"/>
      <c r="AT203" s="59"/>
      <c r="AU203" s="59"/>
      <c r="AV203" s="59"/>
    </row>
    <row r="204" spans="16:48" ht="13">
      <c r="P204" s="59"/>
      <c r="Q204" s="59"/>
      <c r="AT204" s="59"/>
      <c r="AU204" s="59"/>
      <c r="AV204" s="59"/>
    </row>
    <row r="205" spans="16:48" ht="13">
      <c r="P205" s="59"/>
      <c r="Q205" s="59"/>
      <c r="AT205" s="59"/>
      <c r="AU205" s="59"/>
      <c r="AV205" s="59"/>
    </row>
    <row r="206" spans="16:48" ht="13">
      <c r="P206" s="59"/>
      <c r="Q206" s="59"/>
      <c r="AT206" s="59"/>
      <c r="AU206" s="59"/>
      <c r="AV206" s="59"/>
    </row>
    <row r="207" spans="16:48" ht="13">
      <c r="P207" s="59"/>
      <c r="Q207" s="59"/>
      <c r="AT207" s="59"/>
      <c r="AU207" s="59"/>
      <c r="AV207" s="59"/>
    </row>
    <row r="208" spans="16:48" ht="13">
      <c r="P208" s="59"/>
      <c r="Q208" s="59"/>
      <c r="AT208" s="59"/>
      <c r="AU208" s="59"/>
      <c r="AV208" s="59"/>
    </row>
    <row r="209" spans="16:48" ht="13">
      <c r="P209" s="59"/>
      <c r="Q209" s="59"/>
      <c r="AT209" s="59"/>
      <c r="AU209" s="59"/>
      <c r="AV209" s="59"/>
    </row>
    <row r="210" spans="16:48" ht="13">
      <c r="P210" s="59"/>
      <c r="Q210" s="59"/>
      <c r="AT210" s="59"/>
      <c r="AU210" s="59"/>
      <c r="AV210" s="59"/>
    </row>
    <row r="211" spans="16:48" ht="13">
      <c r="P211" s="59"/>
      <c r="Q211" s="59"/>
      <c r="AT211" s="59"/>
      <c r="AU211" s="59"/>
      <c r="AV211" s="59"/>
    </row>
    <row r="212" spans="16:48" ht="13">
      <c r="P212" s="59"/>
      <c r="Q212" s="59"/>
      <c r="AT212" s="59"/>
      <c r="AU212" s="59"/>
      <c r="AV212" s="59"/>
    </row>
    <row r="213" spans="16:48" ht="13">
      <c r="P213" s="59"/>
      <c r="Q213" s="59"/>
      <c r="AT213" s="59"/>
      <c r="AU213" s="59"/>
      <c r="AV213" s="59"/>
    </row>
    <row r="214" spans="16:48" ht="13">
      <c r="P214" s="59"/>
      <c r="Q214" s="59"/>
      <c r="AT214" s="59"/>
      <c r="AU214" s="59"/>
      <c r="AV214" s="59"/>
    </row>
    <row r="215" spans="16:48" ht="13">
      <c r="P215" s="59"/>
      <c r="Q215" s="59"/>
      <c r="AT215" s="59"/>
      <c r="AU215" s="59"/>
      <c r="AV215" s="59"/>
    </row>
    <row r="216" spans="16:48" ht="13">
      <c r="P216" s="59"/>
      <c r="Q216" s="59"/>
      <c r="AT216" s="59"/>
      <c r="AU216" s="59"/>
      <c r="AV216" s="59"/>
    </row>
    <row r="217" spans="16:48" ht="13">
      <c r="P217" s="59"/>
      <c r="Q217" s="59"/>
      <c r="AT217" s="59"/>
      <c r="AU217" s="59"/>
      <c r="AV217" s="59"/>
    </row>
    <row r="218" spans="16:48" ht="13">
      <c r="P218" s="59"/>
      <c r="Q218" s="59"/>
      <c r="AT218" s="59"/>
      <c r="AU218" s="59"/>
      <c r="AV218" s="59"/>
    </row>
    <row r="219" spans="16:48" ht="13">
      <c r="P219" s="59"/>
      <c r="Q219" s="59"/>
      <c r="AT219" s="59"/>
      <c r="AU219" s="59"/>
      <c r="AV219" s="59"/>
    </row>
    <row r="220" spans="16:48" ht="13">
      <c r="P220" s="59"/>
      <c r="Q220" s="59"/>
      <c r="AT220" s="59"/>
      <c r="AU220" s="59"/>
      <c r="AV220" s="59"/>
    </row>
    <row r="221" spans="16:48" ht="13">
      <c r="P221" s="59"/>
      <c r="Q221" s="59"/>
      <c r="AT221" s="59"/>
      <c r="AU221" s="59"/>
      <c r="AV221" s="59"/>
    </row>
    <row r="222" spans="16:48" ht="13">
      <c r="P222" s="59"/>
      <c r="Q222" s="59"/>
      <c r="AT222" s="59"/>
      <c r="AU222" s="59"/>
      <c r="AV222" s="59"/>
    </row>
    <row r="223" spans="16:48" ht="13">
      <c r="P223" s="59"/>
      <c r="Q223" s="59"/>
      <c r="AT223" s="59"/>
      <c r="AU223" s="59"/>
      <c r="AV223" s="59"/>
    </row>
    <row r="224" spans="16:48" ht="13">
      <c r="P224" s="59"/>
      <c r="Q224" s="59"/>
      <c r="AT224" s="59"/>
      <c r="AU224" s="59"/>
      <c r="AV224" s="59"/>
    </row>
    <row r="225" spans="16:48" ht="13">
      <c r="P225" s="59"/>
      <c r="Q225" s="59"/>
      <c r="AT225" s="59"/>
      <c r="AU225" s="59"/>
      <c r="AV225" s="59"/>
    </row>
    <row r="226" spans="16:48" ht="13">
      <c r="P226" s="59"/>
      <c r="Q226" s="59"/>
      <c r="AT226" s="59"/>
      <c r="AU226" s="59"/>
      <c r="AV226" s="59"/>
    </row>
    <row r="227" spans="16:48" ht="13">
      <c r="P227" s="59"/>
      <c r="Q227" s="59"/>
      <c r="AT227" s="59"/>
      <c r="AU227" s="59"/>
      <c r="AV227" s="59"/>
    </row>
    <row r="228" spans="16:48" ht="13">
      <c r="P228" s="59"/>
      <c r="Q228" s="59"/>
      <c r="AT228" s="59"/>
      <c r="AU228" s="59"/>
      <c r="AV228" s="59"/>
    </row>
    <row r="229" spans="16:48" ht="13">
      <c r="P229" s="59"/>
      <c r="Q229" s="59"/>
      <c r="AT229" s="59"/>
      <c r="AU229" s="59"/>
      <c r="AV229" s="59"/>
    </row>
    <row r="230" spans="16:48" ht="13">
      <c r="P230" s="59"/>
      <c r="Q230" s="59"/>
      <c r="AT230" s="59"/>
      <c r="AU230" s="59"/>
      <c r="AV230" s="59"/>
    </row>
    <row r="231" spans="16:48" ht="13">
      <c r="P231" s="59"/>
      <c r="Q231" s="59"/>
      <c r="AT231" s="59"/>
      <c r="AU231" s="59"/>
      <c r="AV231" s="59"/>
    </row>
    <row r="232" spans="16:48" ht="13">
      <c r="P232" s="59"/>
      <c r="Q232" s="59"/>
      <c r="AT232" s="59"/>
      <c r="AU232" s="59"/>
      <c r="AV232" s="59"/>
    </row>
    <row r="233" spans="16:48" ht="13">
      <c r="P233" s="59"/>
      <c r="Q233" s="59"/>
      <c r="AT233" s="59"/>
      <c r="AU233" s="59"/>
      <c r="AV233" s="59"/>
    </row>
    <row r="234" spans="16:48" ht="13">
      <c r="P234" s="59"/>
      <c r="Q234" s="59"/>
      <c r="AT234" s="59"/>
      <c r="AU234" s="59"/>
      <c r="AV234" s="59"/>
    </row>
    <row r="235" spans="16:48" ht="13">
      <c r="P235" s="59"/>
      <c r="Q235" s="59"/>
      <c r="AT235" s="59"/>
      <c r="AU235" s="59"/>
      <c r="AV235" s="59"/>
    </row>
    <row r="236" spans="16:48" ht="13">
      <c r="P236" s="59"/>
      <c r="Q236" s="59"/>
      <c r="AT236" s="59"/>
      <c r="AU236" s="59"/>
      <c r="AV236" s="59"/>
    </row>
    <row r="237" spans="16:48" ht="13">
      <c r="P237" s="59"/>
      <c r="Q237" s="59"/>
      <c r="AT237" s="59"/>
      <c r="AU237" s="59"/>
      <c r="AV237" s="59"/>
    </row>
    <row r="238" spans="16:48" ht="13">
      <c r="P238" s="59"/>
      <c r="Q238" s="59"/>
      <c r="AT238" s="59"/>
      <c r="AU238" s="59"/>
      <c r="AV238" s="59"/>
    </row>
    <row r="239" spans="16:48" ht="13">
      <c r="P239" s="59"/>
      <c r="Q239" s="59"/>
      <c r="AT239" s="59"/>
      <c r="AU239" s="59"/>
      <c r="AV239" s="59"/>
    </row>
    <row r="240" spans="16:48" ht="13">
      <c r="P240" s="59"/>
      <c r="Q240" s="59"/>
      <c r="AT240" s="59"/>
      <c r="AU240" s="59"/>
      <c r="AV240" s="59"/>
    </row>
    <row r="241" spans="16:48" ht="13">
      <c r="P241" s="59"/>
      <c r="Q241" s="59"/>
      <c r="AT241" s="59"/>
      <c r="AU241" s="59"/>
      <c r="AV241" s="59"/>
    </row>
    <row r="242" spans="16:48" ht="13">
      <c r="P242" s="59"/>
      <c r="Q242" s="59"/>
      <c r="AT242" s="59"/>
      <c r="AU242" s="59"/>
      <c r="AV242" s="59"/>
    </row>
    <row r="243" spans="16:48" ht="13">
      <c r="P243" s="59"/>
      <c r="Q243" s="59"/>
      <c r="AT243" s="59"/>
      <c r="AU243" s="59"/>
      <c r="AV243" s="59"/>
    </row>
    <row r="244" spans="16:48" ht="13">
      <c r="P244" s="59"/>
      <c r="Q244" s="59"/>
      <c r="AT244" s="59"/>
      <c r="AU244" s="59"/>
      <c r="AV244" s="59"/>
    </row>
    <row r="245" spans="16:48" ht="13">
      <c r="P245" s="59"/>
      <c r="Q245" s="59"/>
      <c r="AT245" s="59"/>
      <c r="AU245" s="59"/>
      <c r="AV245" s="59"/>
    </row>
    <row r="246" spans="16:48" ht="13">
      <c r="P246" s="59"/>
      <c r="Q246" s="59"/>
      <c r="AT246" s="59"/>
      <c r="AU246" s="59"/>
      <c r="AV246" s="59"/>
    </row>
    <row r="247" spans="16:48" ht="13">
      <c r="P247" s="59"/>
      <c r="Q247" s="59"/>
      <c r="AT247" s="59"/>
      <c r="AU247" s="59"/>
      <c r="AV247" s="59"/>
    </row>
    <row r="248" spans="16:48" ht="13">
      <c r="P248" s="59"/>
      <c r="Q248" s="59"/>
      <c r="AT248" s="59"/>
      <c r="AU248" s="59"/>
      <c r="AV248" s="59"/>
    </row>
    <row r="249" spans="16:48" ht="13">
      <c r="P249" s="59"/>
      <c r="Q249" s="59"/>
      <c r="AT249" s="59"/>
      <c r="AU249" s="59"/>
      <c r="AV249" s="59"/>
    </row>
    <row r="250" spans="16:48" ht="13">
      <c r="P250" s="59"/>
      <c r="Q250" s="59"/>
      <c r="AT250" s="59"/>
      <c r="AU250" s="59"/>
      <c r="AV250" s="59"/>
    </row>
    <row r="251" spans="16:48" ht="13">
      <c r="P251" s="59"/>
      <c r="Q251" s="59"/>
      <c r="AT251" s="59"/>
      <c r="AU251" s="59"/>
      <c r="AV251" s="59"/>
    </row>
    <row r="252" spans="16:48" ht="13">
      <c r="P252" s="59"/>
      <c r="Q252" s="59"/>
      <c r="AT252" s="59"/>
      <c r="AU252" s="59"/>
      <c r="AV252" s="59"/>
    </row>
    <row r="253" spans="16:48" ht="13">
      <c r="P253" s="59"/>
      <c r="Q253" s="59"/>
      <c r="AT253" s="59"/>
      <c r="AU253" s="59"/>
      <c r="AV253" s="59"/>
    </row>
    <row r="254" spans="16:48" ht="13">
      <c r="P254" s="59"/>
      <c r="Q254" s="59"/>
      <c r="AT254" s="59"/>
      <c r="AU254" s="59"/>
      <c r="AV254" s="59"/>
    </row>
    <row r="255" spans="16:48" ht="13">
      <c r="P255" s="59"/>
      <c r="Q255" s="59"/>
      <c r="AT255" s="59"/>
      <c r="AU255" s="59"/>
      <c r="AV255" s="59"/>
    </row>
    <row r="256" spans="16:48" ht="13">
      <c r="P256" s="59"/>
      <c r="Q256" s="59"/>
      <c r="AT256" s="59"/>
      <c r="AU256" s="59"/>
      <c r="AV256" s="59"/>
    </row>
    <row r="257" spans="16:48" ht="13">
      <c r="P257" s="59"/>
      <c r="Q257" s="59"/>
      <c r="AT257" s="59"/>
      <c r="AU257" s="59"/>
      <c r="AV257" s="59"/>
    </row>
    <row r="258" spans="16:48" ht="13">
      <c r="P258" s="59"/>
      <c r="Q258" s="59"/>
      <c r="AT258" s="59"/>
      <c r="AU258" s="59"/>
      <c r="AV258" s="59"/>
    </row>
    <row r="259" spans="16:48" ht="13">
      <c r="P259" s="59"/>
      <c r="Q259" s="59"/>
      <c r="AT259" s="59"/>
      <c r="AU259" s="59"/>
      <c r="AV259" s="59"/>
    </row>
    <row r="260" spans="16:48" ht="13">
      <c r="P260" s="59"/>
      <c r="Q260" s="59"/>
      <c r="AT260" s="59"/>
      <c r="AU260" s="59"/>
      <c r="AV260" s="59"/>
    </row>
    <row r="261" spans="16:48" ht="13">
      <c r="P261" s="59"/>
      <c r="Q261" s="59"/>
      <c r="AT261" s="59"/>
      <c r="AU261" s="59"/>
      <c r="AV261" s="59"/>
    </row>
    <row r="262" spans="16:48" ht="13">
      <c r="P262" s="59"/>
      <c r="Q262" s="59"/>
      <c r="AT262" s="59"/>
      <c r="AU262" s="59"/>
      <c r="AV262" s="59"/>
    </row>
    <row r="263" spans="16:48" ht="13">
      <c r="P263" s="59"/>
      <c r="Q263" s="59"/>
      <c r="AT263" s="59"/>
      <c r="AU263" s="59"/>
      <c r="AV263" s="59"/>
    </row>
    <row r="264" spans="16:48" ht="13">
      <c r="P264" s="59"/>
      <c r="Q264" s="59"/>
      <c r="AT264" s="59"/>
      <c r="AU264" s="59"/>
      <c r="AV264" s="59"/>
    </row>
    <row r="265" spans="16:48" ht="13">
      <c r="P265" s="59"/>
      <c r="Q265" s="59"/>
      <c r="AT265" s="59"/>
      <c r="AU265" s="59"/>
      <c r="AV265" s="59"/>
    </row>
    <row r="266" spans="16:48" ht="13">
      <c r="P266" s="59"/>
      <c r="Q266" s="59"/>
      <c r="AT266" s="59"/>
      <c r="AU266" s="59"/>
      <c r="AV266" s="59"/>
    </row>
    <row r="267" spans="16:48" ht="13">
      <c r="P267" s="59"/>
      <c r="Q267" s="59"/>
      <c r="AT267" s="59"/>
      <c r="AU267" s="59"/>
      <c r="AV267" s="59"/>
    </row>
    <row r="268" spans="16:48" ht="13">
      <c r="P268" s="59"/>
      <c r="Q268" s="59"/>
      <c r="AT268" s="59"/>
      <c r="AU268" s="59"/>
      <c r="AV268" s="59"/>
    </row>
    <row r="269" spans="16:48" ht="13">
      <c r="P269" s="59"/>
      <c r="Q269" s="59"/>
      <c r="AT269" s="59"/>
      <c r="AU269" s="59"/>
      <c r="AV269" s="59"/>
    </row>
    <row r="270" spans="16:48" ht="13">
      <c r="P270" s="59"/>
      <c r="Q270" s="59"/>
      <c r="AT270" s="59"/>
      <c r="AU270" s="59"/>
      <c r="AV270" s="59"/>
    </row>
    <row r="271" spans="16:48" ht="13">
      <c r="P271" s="59"/>
      <c r="Q271" s="59"/>
      <c r="AT271" s="59"/>
      <c r="AU271" s="59"/>
      <c r="AV271" s="59"/>
    </row>
    <row r="272" spans="16:48" ht="13">
      <c r="P272" s="59"/>
      <c r="Q272" s="59"/>
      <c r="AT272" s="59"/>
      <c r="AU272" s="59"/>
      <c r="AV272" s="59"/>
    </row>
    <row r="273" spans="16:48" ht="13">
      <c r="P273" s="59"/>
      <c r="Q273" s="59"/>
      <c r="AT273" s="59"/>
      <c r="AU273" s="59"/>
      <c r="AV273" s="59"/>
    </row>
    <row r="274" spans="16:48" ht="13">
      <c r="P274" s="59"/>
      <c r="Q274" s="59"/>
      <c r="AT274" s="59"/>
      <c r="AU274" s="59"/>
      <c r="AV274" s="59"/>
    </row>
    <row r="275" spans="16:48" ht="13">
      <c r="P275" s="59"/>
      <c r="Q275" s="59"/>
      <c r="AT275" s="59"/>
      <c r="AU275" s="59"/>
      <c r="AV275" s="59"/>
    </row>
    <row r="276" spans="16:48" ht="13">
      <c r="P276" s="59"/>
      <c r="Q276" s="59"/>
      <c r="AT276" s="59"/>
      <c r="AU276" s="59"/>
      <c r="AV276" s="59"/>
    </row>
    <row r="277" spans="16:48" ht="13">
      <c r="P277" s="59"/>
      <c r="Q277" s="59"/>
      <c r="AT277" s="59"/>
      <c r="AU277" s="59"/>
      <c r="AV277" s="59"/>
    </row>
    <row r="278" spans="16:48" ht="13">
      <c r="P278" s="59"/>
      <c r="Q278" s="59"/>
      <c r="AT278" s="59"/>
      <c r="AU278" s="59"/>
      <c r="AV278" s="59"/>
    </row>
    <row r="279" spans="16:48" ht="13">
      <c r="P279" s="59"/>
      <c r="Q279" s="59"/>
      <c r="AT279" s="59"/>
      <c r="AU279" s="59"/>
      <c r="AV279" s="59"/>
    </row>
    <row r="280" spans="16:48" ht="13">
      <c r="P280" s="59"/>
      <c r="Q280" s="59"/>
      <c r="AT280" s="59"/>
      <c r="AU280" s="59"/>
      <c r="AV280" s="59"/>
    </row>
    <row r="281" spans="16:48" ht="13">
      <c r="P281" s="59"/>
      <c r="Q281" s="59"/>
      <c r="AT281" s="59"/>
      <c r="AU281" s="59"/>
      <c r="AV281" s="59"/>
    </row>
    <row r="282" spans="16:48" ht="13">
      <c r="P282" s="59"/>
      <c r="Q282" s="59"/>
      <c r="AT282" s="59"/>
      <c r="AU282" s="59"/>
      <c r="AV282" s="59"/>
    </row>
    <row r="283" spans="16:48" ht="13">
      <c r="P283" s="59"/>
      <c r="Q283" s="59"/>
      <c r="AT283" s="59"/>
      <c r="AU283" s="59"/>
      <c r="AV283" s="59"/>
    </row>
    <row r="284" spans="16:48" ht="13">
      <c r="P284" s="59"/>
      <c r="Q284" s="59"/>
      <c r="AT284" s="59"/>
      <c r="AU284" s="59"/>
      <c r="AV284" s="59"/>
    </row>
    <row r="285" spans="16:48" ht="13">
      <c r="P285" s="59"/>
      <c r="Q285" s="59"/>
      <c r="AT285" s="59"/>
      <c r="AU285" s="59"/>
      <c r="AV285" s="59"/>
    </row>
    <row r="286" spans="16:48" ht="13">
      <c r="P286" s="59"/>
      <c r="Q286" s="59"/>
      <c r="AT286" s="59"/>
      <c r="AU286" s="59"/>
      <c r="AV286" s="59"/>
    </row>
    <row r="287" spans="16:48" ht="13">
      <c r="P287" s="59"/>
      <c r="Q287" s="59"/>
      <c r="AT287" s="59"/>
      <c r="AU287" s="59"/>
      <c r="AV287" s="59"/>
    </row>
    <row r="288" spans="16:48" ht="13">
      <c r="P288" s="59"/>
      <c r="Q288" s="59"/>
      <c r="AT288" s="59"/>
      <c r="AU288" s="59"/>
      <c r="AV288" s="59"/>
    </row>
    <row r="289" spans="16:48" ht="13">
      <c r="P289" s="59"/>
      <c r="Q289" s="59"/>
      <c r="AT289" s="59"/>
      <c r="AU289" s="59"/>
      <c r="AV289" s="59"/>
    </row>
    <row r="290" spans="16:48" ht="13">
      <c r="P290" s="59"/>
      <c r="Q290" s="59"/>
      <c r="AT290" s="59"/>
      <c r="AU290" s="59"/>
      <c r="AV290" s="59"/>
    </row>
    <row r="291" spans="16:48" ht="13">
      <c r="P291" s="59"/>
      <c r="Q291" s="59"/>
      <c r="AT291" s="59"/>
      <c r="AU291" s="59"/>
      <c r="AV291" s="59"/>
    </row>
    <row r="292" spans="16:48" ht="13">
      <c r="P292" s="59"/>
      <c r="Q292" s="59"/>
      <c r="AT292" s="59"/>
      <c r="AU292" s="59"/>
      <c r="AV292" s="59"/>
    </row>
    <row r="293" spans="16:48" ht="13">
      <c r="P293" s="59"/>
      <c r="Q293" s="59"/>
      <c r="AT293" s="59"/>
      <c r="AU293" s="59"/>
      <c r="AV293" s="59"/>
    </row>
    <row r="294" spans="16:48" ht="13">
      <c r="P294" s="59"/>
      <c r="Q294" s="59"/>
      <c r="AT294" s="59"/>
      <c r="AU294" s="59"/>
      <c r="AV294" s="59"/>
    </row>
    <row r="295" spans="16:48" ht="13">
      <c r="P295" s="59"/>
      <c r="Q295" s="59"/>
      <c r="AT295" s="59"/>
      <c r="AU295" s="59"/>
      <c r="AV295" s="59"/>
    </row>
    <row r="296" spans="16:48" ht="13">
      <c r="P296" s="59"/>
      <c r="Q296" s="59"/>
      <c r="AT296" s="59"/>
      <c r="AU296" s="59"/>
      <c r="AV296" s="59"/>
    </row>
    <row r="297" spans="16:48" ht="13">
      <c r="P297" s="59"/>
      <c r="Q297" s="59"/>
      <c r="AT297" s="59"/>
      <c r="AU297" s="59"/>
      <c r="AV297" s="59"/>
    </row>
    <row r="298" spans="16:48" ht="13">
      <c r="P298" s="59"/>
      <c r="Q298" s="59"/>
      <c r="AT298" s="59"/>
      <c r="AU298" s="59"/>
      <c r="AV298" s="59"/>
    </row>
    <row r="299" spans="16:48" ht="13">
      <c r="P299" s="59"/>
      <c r="Q299" s="59"/>
      <c r="AT299" s="59"/>
      <c r="AU299" s="59"/>
      <c r="AV299" s="59"/>
    </row>
    <row r="300" spans="16:48" ht="13">
      <c r="P300" s="59"/>
      <c r="Q300" s="59"/>
      <c r="AT300" s="59"/>
      <c r="AU300" s="59"/>
      <c r="AV300" s="59"/>
    </row>
    <row r="301" spans="16:48" ht="13">
      <c r="P301" s="59"/>
      <c r="Q301" s="59"/>
      <c r="AT301" s="59"/>
      <c r="AU301" s="59"/>
      <c r="AV301" s="59"/>
    </row>
    <row r="302" spans="16:48" ht="13">
      <c r="P302" s="59"/>
      <c r="Q302" s="59"/>
      <c r="AT302" s="59"/>
      <c r="AU302" s="59"/>
      <c r="AV302" s="59"/>
    </row>
    <row r="303" spans="16:48" ht="13">
      <c r="P303" s="59"/>
      <c r="Q303" s="59"/>
      <c r="AT303" s="59"/>
      <c r="AU303" s="59"/>
      <c r="AV303" s="59"/>
    </row>
    <row r="304" spans="16:48" ht="13">
      <c r="P304" s="59"/>
      <c r="Q304" s="59"/>
      <c r="AT304" s="59"/>
      <c r="AU304" s="59"/>
      <c r="AV304" s="59"/>
    </row>
    <row r="305" spans="16:48" ht="13">
      <c r="P305" s="59"/>
      <c r="Q305" s="59"/>
      <c r="AT305" s="59"/>
      <c r="AU305" s="59"/>
      <c r="AV305" s="59"/>
    </row>
    <row r="306" spans="16:48" ht="13">
      <c r="P306" s="59"/>
      <c r="Q306" s="59"/>
      <c r="AT306" s="59"/>
      <c r="AU306" s="59"/>
      <c r="AV306" s="59"/>
    </row>
    <row r="307" spans="16:48" ht="13">
      <c r="P307" s="59"/>
      <c r="Q307" s="59"/>
      <c r="AT307" s="59"/>
      <c r="AU307" s="59"/>
      <c r="AV307" s="59"/>
    </row>
    <row r="308" spans="16:48" ht="13">
      <c r="P308" s="59"/>
      <c r="Q308" s="59"/>
      <c r="AT308" s="59"/>
      <c r="AU308" s="59"/>
      <c r="AV308" s="59"/>
    </row>
    <row r="309" spans="16:48" ht="13">
      <c r="P309" s="59"/>
      <c r="Q309" s="59"/>
      <c r="AT309" s="59"/>
      <c r="AU309" s="59"/>
      <c r="AV309" s="59"/>
    </row>
    <row r="310" spans="16:48" ht="13">
      <c r="P310" s="59"/>
      <c r="Q310" s="59"/>
      <c r="AT310" s="59"/>
      <c r="AU310" s="59"/>
      <c r="AV310" s="59"/>
    </row>
    <row r="311" spans="16:48" ht="13">
      <c r="P311" s="59"/>
      <c r="Q311" s="59"/>
      <c r="AT311" s="59"/>
      <c r="AU311" s="59"/>
      <c r="AV311" s="59"/>
    </row>
    <row r="312" spans="16:48" ht="13">
      <c r="P312" s="59"/>
      <c r="Q312" s="59"/>
      <c r="AT312" s="59"/>
      <c r="AU312" s="59"/>
      <c r="AV312" s="59"/>
    </row>
    <row r="313" spans="16:48" ht="13">
      <c r="P313" s="59"/>
      <c r="Q313" s="59"/>
      <c r="AT313" s="59"/>
      <c r="AU313" s="59"/>
      <c r="AV313" s="59"/>
    </row>
    <row r="314" spans="16:48" ht="13">
      <c r="P314" s="59"/>
      <c r="Q314" s="59"/>
      <c r="AT314" s="59"/>
      <c r="AU314" s="59"/>
      <c r="AV314" s="59"/>
    </row>
    <row r="315" spans="16:48" ht="13">
      <c r="P315" s="59"/>
      <c r="Q315" s="59"/>
      <c r="AT315" s="59"/>
      <c r="AU315" s="59"/>
      <c r="AV315" s="59"/>
    </row>
    <row r="316" spans="16:48" ht="13">
      <c r="P316" s="59"/>
      <c r="Q316" s="59"/>
      <c r="AT316" s="59"/>
      <c r="AU316" s="59"/>
      <c r="AV316" s="59"/>
    </row>
    <row r="317" spans="16:48" ht="13">
      <c r="P317" s="59"/>
      <c r="Q317" s="59"/>
      <c r="AT317" s="59"/>
      <c r="AU317" s="59"/>
      <c r="AV317" s="59"/>
    </row>
    <row r="318" spans="16:48" ht="13">
      <c r="P318" s="59"/>
      <c r="Q318" s="59"/>
      <c r="AT318" s="59"/>
      <c r="AU318" s="59"/>
      <c r="AV318" s="59"/>
    </row>
    <row r="319" spans="16:48" ht="13">
      <c r="P319" s="59"/>
      <c r="Q319" s="59"/>
      <c r="AT319" s="59"/>
      <c r="AU319" s="59"/>
      <c r="AV319" s="59"/>
    </row>
    <row r="320" spans="16:48" ht="13">
      <c r="P320" s="59"/>
      <c r="Q320" s="59"/>
      <c r="AT320" s="59"/>
      <c r="AU320" s="59"/>
      <c r="AV320" s="59"/>
    </row>
    <row r="321" spans="16:48" ht="13">
      <c r="P321" s="59"/>
      <c r="Q321" s="59"/>
      <c r="AT321" s="59"/>
      <c r="AU321" s="59"/>
      <c r="AV321" s="59"/>
    </row>
    <row r="322" spans="16:48" ht="13">
      <c r="P322" s="59"/>
      <c r="Q322" s="59"/>
      <c r="AT322" s="59"/>
      <c r="AU322" s="59"/>
      <c r="AV322" s="59"/>
    </row>
    <row r="323" spans="16:48" ht="13">
      <c r="P323" s="59"/>
      <c r="Q323" s="59"/>
      <c r="AT323" s="59"/>
      <c r="AU323" s="59"/>
      <c r="AV323" s="59"/>
    </row>
    <row r="324" spans="16:48" ht="13">
      <c r="P324" s="59"/>
      <c r="Q324" s="59"/>
      <c r="AT324" s="59"/>
      <c r="AU324" s="59"/>
      <c r="AV324" s="59"/>
    </row>
    <row r="325" spans="16:48" ht="13">
      <c r="P325" s="59"/>
      <c r="Q325" s="59"/>
      <c r="AT325" s="59"/>
      <c r="AU325" s="59"/>
      <c r="AV325" s="59"/>
    </row>
    <row r="326" spans="16:48" ht="13">
      <c r="P326" s="59"/>
      <c r="Q326" s="59"/>
      <c r="AT326" s="59"/>
      <c r="AU326" s="59"/>
      <c r="AV326" s="59"/>
    </row>
    <row r="327" spans="16:48" ht="13">
      <c r="P327" s="59"/>
      <c r="Q327" s="59"/>
      <c r="AT327" s="59"/>
      <c r="AU327" s="59"/>
      <c r="AV327" s="59"/>
    </row>
    <row r="328" spans="16:48" ht="13">
      <c r="P328" s="59"/>
      <c r="Q328" s="59"/>
      <c r="AT328" s="59"/>
      <c r="AU328" s="59"/>
      <c r="AV328" s="59"/>
    </row>
    <row r="329" spans="16:48" ht="13">
      <c r="P329" s="59"/>
      <c r="Q329" s="59"/>
      <c r="AT329" s="59"/>
      <c r="AU329" s="59"/>
      <c r="AV329" s="59"/>
    </row>
    <row r="330" spans="16:48" ht="13">
      <c r="P330" s="59"/>
      <c r="Q330" s="59"/>
      <c r="AT330" s="59"/>
      <c r="AU330" s="59"/>
      <c r="AV330" s="59"/>
    </row>
    <row r="331" spans="16:48" ht="13">
      <c r="P331" s="59"/>
      <c r="Q331" s="59"/>
      <c r="AT331" s="59"/>
      <c r="AU331" s="59"/>
      <c r="AV331" s="59"/>
    </row>
    <row r="332" spans="16:48" ht="13">
      <c r="P332" s="59"/>
      <c r="Q332" s="59"/>
      <c r="AT332" s="59"/>
      <c r="AU332" s="59"/>
      <c r="AV332" s="59"/>
    </row>
    <row r="333" spans="16:48" ht="13">
      <c r="P333" s="59"/>
      <c r="Q333" s="59"/>
      <c r="AT333" s="59"/>
      <c r="AU333" s="59"/>
      <c r="AV333" s="59"/>
    </row>
    <row r="334" spans="16:48" ht="13">
      <c r="P334" s="59"/>
      <c r="Q334" s="59"/>
      <c r="AT334" s="59"/>
      <c r="AU334" s="59"/>
      <c r="AV334" s="59"/>
    </row>
    <row r="335" spans="16:48" ht="13">
      <c r="P335" s="59"/>
      <c r="Q335" s="59"/>
      <c r="AT335" s="59"/>
      <c r="AU335" s="59"/>
      <c r="AV335" s="59"/>
    </row>
    <row r="336" spans="16:48" ht="13">
      <c r="P336" s="59"/>
      <c r="Q336" s="59"/>
      <c r="AT336" s="59"/>
      <c r="AU336" s="59"/>
      <c r="AV336" s="59"/>
    </row>
    <row r="337" spans="16:48" ht="13">
      <c r="P337" s="59"/>
      <c r="Q337" s="59"/>
      <c r="AT337" s="59"/>
      <c r="AU337" s="59"/>
      <c r="AV337" s="59"/>
    </row>
    <row r="338" spans="16:48" ht="13">
      <c r="P338" s="59"/>
      <c r="Q338" s="59"/>
      <c r="AT338" s="59"/>
      <c r="AU338" s="59"/>
      <c r="AV338" s="59"/>
    </row>
    <row r="339" spans="16:48" ht="13">
      <c r="P339" s="59"/>
      <c r="Q339" s="59"/>
      <c r="AT339" s="59"/>
      <c r="AU339" s="59"/>
      <c r="AV339" s="59"/>
    </row>
    <row r="340" spans="16:48" ht="13">
      <c r="P340" s="59"/>
      <c r="Q340" s="59"/>
      <c r="AT340" s="59"/>
      <c r="AU340" s="59"/>
      <c r="AV340" s="59"/>
    </row>
    <row r="341" spans="16:48" ht="13">
      <c r="P341" s="59"/>
      <c r="Q341" s="59"/>
      <c r="AT341" s="59"/>
      <c r="AU341" s="59"/>
      <c r="AV341" s="59"/>
    </row>
    <row r="342" spans="16:48" ht="13">
      <c r="P342" s="59"/>
      <c r="Q342" s="59"/>
      <c r="AT342" s="59"/>
      <c r="AU342" s="59"/>
      <c r="AV342" s="59"/>
    </row>
    <row r="343" spans="16:48" ht="13">
      <c r="P343" s="59"/>
      <c r="Q343" s="59"/>
      <c r="AT343" s="59"/>
      <c r="AU343" s="59"/>
      <c r="AV343" s="59"/>
    </row>
    <row r="344" spans="16:48" ht="13">
      <c r="P344" s="59"/>
      <c r="Q344" s="59"/>
      <c r="AT344" s="59"/>
      <c r="AU344" s="59"/>
      <c r="AV344" s="59"/>
    </row>
    <row r="345" spans="16:48" ht="13">
      <c r="P345" s="59"/>
      <c r="Q345" s="59"/>
      <c r="AT345" s="59"/>
      <c r="AU345" s="59"/>
      <c r="AV345" s="59"/>
    </row>
    <row r="346" spans="16:48" ht="13">
      <c r="P346" s="59"/>
      <c r="Q346" s="59"/>
      <c r="AT346" s="59"/>
      <c r="AU346" s="59"/>
      <c r="AV346" s="59"/>
    </row>
    <row r="347" spans="16:48" ht="13">
      <c r="P347" s="59"/>
      <c r="Q347" s="59"/>
      <c r="AT347" s="59"/>
      <c r="AU347" s="59"/>
      <c r="AV347" s="59"/>
    </row>
    <row r="348" spans="16:48" ht="13">
      <c r="P348" s="59"/>
      <c r="Q348" s="59"/>
      <c r="AT348" s="59"/>
      <c r="AU348" s="59"/>
      <c r="AV348" s="59"/>
    </row>
    <row r="349" spans="16:48" ht="13">
      <c r="P349" s="59"/>
      <c r="Q349" s="59"/>
      <c r="AT349" s="59"/>
      <c r="AU349" s="59"/>
      <c r="AV349" s="59"/>
    </row>
    <row r="350" spans="16:48" ht="13">
      <c r="P350" s="59"/>
      <c r="Q350" s="59"/>
      <c r="AT350" s="59"/>
      <c r="AU350" s="59"/>
      <c r="AV350" s="59"/>
    </row>
    <row r="351" spans="16:48" ht="13">
      <c r="P351" s="59"/>
      <c r="Q351" s="59"/>
      <c r="AT351" s="59"/>
      <c r="AU351" s="59"/>
      <c r="AV351" s="59"/>
    </row>
    <row r="352" spans="16:48" ht="13">
      <c r="P352" s="59"/>
      <c r="Q352" s="59"/>
      <c r="AT352" s="59"/>
      <c r="AU352" s="59"/>
      <c r="AV352" s="59"/>
    </row>
    <row r="353" spans="16:48" ht="13">
      <c r="P353" s="59"/>
      <c r="Q353" s="59"/>
      <c r="AT353" s="59"/>
      <c r="AU353" s="59"/>
      <c r="AV353" s="59"/>
    </row>
    <row r="354" spans="16:48" ht="13">
      <c r="P354" s="59"/>
      <c r="Q354" s="59"/>
      <c r="AT354" s="59"/>
      <c r="AU354" s="59"/>
      <c r="AV354" s="59"/>
    </row>
    <row r="355" spans="16:48" ht="13">
      <c r="P355" s="59"/>
      <c r="Q355" s="59"/>
      <c r="AT355" s="59"/>
      <c r="AU355" s="59"/>
      <c r="AV355" s="59"/>
    </row>
    <row r="356" spans="16:48" ht="13">
      <c r="P356" s="59"/>
      <c r="Q356" s="59"/>
      <c r="AT356" s="59"/>
      <c r="AU356" s="59"/>
      <c r="AV356" s="59"/>
    </row>
    <row r="357" spans="16:48" ht="13">
      <c r="P357" s="59"/>
      <c r="Q357" s="59"/>
      <c r="AT357" s="59"/>
      <c r="AU357" s="59"/>
      <c r="AV357" s="59"/>
    </row>
    <row r="358" spans="16:48" ht="13">
      <c r="P358" s="59"/>
      <c r="Q358" s="59"/>
      <c r="AT358" s="59"/>
      <c r="AU358" s="59"/>
      <c r="AV358" s="59"/>
    </row>
    <row r="359" spans="16:48" ht="13">
      <c r="P359" s="59"/>
      <c r="Q359" s="59"/>
      <c r="AT359" s="59"/>
      <c r="AU359" s="59"/>
      <c r="AV359" s="59"/>
    </row>
    <row r="360" spans="16:48" ht="13">
      <c r="P360" s="59"/>
      <c r="Q360" s="59"/>
      <c r="AT360" s="59"/>
      <c r="AU360" s="59"/>
      <c r="AV360" s="59"/>
    </row>
    <row r="361" spans="16:48" ht="13">
      <c r="P361" s="59"/>
      <c r="Q361" s="59"/>
      <c r="AT361" s="59"/>
      <c r="AU361" s="59"/>
      <c r="AV361" s="59"/>
    </row>
    <row r="362" spans="16:48" ht="13">
      <c r="P362" s="59"/>
      <c r="Q362" s="59"/>
      <c r="AT362" s="59"/>
      <c r="AU362" s="59"/>
      <c r="AV362" s="59"/>
    </row>
    <row r="363" spans="16:48" ht="13">
      <c r="P363" s="59"/>
      <c r="Q363" s="59"/>
      <c r="AT363" s="59"/>
      <c r="AU363" s="59"/>
      <c r="AV363" s="59"/>
    </row>
    <row r="364" spans="16:48" ht="13">
      <c r="P364" s="59"/>
      <c r="Q364" s="59"/>
      <c r="AT364" s="59"/>
      <c r="AU364" s="59"/>
      <c r="AV364" s="59"/>
    </row>
    <row r="365" spans="16:48" ht="13">
      <c r="P365" s="59"/>
      <c r="Q365" s="59"/>
      <c r="AT365" s="59"/>
      <c r="AU365" s="59"/>
      <c r="AV365" s="59"/>
    </row>
    <row r="366" spans="16:48" ht="13">
      <c r="P366" s="59"/>
      <c r="Q366" s="59"/>
      <c r="AT366" s="59"/>
      <c r="AU366" s="59"/>
      <c r="AV366" s="59"/>
    </row>
    <row r="367" spans="16:48" ht="13">
      <c r="P367" s="59"/>
      <c r="Q367" s="59"/>
      <c r="AT367" s="59"/>
      <c r="AU367" s="59"/>
      <c r="AV367" s="59"/>
    </row>
    <row r="368" spans="16:48" ht="13">
      <c r="P368" s="59"/>
      <c r="Q368" s="59"/>
      <c r="AT368" s="59"/>
      <c r="AU368" s="59"/>
      <c r="AV368" s="59"/>
    </row>
    <row r="369" spans="16:48" ht="13">
      <c r="P369" s="59"/>
      <c r="Q369" s="59"/>
      <c r="AT369" s="59"/>
      <c r="AU369" s="59"/>
      <c r="AV369" s="59"/>
    </row>
    <row r="370" spans="16:48" ht="13">
      <c r="P370" s="59"/>
      <c r="Q370" s="59"/>
      <c r="AT370" s="59"/>
      <c r="AU370" s="59"/>
      <c r="AV370" s="59"/>
    </row>
    <row r="371" spans="16:48" ht="13">
      <c r="P371" s="59"/>
      <c r="Q371" s="59"/>
      <c r="AT371" s="59"/>
      <c r="AU371" s="59"/>
      <c r="AV371" s="59"/>
    </row>
    <row r="372" spans="16:48" ht="13">
      <c r="P372" s="59"/>
      <c r="Q372" s="59"/>
      <c r="AT372" s="59"/>
      <c r="AU372" s="59"/>
      <c r="AV372" s="59"/>
    </row>
    <row r="373" spans="16:48" ht="13">
      <c r="P373" s="59"/>
      <c r="Q373" s="59"/>
      <c r="AT373" s="59"/>
      <c r="AU373" s="59"/>
      <c r="AV373" s="59"/>
    </row>
    <row r="374" spans="16:48" ht="13">
      <c r="P374" s="59"/>
      <c r="Q374" s="59"/>
      <c r="AT374" s="59"/>
      <c r="AU374" s="59"/>
      <c r="AV374" s="59"/>
    </row>
    <row r="375" spans="16:48" ht="13">
      <c r="P375" s="59"/>
      <c r="Q375" s="59"/>
      <c r="AT375" s="59"/>
      <c r="AU375" s="59"/>
      <c r="AV375" s="59"/>
    </row>
    <row r="376" spans="16:48" ht="13">
      <c r="P376" s="59"/>
      <c r="Q376" s="59"/>
      <c r="AT376" s="59"/>
      <c r="AU376" s="59"/>
      <c r="AV376" s="59"/>
    </row>
    <row r="377" spans="16:48" ht="13">
      <c r="P377" s="59"/>
      <c r="Q377" s="59"/>
      <c r="AT377" s="59"/>
      <c r="AU377" s="59"/>
      <c r="AV377" s="59"/>
    </row>
    <row r="378" spans="16:48" ht="13">
      <c r="P378" s="59"/>
      <c r="Q378" s="59"/>
      <c r="AT378" s="59"/>
      <c r="AU378" s="59"/>
      <c r="AV378" s="59"/>
    </row>
    <row r="379" spans="16:48" ht="13">
      <c r="P379" s="59"/>
      <c r="Q379" s="59"/>
      <c r="AT379" s="59"/>
      <c r="AU379" s="59"/>
      <c r="AV379" s="59"/>
    </row>
    <row r="380" spans="16:48" ht="13">
      <c r="P380" s="59"/>
      <c r="Q380" s="59"/>
      <c r="AT380" s="59"/>
      <c r="AU380" s="59"/>
      <c r="AV380" s="59"/>
    </row>
    <row r="381" spans="16:48" ht="13">
      <c r="P381" s="59"/>
      <c r="Q381" s="59"/>
      <c r="AT381" s="59"/>
      <c r="AU381" s="59"/>
      <c r="AV381" s="59"/>
    </row>
    <row r="382" spans="16:48" ht="13">
      <c r="P382" s="59"/>
      <c r="Q382" s="59"/>
      <c r="AT382" s="59"/>
      <c r="AU382" s="59"/>
      <c r="AV382" s="59"/>
    </row>
    <row r="383" spans="16:48" ht="13">
      <c r="P383" s="59"/>
      <c r="Q383" s="59"/>
      <c r="AT383" s="59"/>
      <c r="AU383" s="59"/>
      <c r="AV383" s="59"/>
    </row>
    <row r="384" spans="16:48" ht="13">
      <c r="P384" s="59"/>
      <c r="Q384" s="59"/>
      <c r="AT384" s="59"/>
      <c r="AU384" s="59"/>
      <c r="AV384" s="59"/>
    </row>
    <row r="385" spans="16:48" ht="13">
      <c r="P385" s="59"/>
      <c r="Q385" s="59"/>
      <c r="AT385" s="59"/>
      <c r="AU385" s="59"/>
      <c r="AV385" s="59"/>
    </row>
    <row r="386" spans="16:48" ht="13">
      <c r="P386" s="59"/>
      <c r="Q386" s="59"/>
      <c r="AT386" s="59"/>
      <c r="AU386" s="59"/>
      <c r="AV386" s="59"/>
    </row>
    <row r="387" spans="16:48" ht="13">
      <c r="P387" s="59"/>
      <c r="Q387" s="59"/>
      <c r="AT387" s="59"/>
      <c r="AU387" s="59"/>
      <c r="AV387" s="59"/>
    </row>
    <row r="388" spans="16:48" ht="13">
      <c r="P388" s="59"/>
      <c r="Q388" s="59"/>
      <c r="AT388" s="59"/>
      <c r="AU388" s="59"/>
      <c r="AV388" s="59"/>
    </row>
    <row r="389" spans="16:48" ht="13">
      <c r="P389" s="59"/>
      <c r="Q389" s="59"/>
      <c r="AT389" s="59"/>
      <c r="AU389" s="59"/>
      <c r="AV389" s="59"/>
    </row>
    <row r="390" spans="16:48" ht="13">
      <c r="P390" s="59"/>
      <c r="Q390" s="59"/>
      <c r="AT390" s="59"/>
      <c r="AU390" s="59"/>
      <c r="AV390" s="59"/>
    </row>
    <row r="391" spans="16:48" ht="13">
      <c r="P391" s="59"/>
      <c r="Q391" s="59"/>
      <c r="AT391" s="59"/>
      <c r="AU391" s="59"/>
      <c r="AV391" s="59"/>
    </row>
    <row r="392" spans="16:48" ht="13">
      <c r="P392" s="59"/>
      <c r="Q392" s="59"/>
      <c r="AT392" s="59"/>
      <c r="AU392" s="59"/>
      <c r="AV392" s="59"/>
    </row>
    <row r="393" spans="16:48" ht="13">
      <c r="P393" s="59"/>
      <c r="Q393" s="59"/>
      <c r="AT393" s="59"/>
      <c r="AU393" s="59"/>
      <c r="AV393" s="59"/>
    </row>
    <row r="394" spans="16:48" ht="13">
      <c r="P394" s="59"/>
      <c r="Q394" s="59"/>
      <c r="AT394" s="59"/>
      <c r="AU394" s="59"/>
      <c r="AV394" s="59"/>
    </row>
    <row r="395" spans="16:48" ht="13">
      <c r="P395" s="59"/>
      <c r="Q395" s="59"/>
      <c r="AT395" s="59"/>
      <c r="AU395" s="59"/>
      <c r="AV395" s="59"/>
    </row>
    <row r="396" spans="16:48" ht="13">
      <c r="P396" s="59"/>
      <c r="Q396" s="59"/>
      <c r="AT396" s="59"/>
      <c r="AU396" s="59"/>
      <c r="AV396" s="59"/>
    </row>
    <row r="397" spans="16:48" ht="13">
      <c r="P397" s="59"/>
      <c r="Q397" s="59"/>
      <c r="AT397" s="59"/>
      <c r="AU397" s="59"/>
      <c r="AV397" s="59"/>
    </row>
    <row r="398" spans="16:48" ht="13">
      <c r="P398" s="59"/>
      <c r="Q398" s="59"/>
      <c r="AT398" s="59"/>
      <c r="AU398" s="59"/>
      <c r="AV398" s="59"/>
    </row>
    <row r="399" spans="16:48" ht="13">
      <c r="P399" s="59"/>
      <c r="Q399" s="59"/>
      <c r="AT399" s="59"/>
      <c r="AU399" s="59"/>
      <c r="AV399" s="59"/>
    </row>
    <row r="400" spans="16:48" ht="13">
      <c r="P400" s="59"/>
      <c r="Q400" s="59"/>
      <c r="AT400" s="59"/>
      <c r="AU400" s="59"/>
      <c r="AV400" s="59"/>
    </row>
    <row r="401" spans="16:48" ht="13">
      <c r="P401" s="59"/>
      <c r="Q401" s="59"/>
      <c r="AT401" s="59"/>
      <c r="AU401" s="59"/>
      <c r="AV401" s="59"/>
    </row>
    <row r="402" spans="16:48" ht="13">
      <c r="P402" s="59"/>
      <c r="Q402" s="59"/>
      <c r="AT402" s="59"/>
      <c r="AU402" s="59"/>
      <c r="AV402" s="59"/>
    </row>
    <row r="403" spans="16:48" ht="13">
      <c r="P403" s="59"/>
      <c r="Q403" s="59"/>
      <c r="AT403" s="59"/>
      <c r="AU403" s="59"/>
      <c r="AV403" s="59"/>
    </row>
    <row r="404" spans="16:48" ht="13">
      <c r="P404" s="59"/>
      <c r="Q404" s="59"/>
      <c r="AT404" s="59"/>
      <c r="AU404" s="59"/>
      <c r="AV404" s="59"/>
    </row>
    <row r="405" spans="16:48" ht="13">
      <c r="P405" s="59"/>
      <c r="Q405" s="59"/>
      <c r="AT405" s="59"/>
      <c r="AU405" s="59"/>
      <c r="AV405" s="59"/>
    </row>
    <row r="406" spans="16:48" ht="13">
      <c r="P406" s="59"/>
      <c r="Q406" s="59"/>
      <c r="AT406" s="59"/>
      <c r="AU406" s="59"/>
      <c r="AV406" s="59"/>
    </row>
    <row r="407" spans="16:48" ht="13">
      <c r="P407" s="59"/>
      <c r="Q407" s="59"/>
      <c r="AT407" s="59"/>
      <c r="AU407" s="59"/>
      <c r="AV407" s="59"/>
    </row>
    <row r="408" spans="16:48" ht="13">
      <c r="P408" s="59"/>
      <c r="Q408" s="59"/>
      <c r="AT408" s="59"/>
      <c r="AU408" s="59"/>
      <c r="AV408" s="59"/>
    </row>
    <row r="409" spans="16:48" ht="13">
      <c r="P409" s="59"/>
      <c r="Q409" s="59"/>
      <c r="AT409" s="59"/>
      <c r="AU409" s="59"/>
      <c r="AV409" s="59"/>
    </row>
    <row r="410" spans="16:48" ht="13">
      <c r="P410" s="59"/>
      <c r="Q410" s="59"/>
      <c r="AT410" s="59"/>
      <c r="AU410" s="59"/>
      <c r="AV410" s="59"/>
    </row>
    <row r="411" spans="16:48" ht="13">
      <c r="P411" s="59"/>
      <c r="Q411" s="59"/>
      <c r="AT411" s="59"/>
      <c r="AU411" s="59"/>
      <c r="AV411" s="59"/>
    </row>
    <row r="412" spans="16:48" ht="13">
      <c r="P412" s="59"/>
      <c r="Q412" s="59"/>
      <c r="AT412" s="59"/>
      <c r="AU412" s="59"/>
      <c r="AV412" s="59"/>
    </row>
    <row r="413" spans="16:48" ht="13">
      <c r="P413" s="59"/>
      <c r="Q413" s="59"/>
      <c r="AT413" s="59"/>
      <c r="AU413" s="59"/>
      <c r="AV413" s="59"/>
    </row>
    <row r="414" spans="16:48" ht="13">
      <c r="P414" s="59"/>
      <c r="Q414" s="59"/>
      <c r="AT414" s="59"/>
      <c r="AU414" s="59"/>
      <c r="AV414" s="59"/>
    </row>
    <row r="415" spans="16:48" ht="13">
      <c r="P415" s="59"/>
      <c r="Q415" s="59"/>
      <c r="AT415" s="59"/>
      <c r="AU415" s="59"/>
      <c r="AV415" s="59"/>
    </row>
    <row r="416" spans="16:48" ht="13">
      <c r="P416" s="59"/>
      <c r="Q416" s="59"/>
      <c r="AT416" s="59"/>
      <c r="AU416" s="59"/>
      <c r="AV416" s="59"/>
    </row>
    <row r="417" spans="16:48" ht="13">
      <c r="P417" s="59"/>
      <c r="Q417" s="59"/>
      <c r="AT417" s="59"/>
      <c r="AU417" s="59"/>
      <c r="AV417" s="59"/>
    </row>
    <row r="418" spans="16:48" ht="13">
      <c r="P418" s="59"/>
      <c r="Q418" s="59"/>
      <c r="AT418" s="59"/>
      <c r="AU418" s="59"/>
      <c r="AV418" s="59"/>
    </row>
    <row r="419" spans="16:48" ht="13">
      <c r="P419" s="59"/>
      <c r="Q419" s="59"/>
      <c r="AT419" s="59"/>
      <c r="AU419" s="59"/>
      <c r="AV419" s="59"/>
    </row>
    <row r="420" spans="16:48" ht="13">
      <c r="P420" s="59"/>
      <c r="Q420" s="59"/>
      <c r="AT420" s="59"/>
      <c r="AU420" s="59"/>
      <c r="AV420" s="59"/>
    </row>
    <row r="421" spans="16:48" ht="13">
      <c r="P421" s="59"/>
      <c r="Q421" s="59"/>
      <c r="AT421" s="59"/>
      <c r="AU421" s="59"/>
      <c r="AV421" s="59"/>
    </row>
    <row r="422" spans="16:48" ht="13">
      <c r="P422" s="59"/>
      <c r="Q422" s="59"/>
      <c r="AT422" s="59"/>
      <c r="AU422" s="59"/>
      <c r="AV422" s="59"/>
    </row>
    <row r="423" spans="16:48" ht="13">
      <c r="P423" s="59"/>
      <c r="Q423" s="59"/>
      <c r="AT423" s="59"/>
      <c r="AU423" s="59"/>
      <c r="AV423" s="59"/>
    </row>
    <row r="424" spans="16:48" ht="13">
      <c r="P424" s="59"/>
      <c r="Q424" s="59"/>
      <c r="AT424" s="59"/>
      <c r="AU424" s="59"/>
      <c r="AV424" s="59"/>
    </row>
    <row r="425" spans="16:48" ht="13">
      <c r="P425" s="59"/>
      <c r="Q425" s="59"/>
      <c r="AT425" s="59"/>
      <c r="AU425" s="59"/>
      <c r="AV425" s="59"/>
    </row>
    <row r="426" spans="16:48" ht="13">
      <c r="P426" s="59"/>
      <c r="Q426" s="59"/>
      <c r="AT426" s="59"/>
      <c r="AU426" s="59"/>
      <c r="AV426" s="59"/>
    </row>
    <row r="427" spans="16:48" ht="13">
      <c r="P427" s="59"/>
      <c r="Q427" s="59"/>
      <c r="AT427" s="59"/>
      <c r="AU427" s="59"/>
      <c r="AV427" s="59"/>
    </row>
    <row r="428" spans="16:48" ht="13">
      <c r="P428" s="59"/>
      <c r="Q428" s="59"/>
      <c r="AT428" s="59"/>
      <c r="AU428" s="59"/>
      <c r="AV428" s="59"/>
    </row>
    <row r="429" spans="16:48" ht="13">
      <c r="P429" s="59"/>
      <c r="Q429" s="59"/>
      <c r="AT429" s="59"/>
      <c r="AU429" s="59"/>
      <c r="AV429" s="59"/>
    </row>
    <row r="430" spans="16:48" ht="13">
      <c r="P430" s="59"/>
      <c r="Q430" s="59"/>
      <c r="AT430" s="59"/>
      <c r="AU430" s="59"/>
      <c r="AV430" s="59"/>
    </row>
    <row r="431" spans="16:48" ht="13">
      <c r="P431" s="59"/>
      <c r="Q431" s="59"/>
      <c r="AT431" s="59"/>
      <c r="AU431" s="59"/>
      <c r="AV431" s="59"/>
    </row>
    <row r="432" spans="16:48" ht="13">
      <c r="P432" s="59"/>
      <c r="Q432" s="59"/>
      <c r="AT432" s="59"/>
      <c r="AU432" s="59"/>
      <c r="AV432" s="59"/>
    </row>
    <row r="433" spans="16:48" ht="13">
      <c r="P433" s="59"/>
      <c r="Q433" s="59"/>
      <c r="AT433" s="59"/>
      <c r="AU433" s="59"/>
      <c r="AV433" s="59"/>
    </row>
    <row r="434" spans="16:48" ht="13">
      <c r="P434" s="59"/>
      <c r="Q434" s="59"/>
      <c r="AT434" s="59"/>
      <c r="AU434" s="59"/>
      <c r="AV434" s="59"/>
    </row>
    <row r="435" spans="16:48" ht="13">
      <c r="P435" s="59"/>
      <c r="Q435" s="59"/>
      <c r="AT435" s="59"/>
      <c r="AU435" s="59"/>
      <c r="AV435" s="59"/>
    </row>
    <row r="436" spans="16:48" ht="13">
      <c r="P436" s="59"/>
      <c r="Q436" s="59"/>
      <c r="AT436" s="59"/>
      <c r="AU436" s="59"/>
      <c r="AV436" s="59"/>
    </row>
    <row r="437" spans="16:48" ht="13">
      <c r="P437" s="59"/>
      <c r="Q437" s="59"/>
      <c r="AT437" s="59"/>
      <c r="AU437" s="59"/>
      <c r="AV437" s="59"/>
    </row>
    <row r="438" spans="16:48" ht="13">
      <c r="P438" s="59"/>
      <c r="Q438" s="59"/>
      <c r="AT438" s="59"/>
      <c r="AU438" s="59"/>
      <c r="AV438" s="59"/>
    </row>
    <row r="439" spans="16:48" ht="13">
      <c r="P439" s="59"/>
      <c r="Q439" s="59"/>
      <c r="AT439" s="59"/>
      <c r="AU439" s="59"/>
      <c r="AV439" s="59"/>
    </row>
    <row r="440" spans="16:48" ht="13">
      <c r="P440" s="59"/>
      <c r="Q440" s="59"/>
      <c r="AT440" s="59"/>
      <c r="AU440" s="59"/>
      <c r="AV440" s="59"/>
    </row>
    <row r="441" spans="16:48" ht="13">
      <c r="P441" s="59"/>
      <c r="Q441" s="59"/>
      <c r="AT441" s="59"/>
      <c r="AU441" s="59"/>
      <c r="AV441" s="59"/>
    </row>
    <row r="442" spans="16:48" ht="13">
      <c r="P442" s="59"/>
      <c r="Q442" s="59"/>
      <c r="AT442" s="59"/>
      <c r="AU442" s="59"/>
      <c r="AV442" s="59"/>
    </row>
    <row r="443" spans="16:48" ht="13">
      <c r="P443" s="59"/>
      <c r="Q443" s="59"/>
      <c r="AT443" s="59"/>
      <c r="AU443" s="59"/>
      <c r="AV443" s="59"/>
    </row>
    <row r="444" spans="16:48" ht="13">
      <c r="P444" s="59"/>
      <c r="Q444" s="59"/>
      <c r="AT444" s="59"/>
      <c r="AU444" s="59"/>
      <c r="AV444" s="59"/>
    </row>
    <row r="445" spans="16:48" ht="13">
      <c r="P445" s="59"/>
      <c r="Q445" s="59"/>
      <c r="AT445" s="59"/>
      <c r="AU445" s="59"/>
      <c r="AV445" s="59"/>
    </row>
    <row r="446" spans="16:48" ht="13">
      <c r="P446" s="59"/>
      <c r="Q446" s="59"/>
      <c r="AT446" s="59"/>
      <c r="AU446" s="59"/>
      <c r="AV446" s="59"/>
    </row>
    <row r="447" spans="16:48" ht="13">
      <c r="P447" s="59"/>
      <c r="Q447" s="59"/>
      <c r="AT447" s="59"/>
      <c r="AU447" s="59"/>
      <c r="AV447" s="59"/>
    </row>
    <row r="448" spans="16:48" ht="13">
      <c r="P448" s="59"/>
      <c r="Q448" s="59"/>
      <c r="AT448" s="59"/>
      <c r="AU448" s="59"/>
      <c r="AV448" s="59"/>
    </row>
    <row r="449" spans="16:48" ht="13">
      <c r="P449" s="59"/>
      <c r="Q449" s="59"/>
      <c r="AT449" s="59"/>
      <c r="AU449" s="59"/>
      <c r="AV449" s="59"/>
    </row>
    <row r="450" spans="16:48" ht="13">
      <c r="P450" s="59"/>
      <c r="Q450" s="59"/>
      <c r="AT450" s="59"/>
      <c r="AU450" s="59"/>
      <c r="AV450" s="59"/>
    </row>
    <row r="451" spans="16:48" ht="13">
      <c r="P451" s="59"/>
      <c r="Q451" s="59"/>
      <c r="AT451" s="59"/>
      <c r="AU451" s="59"/>
      <c r="AV451" s="59"/>
    </row>
    <row r="452" spans="16:48" ht="13">
      <c r="P452" s="59"/>
      <c r="Q452" s="59"/>
      <c r="AT452" s="59"/>
      <c r="AU452" s="59"/>
      <c r="AV452" s="59"/>
    </row>
    <row r="453" spans="16:48" ht="13">
      <c r="P453" s="59"/>
      <c r="Q453" s="59"/>
      <c r="AT453" s="59"/>
      <c r="AU453" s="59"/>
      <c r="AV453" s="59"/>
    </row>
    <row r="454" spans="16:48" ht="13">
      <c r="P454" s="59"/>
      <c r="Q454" s="59"/>
      <c r="AT454" s="59"/>
      <c r="AU454" s="59"/>
      <c r="AV454" s="59"/>
    </row>
    <row r="455" spans="16:48" ht="13">
      <c r="P455" s="59"/>
      <c r="Q455" s="59"/>
      <c r="AT455" s="59"/>
      <c r="AU455" s="59"/>
      <c r="AV455" s="59"/>
    </row>
    <row r="456" spans="16:48" ht="13">
      <c r="P456" s="59"/>
      <c r="Q456" s="59"/>
      <c r="AT456" s="59"/>
      <c r="AU456" s="59"/>
      <c r="AV456" s="59"/>
    </row>
    <row r="457" spans="16:48" ht="13">
      <c r="P457" s="59"/>
      <c r="Q457" s="59"/>
      <c r="AT457" s="59"/>
      <c r="AU457" s="59"/>
      <c r="AV457" s="59"/>
    </row>
    <row r="458" spans="16:48" ht="13">
      <c r="P458" s="59"/>
      <c r="Q458" s="59"/>
      <c r="AT458" s="59"/>
      <c r="AU458" s="59"/>
      <c r="AV458" s="59"/>
    </row>
    <row r="459" spans="16:48" ht="13">
      <c r="P459" s="59"/>
      <c r="Q459" s="59"/>
      <c r="AT459" s="59"/>
      <c r="AU459" s="59"/>
      <c r="AV459" s="59"/>
    </row>
    <row r="460" spans="16:48" ht="13">
      <c r="P460" s="59"/>
      <c r="Q460" s="59"/>
      <c r="AT460" s="59"/>
      <c r="AU460" s="59"/>
      <c r="AV460" s="59"/>
    </row>
    <row r="461" spans="16:48" ht="13">
      <c r="P461" s="59"/>
      <c r="Q461" s="59"/>
      <c r="AT461" s="59"/>
      <c r="AU461" s="59"/>
      <c r="AV461" s="59"/>
    </row>
    <row r="462" spans="16:48" ht="13">
      <c r="P462" s="59"/>
      <c r="Q462" s="59"/>
      <c r="AT462" s="59"/>
      <c r="AU462" s="59"/>
      <c r="AV462" s="59"/>
    </row>
    <row r="463" spans="16:48" ht="13">
      <c r="P463" s="59"/>
      <c r="Q463" s="59"/>
      <c r="AT463" s="59"/>
      <c r="AU463" s="59"/>
      <c r="AV463" s="59"/>
    </row>
    <row r="464" spans="16:48" ht="13">
      <c r="P464" s="59"/>
      <c r="Q464" s="59"/>
      <c r="AT464" s="59"/>
      <c r="AU464" s="59"/>
      <c r="AV464" s="59"/>
    </row>
    <row r="465" spans="16:48" ht="13">
      <c r="P465" s="59"/>
      <c r="Q465" s="59"/>
      <c r="AT465" s="59"/>
      <c r="AU465" s="59"/>
      <c r="AV465" s="59"/>
    </row>
    <row r="466" spans="16:48" ht="13">
      <c r="P466" s="59"/>
      <c r="Q466" s="59"/>
      <c r="AT466" s="59"/>
      <c r="AU466" s="59"/>
      <c r="AV466" s="59"/>
    </row>
    <row r="467" spans="16:48" ht="13">
      <c r="P467" s="59"/>
      <c r="Q467" s="59"/>
      <c r="AT467" s="59"/>
      <c r="AU467" s="59"/>
      <c r="AV467" s="59"/>
    </row>
    <row r="468" spans="16:48" ht="13">
      <c r="P468" s="59"/>
      <c r="Q468" s="59"/>
      <c r="AT468" s="59"/>
      <c r="AU468" s="59"/>
      <c r="AV468" s="59"/>
    </row>
    <row r="469" spans="16:48" ht="13">
      <c r="P469" s="59"/>
      <c r="Q469" s="59"/>
      <c r="AT469" s="59"/>
      <c r="AU469" s="59"/>
      <c r="AV469" s="59"/>
    </row>
    <row r="470" spans="16:48" ht="13">
      <c r="P470" s="59"/>
      <c r="Q470" s="59"/>
      <c r="AT470" s="59"/>
      <c r="AU470" s="59"/>
      <c r="AV470" s="59"/>
    </row>
    <row r="471" spans="16:48" ht="13">
      <c r="P471" s="59"/>
      <c r="Q471" s="59"/>
      <c r="AT471" s="59"/>
      <c r="AU471" s="59"/>
      <c r="AV471" s="59"/>
    </row>
    <row r="472" spans="16:48" ht="13">
      <c r="P472" s="59"/>
      <c r="Q472" s="59"/>
      <c r="AT472" s="59"/>
      <c r="AU472" s="59"/>
      <c r="AV472" s="59"/>
    </row>
    <row r="473" spans="16:48" ht="13">
      <c r="P473" s="59"/>
      <c r="Q473" s="59"/>
      <c r="AT473" s="59"/>
      <c r="AU473" s="59"/>
      <c r="AV473" s="59"/>
    </row>
    <row r="474" spans="16:48" ht="13">
      <c r="P474" s="59"/>
      <c r="Q474" s="59"/>
      <c r="AT474" s="59"/>
      <c r="AU474" s="59"/>
      <c r="AV474" s="59"/>
    </row>
    <row r="475" spans="16:48" ht="13">
      <c r="P475" s="59"/>
      <c r="Q475" s="59"/>
      <c r="AT475" s="59"/>
      <c r="AU475" s="59"/>
      <c r="AV475" s="59"/>
    </row>
    <row r="476" spans="16:48" ht="13">
      <c r="P476" s="59"/>
      <c r="Q476" s="59"/>
      <c r="AT476" s="59"/>
      <c r="AU476" s="59"/>
      <c r="AV476" s="59"/>
    </row>
    <row r="477" spans="16:48" ht="13">
      <c r="P477" s="59"/>
      <c r="Q477" s="59"/>
      <c r="AT477" s="59"/>
      <c r="AU477" s="59"/>
      <c r="AV477" s="59"/>
    </row>
    <row r="478" spans="16:48" ht="13">
      <c r="P478" s="59"/>
      <c r="Q478" s="59"/>
      <c r="AT478" s="59"/>
      <c r="AU478" s="59"/>
      <c r="AV478" s="59"/>
    </row>
    <row r="479" spans="16:48" ht="13">
      <c r="P479" s="59"/>
      <c r="Q479" s="59"/>
      <c r="AT479" s="59"/>
      <c r="AU479" s="59"/>
      <c r="AV479" s="59"/>
    </row>
    <row r="480" spans="16:48" ht="13">
      <c r="P480" s="59"/>
      <c r="Q480" s="59"/>
      <c r="AT480" s="59"/>
      <c r="AU480" s="59"/>
      <c r="AV480" s="59"/>
    </row>
    <row r="481" spans="16:48" ht="13">
      <c r="P481" s="59"/>
      <c r="Q481" s="59"/>
      <c r="AT481" s="59"/>
      <c r="AU481" s="59"/>
      <c r="AV481" s="59"/>
    </row>
    <row r="482" spans="16:48" ht="13">
      <c r="P482" s="59"/>
      <c r="Q482" s="59"/>
      <c r="AT482" s="59"/>
      <c r="AU482" s="59"/>
      <c r="AV482" s="59"/>
    </row>
    <row r="483" spans="16:48" ht="13">
      <c r="P483" s="59"/>
      <c r="Q483" s="59"/>
      <c r="AT483" s="59"/>
      <c r="AU483" s="59"/>
      <c r="AV483" s="59"/>
    </row>
    <row r="484" spans="16:48" ht="13">
      <c r="P484" s="59"/>
      <c r="Q484" s="59"/>
      <c r="AT484" s="59"/>
      <c r="AU484" s="59"/>
      <c r="AV484" s="59"/>
    </row>
    <row r="485" spans="16:48" ht="13">
      <c r="P485" s="59"/>
      <c r="Q485" s="59"/>
      <c r="AT485" s="59"/>
      <c r="AU485" s="59"/>
      <c r="AV485" s="59"/>
    </row>
    <row r="486" spans="16:48" ht="13">
      <c r="P486" s="59"/>
      <c r="Q486" s="59"/>
      <c r="AT486" s="59"/>
      <c r="AU486" s="59"/>
      <c r="AV486" s="59"/>
    </row>
    <row r="487" spans="16:48" ht="13">
      <c r="P487" s="59"/>
      <c r="Q487" s="59"/>
      <c r="AT487" s="59"/>
      <c r="AU487" s="59"/>
      <c r="AV487" s="59"/>
    </row>
    <row r="488" spans="16:48" ht="13">
      <c r="P488" s="59"/>
      <c r="Q488" s="59"/>
      <c r="AT488" s="59"/>
      <c r="AU488" s="59"/>
      <c r="AV488" s="59"/>
    </row>
    <row r="489" spans="16:48" ht="13">
      <c r="P489" s="59"/>
      <c r="Q489" s="59"/>
      <c r="AT489" s="59"/>
      <c r="AU489" s="59"/>
      <c r="AV489" s="59"/>
    </row>
    <row r="490" spans="16:48" ht="13">
      <c r="P490" s="59"/>
      <c r="Q490" s="59"/>
      <c r="AT490" s="59"/>
      <c r="AU490" s="59"/>
      <c r="AV490" s="59"/>
    </row>
    <row r="491" spans="16:48" ht="13">
      <c r="P491" s="59"/>
      <c r="Q491" s="59"/>
      <c r="AT491" s="59"/>
      <c r="AU491" s="59"/>
      <c r="AV491" s="59"/>
    </row>
    <row r="492" spans="16:48" ht="13">
      <c r="P492" s="59"/>
      <c r="Q492" s="59"/>
      <c r="AT492" s="59"/>
      <c r="AU492" s="59"/>
      <c r="AV492" s="59"/>
    </row>
    <row r="493" spans="16:48" ht="13">
      <c r="P493" s="59"/>
      <c r="Q493" s="59"/>
      <c r="AT493" s="59"/>
      <c r="AU493" s="59"/>
      <c r="AV493" s="59"/>
    </row>
    <row r="494" spans="16:48" ht="13">
      <c r="P494" s="59"/>
      <c r="Q494" s="59"/>
      <c r="AT494" s="59"/>
      <c r="AU494" s="59"/>
      <c r="AV494" s="59"/>
    </row>
    <row r="495" spans="16:48" ht="13">
      <c r="P495" s="59"/>
      <c r="Q495" s="59"/>
      <c r="AT495" s="59"/>
      <c r="AU495" s="59"/>
      <c r="AV495" s="59"/>
    </row>
    <row r="496" spans="16:48" ht="13">
      <c r="P496" s="59"/>
      <c r="Q496" s="59"/>
      <c r="AT496" s="59"/>
      <c r="AU496" s="59"/>
      <c r="AV496" s="59"/>
    </row>
    <row r="497" spans="16:48" ht="13">
      <c r="P497" s="59"/>
      <c r="Q497" s="59"/>
      <c r="AT497" s="59"/>
      <c r="AU497" s="59"/>
      <c r="AV497" s="59"/>
    </row>
    <row r="498" spans="16:48" ht="13">
      <c r="P498" s="59"/>
      <c r="Q498" s="59"/>
      <c r="AT498" s="59"/>
      <c r="AU498" s="59"/>
      <c r="AV498" s="59"/>
    </row>
    <row r="499" spans="16:48" ht="13">
      <c r="P499" s="59"/>
      <c r="Q499" s="59"/>
      <c r="AT499" s="59"/>
      <c r="AU499" s="59"/>
      <c r="AV499" s="59"/>
    </row>
    <row r="500" spans="16:48" ht="13">
      <c r="P500" s="59"/>
      <c r="Q500" s="59"/>
      <c r="AT500" s="59"/>
      <c r="AU500" s="59"/>
      <c r="AV500" s="59"/>
    </row>
    <row r="501" spans="16:48" ht="13">
      <c r="P501" s="59"/>
      <c r="Q501" s="59"/>
      <c r="AT501" s="59"/>
      <c r="AU501" s="59"/>
      <c r="AV501" s="59"/>
    </row>
    <row r="502" spans="16:48" ht="13">
      <c r="P502" s="59"/>
      <c r="Q502" s="59"/>
      <c r="AT502" s="59"/>
      <c r="AU502" s="59"/>
      <c r="AV502" s="59"/>
    </row>
    <row r="503" spans="16:48" ht="13">
      <c r="P503" s="59"/>
      <c r="Q503" s="59"/>
      <c r="AT503" s="59"/>
      <c r="AU503" s="59"/>
      <c r="AV503" s="59"/>
    </row>
    <row r="504" spans="16:48" ht="13">
      <c r="P504" s="59"/>
      <c r="Q504" s="59"/>
      <c r="AT504" s="59"/>
      <c r="AU504" s="59"/>
      <c r="AV504" s="59"/>
    </row>
    <row r="505" spans="16:48" ht="13">
      <c r="P505" s="59"/>
      <c r="Q505" s="59"/>
      <c r="AT505" s="59"/>
      <c r="AU505" s="59"/>
      <c r="AV505" s="59"/>
    </row>
    <row r="506" spans="16:48" ht="13">
      <c r="P506" s="59"/>
      <c r="Q506" s="59"/>
      <c r="AT506" s="59"/>
      <c r="AU506" s="59"/>
      <c r="AV506" s="59"/>
    </row>
    <row r="507" spans="16:48" ht="13">
      <c r="P507" s="59"/>
      <c r="Q507" s="59"/>
      <c r="AT507" s="59"/>
      <c r="AU507" s="59"/>
      <c r="AV507" s="59"/>
    </row>
    <row r="508" spans="16:48" ht="13">
      <c r="P508" s="59"/>
      <c r="Q508" s="59"/>
      <c r="AT508" s="59"/>
      <c r="AU508" s="59"/>
      <c r="AV508" s="59"/>
    </row>
    <row r="509" spans="16:48" ht="13">
      <c r="P509" s="59"/>
      <c r="Q509" s="59"/>
      <c r="AT509" s="59"/>
      <c r="AU509" s="59"/>
      <c r="AV509" s="59"/>
    </row>
    <row r="510" spans="16:48" ht="13">
      <c r="P510" s="59"/>
      <c r="Q510" s="59"/>
      <c r="AT510" s="59"/>
      <c r="AU510" s="59"/>
      <c r="AV510" s="59"/>
    </row>
    <row r="511" spans="16:48" ht="13">
      <c r="P511" s="59"/>
      <c r="Q511" s="59"/>
      <c r="AT511" s="59"/>
      <c r="AU511" s="59"/>
      <c r="AV511" s="59"/>
    </row>
    <row r="512" spans="16:48" ht="13">
      <c r="P512" s="59"/>
      <c r="Q512" s="59"/>
      <c r="AT512" s="59"/>
      <c r="AU512" s="59"/>
      <c r="AV512" s="59"/>
    </row>
    <row r="513" spans="16:48" ht="13">
      <c r="P513" s="59"/>
      <c r="Q513" s="59"/>
      <c r="AT513" s="59"/>
      <c r="AU513" s="59"/>
      <c r="AV513" s="59"/>
    </row>
    <row r="514" spans="16:48" ht="13">
      <c r="P514" s="59"/>
      <c r="Q514" s="59"/>
      <c r="AT514" s="59"/>
      <c r="AU514" s="59"/>
      <c r="AV514" s="59"/>
    </row>
    <row r="515" spans="16:48" ht="13">
      <c r="P515" s="59"/>
      <c r="Q515" s="59"/>
      <c r="AT515" s="59"/>
      <c r="AU515" s="59"/>
      <c r="AV515" s="59"/>
    </row>
    <row r="516" spans="16:48" ht="13">
      <c r="P516" s="59"/>
      <c r="Q516" s="59"/>
      <c r="AT516" s="59"/>
      <c r="AU516" s="59"/>
      <c r="AV516" s="59"/>
    </row>
    <row r="517" spans="16:48" ht="13">
      <c r="P517" s="59"/>
      <c r="Q517" s="59"/>
      <c r="AT517" s="59"/>
      <c r="AU517" s="59"/>
      <c r="AV517" s="59"/>
    </row>
    <row r="518" spans="16:48" ht="13">
      <c r="P518" s="59"/>
      <c r="Q518" s="59"/>
      <c r="AT518" s="59"/>
      <c r="AU518" s="59"/>
      <c r="AV518" s="59"/>
    </row>
    <row r="519" spans="16:48" ht="13">
      <c r="P519" s="59"/>
      <c r="Q519" s="59"/>
      <c r="AT519" s="59"/>
      <c r="AU519" s="59"/>
      <c r="AV519" s="59"/>
    </row>
    <row r="520" spans="16:48" ht="13">
      <c r="P520" s="59"/>
      <c r="Q520" s="59"/>
      <c r="AT520" s="59"/>
      <c r="AU520" s="59"/>
      <c r="AV520" s="59"/>
    </row>
    <row r="521" spans="16:48" ht="13">
      <c r="P521" s="59"/>
      <c r="Q521" s="59"/>
      <c r="AT521" s="59"/>
      <c r="AU521" s="59"/>
      <c r="AV521" s="59"/>
    </row>
    <row r="522" spans="16:48" ht="13">
      <c r="P522" s="59"/>
      <c r="Q522" s="59"/>
      <c r="AT522" s="59"/>
      <c r="AU522" s="59"/>
      <c r="AV522" s="59"/>
    </row>
    <row r="523" spans="16:48" ht="13">
      <c r="P523" s="59"/>
      <c r="Q523" s="59"/>
      <c r="AT523" s="59"/>
      <c r="AU523" s="59"/>
      <c r="AV523" s="59"/>
    </row>
    <row r="524" spans="16:48" ht="13">
      <c r="P524" s="59"/>
      <c r="Q524" s="59"/>
      <c r="AT524" s="59"/>
      <c r="AU524" s="59"/>
      <c r="AV524" s="59"/>
    </row>
    <row r="525" spans="16:48" ht="13">
      <c r="P525" s="59"/>
      <c r="Q525" s="59"/>
      <c r="AT525" s="59"/>
      <c r="AU525" s="59"/>
      <c r="AV525" s="59"/>
    </row>
    <row r="526" spans="16:48" ht="13">
      <c r="P526" s="59"/>
      <c r="Q526" s="59"/>
      <c r="AT526" s="59"/>
      <c r="AU526" s="59"/>
      <c r="AV526" s="59"/>
    </row>
    <row r="527" spans="16:48" ht="13">
      <c r="P527" s="59"/>
      <c r="Q527" s="59"/>
      <c r="AT527" s="59"/>
      <c r="AU527" s="59"/>
      <c r="AV527" s="59"/>
    </row>
    <row r="528" spans="16:48" ht="13">
      <c r="P528" s="59"/>
      <c r="Q528" s="59"/>
      <c r="AT528" s="59"/>
      <c r="AU528" s="59"/>
      <c r="AV528" s="59"/>
    </row>
    <row r="529" spans="16:48" ht="13">
      <c r="P529" s="59"/>
      <c r="Q529" s="59"/>
      <c r="AT529" s="59"/>
      <c r="AU529" s="59"/>
      <c r="AV529" s="59"/>
    </row>
    <row r="530" spans="16:48" ht="13">
      <c r="P530" s="59"/>
      <c r="Q530" s="59"/>
      <c r="AT530" s="59"/>
      <c r="AU530" s="59"/>
      <c r="AV530" s="59"/>
    </row>
    <row r="531" spans="16:48" ht="13">
      <c r="P531" s="59"/>
      <c r="Q531" s="59"/>
      <c r="AT531" s="59"/>
      <c r="AU531" s="59"/>
      <c r="AV531" s="59"/>
    </row>
    <row r="532" spans="16:48" ht="13">
      <c r="P532" s="59"/>
      <c r="Q532" s="59"/>
      <c r="AT532" s="59"/>
      <c r="AU532" s="59"/>
      <c r="AV532" s="59"/>
    </row>
    <row r="533" spans="16:48" ht="13">
      <c r="P533" s="59"/>
      <c r="Q533" s="59"/>
      <c r="AT533" s="59"/>
      <c r="AU533" s="59"/>
      <c r="AV533" s="59"/>
    </row>
    <row r="534" spans="16:48" ht="13">
      <c r="P534" s="59"/>
      <c r="Q534" s="59"/>
      <c r="AT534" s="59"/>
      <c r="AU534" s="59"/>
      <c r="AV534" s="59"/>
    </row>
    <row r="535" spans="16:48" ht="13">
      <c r="P535" s="59"/>
      <c r="Q535" s="59"/>
      <c r="AT535" s="59"/>
      <c r="AU535" s="59"/>
      <c r="AV535" s="59"/>
    </row>
    <row r="536" spans="16:48" ht="13">
      <c r="P536" s="59"/>
      <c r="Q536" s="59"/>
      <c r="AT536" s="59"/>
      <c r="AU536" s="59"/>
      <c r="AV536" s="59"/>
    </row>
    <row r="537" spans="16:48" ht="13">
      <c r="P537" s="59"/>
      <c r="Q537" s="59"/>
      <c r="AT537" s="59"/>
      <c r="AU537" s="59"/>
      <c r="AV537" s="59"/>
    </row>
    <row r="538" spans="16:48" ht="13">
      <c r="P538" s="59"/>
      <c r="Q538" s="59"/>
      <c r="AT538" s="59"/>
      <c r="AU538" s="59"/>
      <c r="AV538" s="59"/>
    </row>
    <row r="539" spans="16:48" ht="13">
      <c r="P539" s="59"/>
      <c r="Q539" s="59"/>
      <c r="AT539" s="59"/>
      <c r="AU539" s="59"/>
      <c r="AV539" s="59"/>
    </row>
    <row r="540" spans="16:48" ht="13">
      <c r="P540" s="59"/>
      <c r="Q540" s="59"/>
      <c r="AT540" s="59"/>
      <c r="AU540" s="59"/>
      <c r="AV540" s="59"/>
    </row>
    <row r="541" spans="16:48" ht="13">
      <c r="P541" s="59"/>
      <c r="Q541" s="59"/>
      <c r="AT541" s="59"/>
      <c r="AU541" s="59"/>
      <c r="AV541" s="59"/>
    </row>
    <row r="542" spans="16:48" ht="13">
      <c r="P542" s="59"/>
      <c r="Q542" s="59"/>
      <c r="AT542" s="59"/>
      <c r="AU542" s="59"/>
      <c r="AV542" s="59"/>
    </row>
    <row r="543" spans="16:48" ht="13">
      <c r="P543" s="59"/>
      <c r="Q543" s="59"/>
      <c r="AT543" s="59"/>
      <c r="AU543" s="59"/>
      <c r="AV543" s="59"/>
    </row>
    <row r="544" spans="16:48" ht="13">
      <c r="P544" s="59"/>
      <c r="Q544" s="59"/>
      <c r="AT544" s="59"/>
      <c r="AU544" s="59"/>
      <c r="AV544" s="59"/>
    </row>
    <row r="545" spans="16:48" ht="13">
      <c r="P545" s="59"/>
      <c r="Q545" s="59"/>
      <c r="AT545" s="59"/>
      <c r="AU545" s="59"/>
      <c r="AV545" s="59"/>
    </row>
    <row r="546" spans="16:48" ht="13">
      <c r="P546" s="59"/>
      <c r="Q546" s="59"/>
      <c r="AT546" s="59"/>
      <c r="AU546" s="59"/>
      <c r="AV546" s="59"/>
    </row>
    <row r="547" spans="16:48" ht="13">
      <c r="P547" s="59"/>
      <c r="Q547" s="59"/>
      <c r="AT547" s="59"/>
      <c r="AU547" s="59"/>
      <c r="AV547" s="59"/>
    </row>
    <row r="548" spans="16:48" ht="13">
      <c r="P548" s="59"/>
      <c r="Q548" s="59"/>
      <c r="AT548" s="59"/>
      <c r="AU548" s="59"/>
      <c r="AV548" s="59"/>
    </row>
    <row r="549" spans="16:48" ht="13">
      <c r="P549" s="59"/>
      <c r="Q549" s="59"/>
      <c r="AT549" s="59"/>
      <c r="AU549" s="59"/>
      <c r="AV549" s="59"/>
    </row>
    <row r="550" spans="16:48" ht="13">
      <c r="P550" s="59"/>
      <c r="Q550" s="59"/>
      <c r="AT550" s="59"/>
      <c r="AU550" s="59"/>
      <c r="AV550" s="59"/>
    </row>
    <row r="551" spans="16:48" ht="13">
      <c r="P551" s="59"/>
      <c r="Q551" s="59"/>
      <c r="AT551" s="59"/>
      <c r="AU551" s="59"/>
      <c r="AV551" s="59"/>
    </row>
    <row r="552" spans="16:48" ht="13">
      <c r="P552" s="59"/>
      <c r="Q552" s="59"/>
      <c r="AT552" s="59"/>
      <c r="AU552" s="59"/>
      <c r="AV552" s="59"/>
    </row>
    <row r="553" spans="16:48" ht="13">
      <c r="P553" s="59"/>
      <c r="Q553" s="59"/>
      <c r="AT553" s="59"/>
      <c r="AU553" s="59"/>
      <c r="AV553" s="59"/>
    </row>
    <row r="554" spans="16:48" ht="13">
      <c r="P554" s="59"/>
      <c r="Q554" s="59"/>
      <c r="AT554" s="59"/>
      <c r="AU554" s="59"/>
      <c r="AV554" s="59"/>
    </row>
    <row r="555" spans="16:48" ht="13">
      <c r="P555" s="59"/>
      <c r="Q555" s="59"/>
      <c r="AT555" s="59"/>
      <c r="AU555" s="59"/>
      <c r="AV555" s="59"/>
    </row>
    <row r="556" spans="16:48" ht="13">
      <c r="P556" s="59"/>
      <c r="Q556" s="59"/>
      <c r="AT556" s="59"/>
      <c r="AU556" s="59"/>
      <c r="AV556" s="59"/>
    </row>
    <row r="557" spans="16:48" ht="13">
      <c r="P557" s="59"/>
      <c r="Q557" s="59"/>
      <c r="AT557" s="59"/>
      <c r="AU557" s="59"/>
      <c r="AV557" s="59"/>
    </row>
    <row r="558" spans="16:48" ht="13">
      <c r="P558" s="59"/>
      <c r="Q558" s="59"/>
      <c r="AT558" s="59"/>
      <c r="AU558" s="59"/>
      <c r="AV558" s="59"/>
    </row>
    <row r="559" spans="16:48" ht="13">
      <c r="P559" s="59"/>
      <c r="Q559" s="59"/>
      <c r="AT559" s="59"/>
      <c r="AU559" s="59"/>
      <c r="AV559" s="59"/>
    </row>
    <row r="560" spans="16:48" ht="13">
      <c r="P560" s="59"/>
      <c r="Q560" s="59"/>
      <c r="AT560" s="59"/>
      <c r="AU560" s="59"/>
      <c r="AV560" s="59"/>
    </row>
    <row r="561" spans="16:48" ht="13">
      <c r="P561" s="59"/>
      <c r="Q561" s="59"/>
      <c r="AT561" s="59"/>
      <c r="AU561" s="59"/>
      <c r="AV561" s="59"/>
    </row>
    <row r="562" spans="16:48" ht="13">
      <c r="P562" s="59"/>
      <c r="Q562" s="59"/>
      <c r="AT562" s="59"/>
      <c r="AU562" s="59"/>
      <c r="AV562" s="59"/>
    </row>
    <row r="563" spans="16:48" ht="13">
      <c r="P563" s="59"/>
      <c r="Q563" s="59"/>
      <c r="AT563" s="59"/>
      <c r="AU563" s="59"/>
      <c r="AV563" s="59"/>
    </row>
    <row r="564" spans="16:48" ht="13">
      <c r="P564" s="59"/>
      <c r="Q564" s="59"/>
      <c r="AT564" s="59"/>
      <c r="AU564" s="59"/>
      <c r="AV564" s="59"/>
    </row>
    <row r="565" spans="16:48" ht="13">
      <c r="P565" s="59"/>
      <c r="Q565" s="59"/>
      <c r="AT565" s="59"/>
      <c r="AU565" s="59"/>
      <c r="AV565" s="59"/>
    </row>
    <row r="566" spans="16:48" ht="13">
      <c r="P566" s="59"/>
      <c r="Q566" s="59"/>
      <c r="AT566" s="59"/>
      <c r="AU566" s="59"/>
      <c r="AV566" s="59"/>
    </row>
    <row r="567" spans="16:48" ht="13">
      <c r="P567" s="59"/>
      <c r="Q567" s="59"/>
      <c r="AT567" s="59"/>
      <c r="AU567" s="59"/>
      <c r="AV567" s="59"/>
    </row>
    <row r="568" spans="16:48" ht="13">
      <c r="P568" s="59"/>
      <c r="Q568" s="59"/>
      <c r="AT568" s="59"/>
      <c r="AU568" s="59"/>
      <c r="AV568" s="59"/>
    </row>
    <row r="569" spans="16:48" ht="13">
      <c r="P569" s="59"/>
      <c r="Q569" s="59"/>
      <c r="AT569" s="59"/>
      <c r="AU569" s="59"/>
      <c r="AV569" s="59"/>
    </row>
    <row r="570" spans="16:48" ht="13">
      <c r="P570" s="59"/>
      <c r="Q570" s="59"/>
      <c r="AT570" s="59"/>
      <c r="AU570" s="59"/>
      <c r="AV570" s="59"/>
    </row>
    <row r="571" spans="16:48" ht="13">
      <c r="P571" s="59"/>
      <c r="Q571" s="59"/>
      <c r="AT571" s="59"/>
      <c r="AU571" s="59"/>
      <c r="AV571" s="59"/>
    </row>
    <row r="572" spans="16:48" ht="13">
      <c r="P572" s="59"/>
      <c r="Q572" s="59"/>
      <c r="AT572" s="59"/>
      <c r="AU572" s="59"/>
      <c r="AV572" s="59"/>
    </row>
    <row r="573" spans="16:48" ht="13">
      <c r="P573" s="59"/>
      <c r="Q573" s="59"/>
      <c r="AT573" s="59"/>
      <c r="AU573" s="59"/>
      <c r="AV573" s="59"/>
    </row>
    <row r="574" spans="16:48" ht="13">
      <c r="P574" s="59"/>
      <c r="Q574" s="59"/>
      <c r="AT574" s="59"/>
      <c r="AU574" s="59"/>
      <c r="AV574" s="59"/>
    </row>
    <row r="575" spans="16:48" ht="13">
      <c r="P575" s="59"/>
      <c r="Q575" s="59"/>
      <c r="AT575" s="59"/>
      <c r="AU575" s="59"/>
      <c r="AV575" s="59"/>
    </row>
    <row r="576" spans="16:48" ht="13">
      <c r="P576" s="59"/>
      <c r="Q576" s="59"/>
      <c r="AT576" s="59"/>
      <c r="AU576" s="59"/>
      <c r="AV576" s="59"/>
    </row>
    <row r="577" spans="16:48" ht="13">
      <c r="P577" s="59"/>
      <c r="Q577" s="59"/>
      <c r="AT577" s="59"/>
      <c r="AU577" s="59"/>
      <c r="AV577" s="59"/>
    </row>
    <row r="578" spans="16:48" ht="13">
      <c r="P578" s="59"/>
      <c r="Q578" s="59"/>
      <c r="AT578" s="59"/>
      <c r="AU578" s="59"/>
      <c r="AV578" s="59"/>
    </row>
    <row r="579" spans="16:48" ht="13">
      <c r="P579" s="59"/>
      <c r="Q579" s="59"/>
      <c r="AT579" s="59"/>
      <c r="AU579" s="59"/>
      <c r="AV579" s="59"/>
    </row>
    <row r="580" spans="16:48" ht="13">
      <c r="P580" s="59"/>
      <c r="Q580" s="59"/>
      <c r="AT580" s="59"/>
      <c r="AU580" s="59"/>
      <c r="AV580" s="59"/>
    </row>
    <row r="581" spans="16:48" ht="13">
      <c r="P581" s="59"/>
      <c r="Q581" s="59"/>
      <c r="AT581" s="59"/>
      <c r="AU581" s="59"/>
      <c r="AV581" s="59"/>
    </row>
    <row r="582" spans="16:48" ht="13">
      <c r="P582" s="59"/>
      <c r="Q582" s="59"/>
      <c r="AT582" s="59"/>
      <c r="AU582" s="59"/>
      <c r="AV582" s="59"/>
    </row>
    <row r="583" spans="16:48" ht="13">
      <c r="P583" s="59"/>
      <c r="Q583" s="59"/>
      <c r="AT583" s="59"/>
      <c r="AU583" s="59"/>
      <c r="AV583" s="59"/>
    </row>
    <row r="584" spans="16:48" ht="13">
      <c r="P584" s="59"/>
      <c r="Q584" s="59"/>
      <c r="AT584" s="59"/>
      <c r="AU584" s="59"/>
      <c r="AV584" s="59"/>
    </row>
    <row r="585" spans="16:48" ht="13">
      <c r="P585" s="59"/>
      <c r="Q585" s="59"/>
      <c r="AT585" s="59"/>
      <c r="AU585" s="59"/>
      <c r="AV585" s="59"/>
    </row>
    <row r="586" spans="16:48" ht="13">
      <c r="P586" s="59"/>
      <c r="Q586" s="59"/>
      <c r="AT586" s="59"/>
      <c r="AU586" s="59"/>
      <c r="AV586" s="59"/>
    </row>
    <row r="587" spans="16:48" ht="13">
      <c r="P587" s="59"/>
      <c r="Q587" s="59"/>
      <c r="AT587" s="59"/>
      <c r="AU587" s="59"/>
      <c r="AV587" s="59"/>
    </row>
    <row r="588" spans="16:48" ht="13">
      <c r="P588" s="59"/>
      <c r="Q588" s="59"/>
      <c r="AT588" s="59"/>
      <c r="AU588" s="59"/>
      <c r="AV588" s="59"/>
    </row>
    <row r="589" spans="16:48" ht="13">
      <c r="P589" s="59"/>
      <c r="Q589" s="59"/>
      <c r="AT589" s="59"/>
      <c r="AU589" s="59"/>
      <c r="AV589" s="59"/>
    </row>
    <row r="590" spans="16:48" ht="13">
      <c r="P590" s="59"/>
      <c r="Q590" s="59"/>
      <c r="AT590" s="59"/>
      <c r="AU590" s="59"/>
      <c r="AV590" s="59"/>
    </row>
    <row r="591" spans="16:48" ht="13">
      <c r="P591" s="59"/>
      <c r="Q591" s="59"/>
      <c r="AT591" s="59"/>
      <c r="AU591" s="59"/>
      <c r="AV591" s="59"/>
    </row>
    <row r="592" spans="16:48" ht="13">
      <c r="P592" s="59"/>
      <c r="Q592" s="59"/>
      <c r="AT592" s="59"/>
      <c r="AU592" s="59"/>
      <c r="AV592" s="59"/>
    </row>
    <row r="593" spans="16:48" ht="13">
      <c r="P593" s="59"/>
      <c r="Q593" s="59"/>
      <c r="AT593" s="59"/>
      <c r="AU593" s="59"/>
      <c r="AV593" s="59"/>
    </row>
    <row r="594" spans="16:48" ht="13">
      <c r="P594" s="59"/>
      <c r="Q594" s="59"/>
      <c r="AT594" s="59"/>
      <c r="AU594" s="59"/>
      <c r="AV594" s="59"/>
    </row>
    <row r="595" spans="16:48" ht="13">
      <c r="P595" s="59"/>
      <c r="Q595" s="59"/>
      <c r="AT595" s="59"/>
      <c r="AU595" s="59"/>
      <c r="AV595" s="59"/>
    </row>
    <row r="596" spans="16:48" ht="13">
      <c r="P596" s="59"/>
      <c r="Q596" s="59"/>
      <c r="AT596" s="59"/>
      <c r="AU596" s="59"/>
      <c r="AV596" s="59"/>
    </row>
    <row r="597" spans="16:48" ht="13">
      <c r="P597" s="59"/>
      <c r="Q597" s="59"/>
      <c r="AT597" s="59"/>
      <c r="AU597" s="59"/>
      <c r="AV597" s="59"/>
    </row>
    <row r="598" spans="16:48" ht="13">
      <c r="P598" s="59"/>
      <c r="Q598" s="59"/>
      <c r="AT598" s="59"/>
      <c r="AU598" s="59"/>
      <c r="AV598" s="59"/>
    </row>
    <row r="599" spans="16:48" ht="13">
      <c r="P599" s="59"/>
      <c r="Q599" s="59"/>
      <c r="AT599" s="59"/>
      <c r="AU599" s="59"/>
      <c r="AV599" s="59"/>
    </row>
    <row r="600" spans="16:48" ht="13">
      <c r="P600" s="59"/>
      <c r="Q600" s="59"/>
      <c r="AT600" s="59"/>
      <c r="AU600" s="59"/>
      <c r="AV600" s="59"/>
    </row>
    <row r="601" spans="16:48" ht="13">
      <c r="P601" s="59"/>
      <c r="Q601" s="59"/>
      <c r="AT601" s="59"/>
      <c r="AU601" s="59"/>
      <c r="AV601" s="59"/>
    </row>
    <row r="602" spans="16:48" ht="13">
      <c r="P602" s="59"/>
      <c r="Q602" s="59"/>
      <c r="AT602" s="59"/>
      <c r="AU602" s="59"/>
      <c r="AV602" s="59"/>
    </row>
    <row r="603" spans="16:48" ht="13">
      <c r="P603" s="59"/>
      <c r="Q603" s="59"/>
      <c r="AT603" s="59"/>
      <c r="AU603" s="59"/>
      <c r="AV603" s="59"/>
    </row>
    <row r="604" spans="16:48" ht="13">
      <c r="P604" s="59"/>
      <c r="Q604" s="59"/>
      <c r="AT604" s="59"/>
      <c r="AU604" s="59"/>
      <c r="AV604" s="59"/>
    </row>
    <row r="605" spans="16:48" ht="13">
      <c r="P605" s="59"/>
      <c r="Q605" s="59"/>
      <c r="AT605" s="59"/>
      <c r="AU605" s="59"/>
      <c r="AV605" s="59"/>
    </row>
    <row r="606" spans="16:48" ht="13">
      <c r="P606" s="59"/>
      <c r="Q606" s="59"/>
      <c r="AT606" s="59"/>
      <c r="AU606" s="59"/>
      <c r="AV606" s="59"/>
    </row>
    <row r="607" spans="16:48" ht="13">
      <c r="P607" s="59"/>
      <c r="Q607" s="59"/>
      <c r="AT607" s="59"/>
      <c r="AU607" s="59"/>
      <c r="AV607" s="59"/>
    </row>
    <row r="608" spans="16:48" ht="13">
      <c r="P608" s="59"/>
      <c r="Q608" s="59"/>
      <c r="AT608" s="59"/>
      <c r="AU608" s="59"/>
      <c r="AV608" s="59"/>
    </row>
    <row r="609" spans="16:48" ht="13">
      <c r="P609" s="59"/>
      <c r="Q609" s="59"/>
      <c r="AT609" s="59"/>
      <c r="AU609" s="59"/>
      <c r="AV609" s="59"/>
    </row>
    <row r="610" spans="16:48" ht="13">
      <c r="P610" s="59"/>
      <c r="Q610" s="59"/>
      <c r="AT610" s="59"/>
      <c r="AU610" s="59"/>
      <c r="AV610" s="59"/>
    </row>
    <row r="611" spans="16:48" ht="13">
      <c r="P611" s="59"/>
      <c r="Q611" s="59"/>
      <c r="AT611" s="59"/>
      <c r="AU611" s="59"/>
      <c r="AV611" s="59"/>
    </row>
    <row r="612" spans="16:48" ht="13">
      <c r="P612" s="59"/>
      <c r="Q612" s="59"/>
      <c r="AT612" s="59"/>
      <c r="AU612" s="59"/>
      <c r="AV612" s="59"/>
    </row>
    <row r="613" spans="16:48" ht="13">
      <c r="P613" s="59"/>
      <c r="Q613" s="59"/>
      <c r="AT613" s="59"/>
      <c r="AU613" s="59"/>
      <c r="AV613" s="59"/>
    </row>
    <row r="614" spans="16:48" ht="13">
      <c r="P614" s="59"/>
      <c r="Q614" s="59"/>
      <c r="AT614" s="59"/>
      <c r="AU614" s="59"/>
      <c r="AV614" s="59"/>
    </row>
    <row r="615" spans="16:48" ht="13">
      <c r="P615" s="59"/>
      <c r="Q615" s="59"/>
      <c r="AT615" s="59"/>
      <c r="AU615" s="59"/>
      <c r="AV615" s="59"/>
    </row>
    <row r="616" spans="16:48" ht="13">
      <c r="P616" s="59"/>
      <c r="Q616" s="59"/>
      <c r="AT616" s="59"/>
      <c r="AU616" s="59"/>
      <c r="AV616" s="59"/>
    </row>
    <row r="617" spans="16:48" ht="13">
      <c r="P617" s="59"/>
      <c r="Q617" s="59"/>
      <c r="AT617" s="59"/>
      <c r="AU617" s="59"/>
      <c r="AV617" s="59"/>
    </row>
    <row r="618" spans="16:48" ht="13">
      <c r="P618" s="59"/>
      <c r="Q618" s="59"/>
      <c r="AT618" s="59"/>
      <c r="AU618" s="59"/>
      <c r="AV618" s="59"/>
    </row>
    <row r="619" spans="16:48" ht="13">
      <c r="P619" s="59"/>
      <c r="Q619" s="59"/>
      <c r="AT619" s="59"/>
      <c r="AU619" s="59"/>
      <c r="AV619" s="59"/>
    </row>
    <row r="620" spans="16:48" ht="13">
      <c r="P620" s="59"/>
      <c r="Q620" s="59"/>
      <c r="AT620" s="59"/>
      <c r="AU620" s="59"/>
      <c r="AV620" s="59"/>
    </row>
    <row r="621" spans="16:48" ht="13">
      <c r="P621" s="59"/>
      <c r="Q621" s="59"/>
      <c r="AT621" s="59"/>
      <c r="AU621" s="59"/>
      <c r="AV621" s="59"/>
    </row>
    <row r="622" spans="16:48" ht="13">
      <c r="P622" s="59"/>
      <c r="Q622" s="59"/>
      <c r="AT622" s="59"/>
      <c r="AU622" s="59"/>
      <c r="AV622" s="59"/>
    </row>
    <row r="623" spans="16:48" ht="13">
      <c r="P623" s="59"/>
      <c r="Q623" s="59"/>
      <c r="AT623" s="59"/>
      <c r="AU623" s="59"/>
      <c r="AV623" s="59"/>
    </row>
    <row r="624" spans="16:48" ht="13">
      <c r="P624" s="59"/>
      <c r="Q624" s="59"/>
      <c r="AT624" s="59"/>
      <c r="AU624" s="59"/>
      <c r="AV624" s="59"/>
    </row>
    <row r="625" spans="16:48" ht="13">
      <c r="P625" s="59"/>
      <c r="Q625" s="59"/>
      <c r="AT625" s="59"/>
      <c r="AU625" s="59"/>
      <c r="AV625" s="59"/>
    </row>
    <row r="626" spans="16:48" ht="13">
      <c r="P626" s="59"/>
      <c r="Q626" s="59"/>
      <c r="AT626" s="59"/>
      <c r="AU626" s="59"/>
      <c r="AV626" s="59"/>
    </row>
    <row r="627" spans="16:48" ht="13">
      <c r="P627" s="59"/>
      <c r="Q627" s="59"/>
      <c r="AT627" s="59"/>
      <c r="AU627" s="59"/>
      <c r="AV627" s="59"/>
    </row>
    <row r="628" spans="16:48" ht="13">
      <c r="P628" s="59"/>
      <c r="Q628" s="59"/>
      <c r="AT628" s="59"/>
      <c r="AU628" s="59"/>
      <c r="AV628" s="59"/>
    </row>
    <row r="629" spans="16:48" ht="13">
      <c r="P629" s="59"/>
      <c r="Q629" s="59"/>
      <c r="AT629" s="59"/>
      <c r="AU629" s="59"/>
      <c r="AV629" s="59"/>
    </row>
    <row r="630" spans="16:48" ht="13">
      <c r="P630" s="59"/>
      <c r="Q630" s="59"/>
      <c r="AT630" s="59"/>
      <c r="AU630" s="59"/>
      <c r="AV630" s="59"/>
    </row>
    <row r="631" spans="16:48" ht="13">
      <c r="P631" s="59"/>
      <c r="Q631" s="59"/>
      <c r="AT631" s="59"/>
      <c r="AU631" s="59"/>
      <c r="AV631" s="59"/>
    </row>
    <row r="632" spans="16:48" ht="13">
      <c r="P632" s="59"/>
      <c r="Q632" s="59"/>
      <c r="AT632" s="59"/>
      <c r="AU632" s="59"/>
      <c r="AV632" s="59"/>
    </row>
    <row r="633" spans="16:48" ht="13">
      <c r="P633" s="59"/>
      <c r="Q633" s="59"/>
      <c r="AT633" s="59"/>
      <c r="AU633" s="59"/>
      <c r="AV633" s="59"/>
    </row>
    <row r="634" spans="16:48" ht="13">
      <c r="P634" s="59"/>
      <c r="Q634" s="59"/>
      <c r="AT634" s="59"/>
      <c r="AU634" s="59"/>
      <c r="AV634" s="59"/>
    </row>
    <row r="635" spans="16:48" ht="13">
      <c r="P635" s="59"/>
      <c r="Q635" s="59"/>
      <c r="AT635" s="59"/>
      <c r="AU635" s="59"/>
      <c r="AV635" s="59"/>
    </row>
    <row r="636" spans="16:48" ht="13">
      <c r="P636" s="59"/>
      <c r="Q636" s="59"/>
      <c r="AT636" s="59"/>
      <c r="AU636" s="59"/>
      <c r="AV636" s="59"/>
    </row>
    <row r="637" spans="16:48" ht="13">
      <c r="P637" s="59"/>
      <c r="Q637" s="59"/>
      <c r="AT637" s="59"/>
      <c r="AU637" s="59"/>
      <c r="AV637" s="59"/>
    </row>
    <row r="638" spans="16:48" ht="13">
      <c r="P638" s="59"/>
      <c r="Q638" s="59"/>
      <c r="AT638" s="59"/>
      <c r="AU638" s="59"/>
      <c r="AV638" s="59"/>
    </row>
    <row r="639" spans="16:48" ht="13">
      <c r="P639" s="59"/>
      <c r="Q639" s="59"/>
      <c r="AT639" s="59"/>
      <c r="AU639" s="59"/>
      <c r="AV639" s="59"/>
    </row>
    <row r="640" spans="16:48" ht="13">
      <c r="P640" s="59"/>
      <c r="Q640" s="59"/>
      <c r="AT640" s="59"/>
      <c r="AU640" s="59"/>
      <c r="AV640" s="59"/>
    </row>
    <row r="641" spans="16:48" ht="13">
      <c r="P641" s="59"/>
      <c r="Q641" s="59"/>
      <c r="AT641" s="59"/>
      <c r="AU641" s="59"/>
      <c r="AV641" s="59"/>
    </row>
    <row r="642" spans="16:48" ht="13">
      <c r="P642" s="59"/>
      <c r="Q642" s="59"/>
      <c r="AT642" s="59"/>
      <c r="AU642" s="59"/>
      <c r="AV642" s="59"/>
    </row>
    <row r="643" spans="16:48" ht="13">
      <c r="P643" s="59"/>
      <c r="Q643" s="59"/>
      <c r="AT643" s="59"/>
      <c r="AU643" s="59"/>
      <c r="AV643" s="59"/>
    </row>
    <row r="644" spans="16:48" ht="13">
      <c r="P644" s="59"/>
      <c r="Q644" s="59"/>
      <c r="AT644" s="59"/>
      <c r="AU644" s="59"/>
      <c r="AV644" s="59"/>
    </row>
    <row r="645" spans="16:48" ht="13">
      <c r="P645" s="59"/>
      <c r="Q645" s="59"/>
      <c r="AT645" s="59"/>
      <c r="AU645" s="59"/>
      <c r="AV645" s="59"/>
    </row>
    <row r="646" spans="16:48" ht="13">
      <c r="P646" s="59"/>
      <c r="Q646" s="59"/>
      <c r="AT646" s="59"/>
      <c r="AU646" s="59"/>
      <c r="AV646" s="59"/>
    </row>
    <row r="647" spans="16:48" ht="13">
      <c r="P647" s="59"/>
      <c r="Q647" s="59"/>
      <c r="AT647" s="59"/>
      <c r="AU647" s="59"/>
      <c r="AV647" s="59"/>
    </row>
    <row r="648" spans="16:48" ht="13">
      <c r="P648" s="59"/>
      <c r="Q648" s="59"/>
      <c r="AT648" s="59"/>
      <c r="AU648" s="59"/>
      <c r="AV648" s="59"/>
    </row>
    <row r="649" spans="16:48" ht="13">
      <c r="P649" s="59"/>
      <c r="Q649" s="59"/>
      <c r="AT649" s="59"/>
      <c r="AU649" s="59"/>
      <c r="AV649" s="59"/>
    </row>
    <row r="650" spans="16:48" ht="13">
      <c r="P650" s="59"/>
      <c r="Q650" s="59"/>
      <c r="AT650" s="59"/>
      <c r="AU650" s="59"/>
      <c r="AV650" s="59"/>
    </row>
    <row r="651" spans="16:48" ht="13">
      <c r="P651" s="59"/>
      <c r="Q651" s="59"/>
      <c r="AT651" s="59"/>
      <c r="AU651" s="59"/>
      <c r="AV651" s="59"/>
    </row>
    <row r="652" spans="16:48" ht="13">
      <c r="P652" s="59"/>
      <c r="Q652" s="59"/>
      <c r="AT652" s="59"/>
      <c r="AU652" s="59"/>
      <c r="AV652" s="59"/>
    </row>
    <row r="653" spans="16:48" ht="13">
      <c r="P653" s="59"/>
      <c r="Q653" s="59"/>
      <c r="AT653" s="59"/>
      <c r="AU653" s="59"/>
      <c r="AV653" s="59"/>
    </row>
    <row r="654" spans="16:48" ht="13">
      <c r="P654" s="59"/>
      <c r="Q654" s="59"/>
      <c r="AT654" s="59"/>
      <c r="AU654" s="59"/>
      <c r="AV654" s="59"/>
    </row>
    <row r="655" spans="16:48" ht="13">
      <c r="P655" s="59"/>
      <c r="Q655" s="59"/>
      <c r="AT655" s="59"/>
      <c r="AU655" s="59"/>
      <c r="AV655" s="59"/>
    </row>
    <row r="656" spans="16:48" ht="13">
      <c r="P656" s="59"/>
      <c r="Q656" s="59"/>
      <c r="AT656" s="59"/>
      <c r="AU656" s="59"/>
      <c r="AV656" s="59"/>
    </row>
    <row r="657" spans="16:48" ht="13">
      <c r="P657" s="59"/>
      <c r="Q657" s="59"/>
      <c r="AT657" s="59"/>
      <c r="AU657" s="59"/>
      <c r="AV657" s="59"/>
    </row>
    <row r="658" spans="16:48" ht="13">
      <c r="P658" s="59"/>
      <c r="Q658" s="59"/>
      <c r="AT658" s="59"/>
      <c r="AU658" s="59"/>
      <c r="AV658" s="59"/>
    </row>
    <row r="659" spans="16:48" ht="13">
      <c r="P659" s="59"/>
      <c r="Q659" s="59"/>
      <c r="AT659" s="59"/>
      <c r="AU659" s="59"/>
      <c r="AV659" s="59"/>
    </row>
    <row r="660" spans="16:48" ht="13">
      <c r="P660" s="59"/>
      <c r="Q660" s="59"/>
      <c r="AT660" s="59"/>
      <c r="AU660" s="59"/>
      <c r="AV660" s="59"/>
    </row>
    <row r="661" spans="16:48" ht="13">
      <c r="P661" s="59"/>
      <c r="Q661" s="59"/>
      <c r="AT661" s="59"/>
      <c r="AU661" s="59"/>
      <c r="AV661" s="59"/>
    </row>
    <row r="662" spans="16:48" ht="13">
      <c r="P662" s="59"/>
      <c r="Q662" s="59"/>
      <c r="AT662" s="59"/>
      <c r="AU662" s="59"/>
      <c r="AV662" s="59"/>
    </row>
    <row r="663" spans="16:48" ht="13">
      <c r="P663" s="59"/>
      <c r="Q663" s="59"/>
      <c r="AT663" s="59"/>
      <c r="AU663" s="59"/>
      <c r="AV663" s="59"/>
    </row>
    <row r="664" spans="16:48" ht="13">
      <c r="P664" s="59"/>
      <c r="Q664" s="59"/>
      <c r="AT664" s="59"/>
      <c r="AU664" s="59"/>
      <c r="AV664" s="59"/>
    </row>
    <row r="665" spans="16:48" ht="13">
      <c r="P665" s="59"/>
      <c r="Q665" s="59"/>
      <c r="AT665" s="59"/>
      <c r="AU665" s="59"/>
      <c r="AV665" s="59"/>
    </row>
    <row r="666" spans="16:48" ht="13">
      <c r="P666" s="59"/>
      <c r="Q666" s="59"/>
      <c r="AT666" s="59"/>
      <c r="AU666" s="59"/>
      <c r="AV666" s="59"/>
    </row>
    <row r="667" spans="16:48" ht="13">
      <c r="P667" s="59"/>
      <c r="Q667" s="59"/>
      <c r="AT667" s="59"/>
      <c r="AU667" s="59"/>
      <c r="AV667" s="59"/>
    </row>
    <row r="668" spans="16:48" ht="13">
      <c r="P668" s="59"/>
      <c r="Q668" s="59"/>
      <c r="AT668" s="59"/>
      <c r="AU668" s="59"/>
      <c r="AV668" s="59"/>
    </row>
    <row r="669" spans="16:48" ht="13">
      <c r="P669" s="59"/>
      <c r="Q669" s="59"/>
      <c r="AT669" s="59"/>
      <c r="AU669" s="59"/>
      <c r="AV669" s="59"/>
    </row>
    <row r="670" spans="16:48" ht="13">
      <c r="P670" s="59"/>
      <c r="Q670" s="59"/>
      <c r="AT670" s="59"/>
      <c r="AU670" s="59"/>
      <c r="AV670" s="59"/>
    </row>
    <row r="671" spans="16:48" ht="13">
      <c r="P671" s="59"/>
      <c r="Q671" s="59"/>
      <c r="AT671" s="59"/>
      <c r="AU671" s="59"/>
      <c r="AV671" s="59"/>
    </row>
    <row r="672" spans="16:48" ht="13">
      <c r="P672" s="59"/>
      <c r="Q672" s="59"/>
      <c r="AT672" s="59"/>
      <c r="AU672" s="59"/>
      <c r="AV672" s="59"/>
    </row>
    <row r="673" spans="16:48" ht="13">
      <c r="P673" s="59"/>
      <c r="Q673" s="59"/>
      <c r="AT673" s="59"/>
      <c r="AU673" s="59"/>
      <c r="AV673" s="59"/>
    </row>
    <row r="674" spans="16:48" ht="13">
      <c r="P674" s="59"/>
      <c r="Q674" s="59"/>
      <c r="AT674" s="59"/>
      <c r="AU674" s="59"/>
      <c r="AV674" s="59"/>
    </row>
    <row r="675" spans="16:48" ht="13">
      <c r="P675" s="59"/>
      <c r="Q675" s="59"/>
      <c r="AT675" s="59"/>
      <c r="AU675" s="59"/>
      <c r="AV675" s="59"/>
    </row>
    <row r="676" spans="16:48" ht="13">
      <c r="P676" s="59"/>
      <c r="Q676" s="59"/>
      <c r="AT676" s="59"/>
      <c r="AU676" s="59"/>
      <c r="AV676" s="59"/>
    </row>
    <row r="677" spans="16:48" ht="13">
      <c r="P677" s="59"/>
      <c r="Q677" s="59"/>
      <c r="AT677" s="59"/>
      <c r="AU677" s="59"/>
      <c r="AV677" s="59"/>
    </row>
    <row r="678" spans="16:48" ht="13">
      <c r="P678" s="59"/>
      <c r="Q678" s="59"/>
      <c r="AT678" s="59"/>
      <c r="AU678" s="59"/>
      <c r="AV678" s="59"/>
    </row>
    <row r="679" spans="16:48" ht="13">
      <c r="P679" s="59"/>
      <c r="Q679" s="59"/>
      <c r="AT679" s="59"/>
      <c r="AU679" s="59"/>
      <c r="AV679" s="59"/>
    </row>
    <row r="680" spans="16:48" ht="13">
      <c r="P680" s="59"/>
      <c r="Q680" s="59"/>
      <c r="AT680" s="59"/>
      <c r="AU680" s="59"/>
      <c r="AV680" s="59"/>
    </row>
    <row r="681" spans="16:48" ht="13">
      <c r="P681" s="59"/>
      <c r="Q681" s="59"/>
      <c r="AT681" s="59"/>
      <c r="AU681" s="59"/>
      <c r="AV681" s="59"/>
    </row>
    <row r="682" spans="16:48" ht="13">
      <c r="P682" s="59"/>
      <c r="Q682" s="59"/>
      <c r="AT682" s="59"/>
      <c r="AU682" s="59"/>
      <c r="AV682" s="59"/>
    </row>
    <row r="683" spans="16:48" ht="13">
      <c r="P683" s="59"/>
      <c r="Q683" s="59"/>
      <c r="AT683" s="59"/>
      <c r="AU683" s="59"/>
      <c r="AV683" s="59"/>
    </row>
    <row r="684" spans="16:48" ht="13">
      <c r="P684" s="59"/>
      <c r="Q684" s="59"/>
      <c r="AT684" s="59"/>
      <c r="AU684" s="59"/>
      <c r="AV684" s="59"/>
    </row>
    <row r="685" spans="16:48" ht="13">
      <c r="P685" s="59"/>
      <c r="Q685" s="59"/>
      <c r="AT685" s="59"/>
      <c r="AU685" s="59"/>
      <c r="AV685" s="59"/>
    </row>
    <row r="686" spans="16:48" ht="13">
      <c r="P686" s="59"/>
      <c r="Q686" s="59"/>
      <c r="AT686" s="59"/>
      <c r="AU686" s="59"/>
      <c r="AV686" s="59"/>
    </row>
    <row r="687" spans="16:48" ht="13">
      <c r="P687" s="59"/>
      <c r="Q687" s="59"/>
      <c r="AT687" s="59"/>
      <c r="AU687" s="59"/>
      <c r="AV687" s="59"/>
    </row>
    <row r="688" spans="16:48" ht="13">
      <c r="P688" s="59"/>
      <c r="Q688" s="59"/>
      <c r="AT688" s="59"/>
      <c r="AU688" s="59"/>
      <c r="AV688" s="59"/>
    </row>
    <row r="689" spans="16:48" ht="13">
      <c r="P689" s="59"/>
      <c r="Q689" s="59"/>
      <c r="AT689" s="59"/>
      <c r="AU689" s="59"/>
      <c r="AV689" s="59"/>
    </row>
    <row r="690" spans="16:48" ht="13">
      <c r="P690" s="59"/>
      <c r="Q690" s="59"/>
      <c r="AT690" s="59"/>
      <c r="AU690" s="59"/>
      <c r="AV690" s="59"/>
    </row>
    <row r="691" spans="16:48" ht="13">
      <c r="P691" s="59"/>
      <c r="Q691" s="59"/>
      <c r="AT691" s="59"/>
      <c r="AU691" s="59"/>
      <c r="AV691" s="59"/>
    </row>
    <row r="692" spans="16:48" ht="13">
      <c r="P692" s="59"/>
      <c r="Q692" s="59"/>
      <c r="AT692" s="59"/>
      <c r="AU692" s="59"/>
      <c r="AV692" s="59"/>
    </row>
    <row r="693" spans="16:48" ht="13">
      <c r="P693" s="59"/>
      <c r="Q693" s="59"/>
      <c r="AT693" s="59"/>
      <c r="AU693" s="59"/>
      <c r="AV693" s="59"/>
    </row>
    <row r="694" spans="16:48" ht="13">
      <c r="P694" s="59"/>
      <c r="Q694" s="59"/>
      <c r="AT694" s="59"/>
      <c r="AU694" s="59"/>
      <c r="AV694" s="59"/>
    </row>
    <row r="695" spans="16:48" ht="13">
      <c r="P695" s="59"/>
      <c r="Q695" s="59"/>
      <c r="AT695" s="59"/>
      <c r="AU695" s="59"/>
      <c r="AV695" s="59"/>
    </row>
    <row r="696" spans="16:48" ht="13">
      <c r="P696" s="59"/>
      <c r="Q696" s="59"/>
      <c r="AT696" s="59"/>
      <c r="AU696" s="59"/>
      <c r="AV696" s="59"/>
    </row>
    <row r="697" spans="16:48" ht="13">
      <c r="P697" s="59"/>
      <c r="Q697" s="59"/>
      <c r="AT697" s="59"/>
      <c r="AU697" s="59"/>
      <c r="AV697" s="59"/>
    </row>
    <row r="698" spans="16:48" ht="13">
      <c r="P698" s="59"/>
      <c r="Q698" s="59"/>
      <c r="AT698" s="59"/>
      <c r="AU698" s="59"/>
      <c r="AV698" s="59"/>
    </row>
    <row r="699" spans="16:48" ht="13">
      <c r="P699" s="59"/>
      <c r="Q699" s="59"/>
      <c r="AT699" s="59"/>
      <c r="AU699" s="59"/>
      <c r="AV699" s="59"/>
    </row>
    <row r="700" spans="16:48" ht="13">
      <c r="P700" s="59"/>
      <c r="Q700" s="59"/>
      <c r="AT700" s="59"/>
      <c r="AU700" s="59"/>
      <c r="AV700" s="59"/>
    </row>
    <row r="701" spans="16:48" ht="13">
      <c r="P701" s="59"/>
      <c r="Q701" s="59"/>
      <c r="AT701" s="59"/>
      <c r="AU701" s="59"/>
      <c r="AV701" s="59"/>
    </row>
    <row r="702" spans="16:48" ht="13">
      <c r="P702" s="59"/>
      <c r="Q702" s="59"/>
      <c r="AT702" s="59"/>
      <c r="AU702" s="59"/>
      <c r="AV702" s="59"/>
    </row>
    <row r="703" spans="16:48" ht="13">
      <c r="P703" s="59"/>
      <c r="Q703" s="59"/>
      <c r="AT703" s="59"/>
      <c r="AU703" s="59"/>
      <c r="AV703" s="59"/>
    </row>
    <row r="704" spans="16:48" ht="13">
      <c r="P704" s="59"/>
      <c r="Q704" s="59"/>
      <c r="AT704" s="59"/>
      <c r="AU704" s="59"/>
      <c r="AV704" s="59"/>
    </row>
    <row r="705" spans="16:48" ht="13">
      <c r="P705" s="59"/>
      <c r="Q705" s="59"/>
      <c r="AT705" s="59"/>
      <c r="AU705" s="59"/>
      <c r="AV705" s="59"/>
    </row>
    <row r="706" spans="16:48" ht="13">
      <c r="P706" s="59"/>
      <c r="Q706" s="59"/>
      <c r="AT706" s="59"/>
      <c r="AU706" s="59"/>
      <c r="AV706" s="59"/>
    </row>
    <row r="707" spans="16:48" ht="13">
      <c r="P707" s="59"/>
      <c r="Q707" s="59"/>
      <c r="AT707" s="59"/>
      <c r="AU707" s="59"/>
      <c r="AV707" s="59"/>
    </row>
    <row r="708" spans="16:48" ht="13">
      <c r="P708" s="59"/>
      <c r="Q708" s="59"/>
      <c r="AT708" s="59"/>
      <c r="AU708" s="59"/>
      <c r="AV708" s="59"/>
    </row>
    <row r="709" spans="16:48" ht="13">
      <c r="P709" s="59"/>
      <c r="Q709" s="59"/>
      <c r="AT709" s="59"/>
      <c r="AU709" s="59"/>
      <c r="AV709" s="59"/>
    </row>
    <row r="710" spans="16:48" ht="13">
      <c r="P710" s="59"/>
      <c r="Q710" s="59"/>
      <c r="AT710" s="59"/>
      <c r="AU710" s="59"/>
      <c r="AV710" s="59"/>
    </row>
    <row r="711" spans="16:48" ht="13">
      <c r="P711" s="59"/>
      <c r="Q711" s="59"/>
      <c r="AT711" s="59"/>
      <c r="AU711" s="59"/>
      <c r="AV711" s="59"/>
    </row>
    <row r="712" spans="16:48" ht="13">
      <c r="P712" s="59"/>
      <c r="Q712" s="59"/>
      <c r="AT712" s="59"/>
      <c r="AU712" s="59"/>
      <c r="AV712" s="59"/>
    </row>
    <row r="713" spans="16:48" ht="13">
      <c r="P713" s="59"/>
      <c r="Q713" s="59"/>
      <c r="AT713" s="59"/>
      <c r="AU713" s="59"/>
      <c r="AV713" s="59"/>
    </row>
    <row r="714" spans="16:48" ht="13">
      <c r="P714" s="59"/>
      <c r="Q714" s="59"/>
      <c r="AT714" s="59"/>
      <c r="AU714" s="59"/>
      <c r="AV714" s="59"/>
    </row>
    <row r="715" spans="16:48" ht="13">
      <c r="P715" s="59"/>
      <c r="Q715" s="59"/>
      <c r="AT715" s="59"/>
      <c r="AU715" s="59"/>
      <c r="AV715" s="59"/>
    </row>
    <row r="716" spans="16:48" ht="13">
      <c r="P716" s="59"/>
      <c r="Q716" s="59"/>
      <c r="AT716" s="59"/>
      <c r="AU716" s="59"/>
      <c r="AV716" s="59"/>
    </row>
    <row r="717" spans="16:48" ht="13">
      <c r="P717" s="59"/>
      <c r="Q717" s="59"/>
      <c r="AT717" s="59"/>
      <c r="AU717" s="59"/>
      <c r="AV717" s="59"/>
    </row>
    <row r="718" spans="16:48" ht="13">
      <c r="P718" s="59"/>
      <c r="Q718" s="59"/>
      <c r="AT718" s="59"/>
      <c r="AU718" s="59"/>
      <c r="AV718" s="59"/>
    </row>
    <row r="719" spans="16:48" ht="13">
      <c r="P719" s="59"/>
      <c r="Q719" s="59"/>
      <c r="AT719" s="59"/>
      <c r="AU719" s="59"/>
      <c r="AV719" s="59"/>
    </row>
    <row r="720" spans="16:48" ht="13">
      <c r="P720" s="59"/>
      <c r="Q720" s="59"/>
      <c r="AT720" s="59"/>
      <c r="AU720" s="59"/>
      <c r="AV720" s="59"/>
    </row>
    <row r="721" spans="16:48" ht="13">
      <c r="P721" s="59"/>
      <c r="Q721" s="59"/>
      <c r="AT721" s="59"/>
      <c r="AU721" s="59"/>
      <c r="AV721" s="59"/>
    </row>
    <row r="722" spans="16:48" ht="13">
      <c r="P722" s="59"/>
      <c r="Q722" s="59"/>
      <c r="AT722" s="59"/>
      <c r="AU722" s="59"/>
      <c r="AV722" s="59"/>
    </row>
    <row r="723" spans="16:48" ht="13">
      <c r="P723" s="59"/>
      <c r="Q723" s="59"/>
      <c r="AT723" s="59"/>
      <c r="AU723" s="59"/>
      <c r="AV723" s="59"/>
    </row>
    <row r="724" spans="16:48" ht="13">
      <c r="P724" s="59"/>
      <c r="Q724" s="59"/>
      <c r="AT724" s="59"/>
      <c r="AU724" s="59"/>
      <c r="AV724" s="59"/>
    </row>
    <row r="725" spans="16:48" ht="13">
      <c r="P725" s="59"/>
      <c r="Q725" s="59"/>
      <c r="AT725" s="59"/>
      <c r="AU725" s="59"/>
      <c r="AV725" s="59"/>
    </row>
    <row r="726" spans="16:48" ht="13">
      <c r="P726" s="59"/>
      <c r="Q726" s="59"/>
      <c r="AT726" s="59"/>
      <c r="AU726" s="59"/>
      <c r="AV726" s="59"/>
    </row>
    <row r="727" spans="16:48" ht="13">
      <c r="P727" s="59"/>
      <c r="Q727" s="59"/>
      <c r="AT727" s="59"/>
      <c r="AU727" s="59"/>
      <c r="AV727" s="59"/>
    </row>
    <row r="728" spans="16:48" ht="13">
      <c r="P728" s="59"/>
      <c r="Q728" s="59"/>
      <c r="AT728" s="59"/>
      <c r="AU728" s="59"/>
      <c r="AV728" s="59"/>
    </row>
    <row r="729" spans="16:48" ht="13">
      <c r="P729" s="59"/>
      <c r="Q729" s="59"/>
      <c r="AT729" s="59"/>
      <c r="AU729" s="59"/>
      <c r="AV729" s="59"/>
    </row>
    <row r="730" spans="16:48" ht="13">
      <c r="P730" s="59"/>
      <c r="Q730" s="59"/>
      <c r="AT730" s="59"/>
      <c r="AU730" s="59"/>
      <c r="AV730" s="59"/>
    </row>
    <row r="731" spans="16:48" ht="13">
      <c r="P731" s="59"/>
      <c r="Q731" s="59"/>
      <c r="AT731" s="59"/>
      <c r="AU731" s="59"/>
      <c r="AV731" s="59"/>
    </row>
    <row r="732" spans="16:48" ht="13">
      <c r="P732" s="59"/>
      <c r="Q732" s="59"/>
      <c r="AT732" s="59"/>
      <c r="AU732" s="59"/>
      <c r="AV732" s="59"/>
    </row>
    <row r="733" spans="16:48" ht="13">
      <c r="P733" s="59"/>
      <c r="Q733" s="59"/>
      <c r="AT733" s="59"/>
      <c r="AU733" s="59"/>
      <c r="AV733" s="59"/>
    </row>
    <row r="734" spans="16:48" ht="13">
      <c r="P734" s="59"/>
      <c r="Q734" s="59"/>
      <c r="AT734" s="59"/>
      <c r="AU734" s="59"/>
      <c r="AV734" s="59"/>
    </row>
    <row r="735" spans="16:48" ht="13">
      <c r="P735" s="59"/>
      <c r="Q735" s="59"/>
      <c r="AT735" s="59"/>
      <c r="AU735" s="59"/>
      <c r="AV735" s="59"/>
    </row>
    <row r="736" spans="16:48" ht="13">
      <c r="P736" s="59"/>
      <c r="Q736" s="59"/>
      <c r="AT736" s="59"/>
      <c r="AU736" s="59"/>
      <c r="AV736" s="59"/>
    </row>
    <row r="737" spans="16:48" ht="13">
      <c r="P737" s="59"/>
      <c r="Q737" s="59"/>
      <c r="AT737" s="59"/>
      <c r="AU737" s="59"/>
      <c r="AV737" s="59"/>
    </row>
    <row r="738" spans="16:48" ht="13">
      <c r="P738" s="59"/>
      <c r="Q738" s="59"/>
      <c r="AT738" s="59"/>
      <c r="AU738" s="59"/>
      <c r="AV738" s="59"/>
    </row>
    <row r="739" spans="16:48" ht="13">
      <c r="P739" s="59"/>
      <c r="Q739" s="59"/>
      <c r="AT739" s="59"/>
      <c r="AU739" s="59"/>
      <c r="AV739" s="59"/>
    </row>
    <row r="740" spans="16:48" ht="13">
      <c r="P740" s="59"/>
      <c r="Q740" s="59"/>
      <c r="AT740" s="59"/>
      <c r="AU740" s="59"/>
      <c r="AV740" s="59"/>
    </row>
    <row r="741" spans="16:48" ht="13">
      <c r="P741" s="59"/>
      <c r="Q741" s="59"/>
      <c r="AT741" s="59"/>
      <c r="AU741" s="59"/>
      <c r="AV741" s="59"/>
    </row>
    <row r="742" spans="16:48" ht="13">
      <c r="P742" s="59"/>
      <c r="Q742" s="59"/>
      <c r="AT742" s="59"/>
      <c r="AU742" s="59"/>
      <c r="AV742" s="59"/>
    </row>
    <row r="743" spans="16:48" ht="13">
      <c r="P743" s="59"/>
      <c r="Q743" s="59"/>
      <c r="AT743" s="59"/>
      <c r="AU743" s="59"/>
      <c r="AV743" s="59"/>
    </row>
    <row r="744" spans="16:48" ht="13">
      <c r="P744" s="59"/>
      <c r="Q744" s="59"/>
      <c r="AT744" s="59"/>
      <c r="AU744" s="59"/>
      <c r="AV744" s="59"/>
    </row>
    <row r="745" spans="16:48" ht="13">
      <c r="P745" s="59"/>
      <c r="Q745" s="59"/>
      <c r="AT745" s="59"/>
      <c r="AU745" s="59"/>
      <c r="AV745" s="59"/>
    </row>
    <row r="746" spans="16:48" ht="13">
      <c r="P746" s="59"/>
      <c r="Q746" s="59"/>
      <c r="AT746" s="59"/>
      <c r="AU746" s="59"/>
      <c r="AV746" s="59"/>
    </row>
    <row r="747" spans="16:48" ht="13">
      <c r="P747" s="59"/>
      <c r="Q747" s="59"/>
      <c r="AT747" s="59"/>
      <c r="AU747" s="59"/>
      <c r="AV747" s="59"/>
    </row>
    <row r="748" spans="16:48" ht="13">
      <c r="P748" s="59"/>
      <c r="Q748" s="59"/>
      <c r="AT748" s="59"/>
      <c r="AU748" s="59"/>
      <c r="AV748" s="59"/>
    </row>
    <row r="749" spans="16:48" ht="13">
      <c r="P749" s="59"/>
      <c r="Q749" s="59"/>
      <c r="AT749" s="59"/>
      <c r="AU749" s="59"/>
      <c r="AV749" s="59"/>
    </row>
    <row r="750" spans="16:48" ht="13">
      <c r="P750" s="59"/>
      <c r="Q750" s="59"/>
      <c r="AT750" s="59"/>
      <c r="AU750" s="59"/>
      <c r="AV750" s="59"/>
    </row>
    <row r="751" spans="16:48" ht="13">
      <c r="P751" s="59"/>
      <c r="Q751" s="59"/>
      <c r="AT751" s="59"/>
      <c r="AU751" s="59"/>
      <c r="AV751" s="59"/>
    </row>
    <row r="752" spans="16:48" ht="13">
      <c r="P752" s="59"/>
      <c r="Q752" s="59"/>
      <c r="AT752" s="59"/>
      <c r="AU752" s="59"/>
      <c r="AV752" s="59"/>
    </row>
    <row r="753" spans="16:48" ht="13">
      <c r="P753" s="59"/>
      <c r="Q753" s="59"/>
      <c r="AT753" s="59"/>
      <c r="AU753" s="59"/>
      <c r="AV753" s="59"/>
    </row>
    <row r="754" spans="16:48" ht="13">
      <c r="P754" s="59"/>
      <c r="Q754" s="59"/>
      <c r="AT754" s="59"/>
      <c r="AU754" s="59"/>
      <c r="AV754" s="59"/>
    </row>
    <row r="755" spans="16:48" ht="13">
      <c r="P755" s="59"/>
      <c r="Q755" s="59"/>
      <c r="AT755" s="59"/>
      <c r="AU755" s="59"/>
      <c r="AV755" s="59"/>
    </row>
    <row r="756" spans="16:48" ht="13">
      <c r="P756" s="59"/>
      <c r="Q756" s="59"/>
      <c r="AT756" s="59"/>
      <c r="AU756" s="59"/>
      <c r="AV756" s="59"/>
    </row>
    <row r="757" spans="16:48" ht="13">
      <c r="P757" s="59"/>
      <c r="Q757" s="59"/>
      <c r="AT757" s="59"/>
      <c r="AU757" s="59"/>
      <c r="AV757" s="59"/>
    </row>
    <row r="758" spans="16:48" ht="13">
      <c r="P758" s="59"/>
      <c r="Q758" s="59"/>
      <c r="AT758" s="59"/>
      <c r="AU758" s="59"/>
      <c r="AV758" s="59"/>
    </row>
    <row r="759" spans="16:48" ht="13">
      <c r="P759" s="59"/>
      <c r="Q759" s="59"/>
      <c r="AT759" s="59"/>
      <c r="AU759" s="59"/>
      <c r="AV759" s="59"/>
    </row>
    <row r="760" spans="16:48" ht="13">
      <c r="P760" s="59"/>
      <c r="Q760" s="59"/>
      <c r="AT760" s="59"/>
      <c r="AU760" s="59"/>
      <c r="AV760" s="59"/>
    </row>
    <row r="761" spans="16:48" ht="13">
      <c r="P761" s="59"/>
      <c r="Q761" s="59"/>
      <c r="AT761" s="59"/>
      <c r="AU761" s="59"/>
      <c r="AV761" s="59"/>
    </row>
    <row r="762" spans="16:48" ht="13">
      <c r="P762" s="59"/>
      <c r="Q762" s="59"/>
      <c r="AT762" s="59"/>
      <c r="AU762" s="59"/>
      <c r="AV762" s="59"/>
    </row>
    <row r="763" spans="16:48" ht="13">
      <c r="P763" s="59"/>
      <c r="Q763" s="59"/>
      <c r="AT763" s="59"/>
      <c r="AU763" s="59"/>
      <c r="AV763" s="59"/>
    </row>
    <row r="764" spans="16:48" ht="13">
      <c r="P764" s="59"/>
      <c r="Q764" s="59"/>
      <c r="AT764" s="59"/>
      <c r="AU764" s="59"/>
      <c r="AV764" s="59"/>
    </row>
    <row r="765" spans="16:48" ht="13">
      <c r="P765" s="59"/>
      <c r="Q765" s="59"/>
      <c r="AT765" s="59"/>
      <c r="AU765" s="59"/>
      <c r="AV765" s="59"/>
    </row>
    <row r="766" spans="16:48" ht="13">
      <c r="P766" s="59"/>
      <c r="Q766" s="59"/>
      <c r="AT766" s="59"/>
      <c r="AU766" s="59"/>
      <c r="AV766" s="59"/>
    </row>
    <row r="767" spans="16:48" ht="13">
      <c r="P767" s="59"/>
      <c r="Q767" s="59"/>
      <c r="AT767" s="59"/>
      <c r="AU767" s="59"/>
      <c r="AV767" s="59"/>
    </row>
    <row r="768" spans="16:48" ht="13">
      <c r="P768" s="59"/>
      <c r="Q768" s="59"/>
      <c r="AT768" s="59"/>
      <c r="AU768" s="59"/>
      <c r="AV768" s="59"/>
    </row>
    <row r="769" spans="16:48" ht="13">
      <c r="P769" s="59"/>
      <c r="Q769" s="59"/>
      <c r="AT769" s="59"/>
      <c r="AU769" s="59"/>
      <c r="AV769" s="59"/>
    </row>
    <row r="770" spans="16:48" ht="13">
      <c r="P770" s="59"/>
      <c r="Q770" s="59"/>
      <c r="AT770" s="59"/>
      <c r="AU770" s="59"/>
      <c r="AV770" s="59"/>
    </row>
    <row r="771" spans="16:48" ht="13">
      <c r="P771" s="59"/>
      <c r="Q771" s="59"/>
      <c r="AT771" s="59"/>
      <c r="AU771" s="59"/>
      <c r="AV771" s="59"/>
    </row>
    <row r="772" spans="16:48" ht="13">
      <c r="P772" s="59"/>
      <c r="Q772" s="59"/>
      <c r="AT772" s="59"/>
      <c r="AU772" s="59"/>
      <c r="AV772" s="59"/>
    </row>
    <row r="773" spans="16:48" ht="13">
      <c r="P773" s="59"/>
      <c r="Q773" s="59"/>
      <c r="AT773" s="59"/>
      <c r="AU773" s="59"/>
      <c r="AV773" s="59"/>
    </row>
    <row r="774" spans="16:48" ht="13">
      <c r="P774" s="59"/>
      <c r="Q774" s="59"/>
      <c r="AT774" s="59"/>
      <c r="AU774" s="59"/>
      <c r="AV774" s="59"/>
    </row>
    <row r="775" spans="16:48" ht="13">
      <c r="P775" s="59"/>
      <c r="Q775" s="59"/>
      <c r="AT775" s="59"/>
      <c r="AU775" s="59"/>
      <c r="AV775" s="59"/>
    </row>
    <row r="776" spans="16:48" ht="13">
      <c r="P776" s="59"/>
      <c r="Q776" s="59"/>
      <c r="AT776" s="59"/>
      <c r="AU776" s="59"/>
      <c r="AV776" s="59"/>
    </row>
    <row r="777" spans="16:48" ht="13">
      <c r="P777" s="59"/>
      <c r="Q777" s="59"/>
      <c r="AT777" s="59"/>
      <c r="AU777" s="59"/>
      <c r="AV777" s="59"/>
    </row>
    <row r="778" spans="16:48" ht="13">
      <c r="P778" s="59"/>
      <c r="Q778" s="59"/>
      <c r="AT778" s="59"/>
      <c r="AU778" s="59"/>
      <c r="AV778" s="59"/>
    </row>
    <row r="779" spans="16:48" ht="13">
      <c r="P779" s="59"/>
      <c r="Q779" s="59"/>
      <c r="AT779" s="59"/>
      <c r="AU779" s="59"/>
      <c r="AV779" s="59"/>
    </row>
    <row r="780" spans="16:48" ht="13">
      <c r="P780" s="59"/>
      <c r="Q780" s="59"/>
      <c r="AT780" s="59"/>
      <c r="AU780" s="59"/>
      <c r="AV780" s="59"/>
    </row>
    <row r="781" spans="16:48" ht="13">
      <c r="P781" s="59"/>
      <c r="Q781" s="59"/>
      <c r="AT781" s="59"/>
      <c r="AU781" s="59"/>
      <c r="AV781" s="59"/>
    </row>
    <row r="782" spans="16:48" ht="13">
      <c r="P782" s="59"/>
      <c r="Q782" s="59"/>
      <c r="AT782" s="59"/>
      <c r="AU782" s="59"/>
      <c r="AV782" s="59"/>
    </row>
    <row r="783" spans="16:48" ht="13">
      <c r="P783" s="59"/>
      <c r="Q783" s="59"/>
      <c r="AT783" s="59"/>
      <c r="AU783" s="59"/>
      <c r="AV783" s="59"/>
    </row>
    <row r="784" spans="16:48" ht="13">
      <c r="P784" s="59"/>
      <c r="Q784" s="59"/>
      <c r="AT784" s="59"/>
      <c r="AU784" s="59"/>
      <c r="AV784" s="59"/>
    </row>
    <row r="785" spans="16:48" ht="13">
      <c r="P785" s="59"/>
      <c r="Q785" s="59"/>
      <c r="AT785" s="59"/>
      <c r="AU785" s="59"/>
      <c r="AV785" s="59"/>
    </row>
    <row r="786" spans="16:48" ht="13">
      <c r="P786" s="59"/>
      <c r="Q786" s="59"/>
      <c r="AT786" s="59"/>
      <c r="AU786" s="59"/>
      <c r="AV786" s="59"/>
    </row>
    <row r="787" spans="16:48" ht="13">
      <c r="P787" s="59"/>
      <c r="Q787" s="59"/>
      <c r="AT787" s="59"/>
      <c r="AU787" s="59"/>
      <c r="AV787" s="59"/>
    </row>
    <row r="788" spans="16:48" ht="13">
      <c r="P788" s="59"/>
      <c r="Q788" s="59"/>
      <c r="AT788" s="59"/>
      <c r="AU788" s="59"/>
      <c r="AV788" s="59"/>
    </row>
    <row r="789" spans="16:48" ht="13">
      <c r="P789" s="59"/>
      <c r="Q789" s="59"/>
      <c r="AT789" s="59"/>
      <c r="AU789" s="59"/>
      <c r="AV789" s="59"/>
    </row>
    <row r="790" spans="16:48" ht="13">
      <c r="P790" s="59"/>
      <c r="Q790" s="59"/>
      <c r="AT790" s="59"/>
      <c r="AU790" s="59"/>
      <c r="AV790" s="59"/>
    </row>
    <row r="791" spans="16:48" ht="13">
      <c r="P791" s="59"/>
      <c r="Q791" s="59"/>
      <c r="AT791" s="59"/>
      <c r="AU791" s="59"/>
      <c r="AV791" s="59"/>
    </row>
    <row r="792" spans="16:48" ht="13">
      <c r="P792" s="59"/>
      <c r="Q792" s="59"/>
      <c r="AT792" s="59"/>
      <c r="AU792" s="59"/>
      <c r="AV792" s="59"/>
    </row>
    <row r="793" spans="16:48" ht="13">
      <c r="P793" s="59"/>
      <c r="Q793" s="59"/>
      <c r="AT793" s="59"/>
      <c r="AU793" s="59"/>
      <c r="AV793" s="59"/>
    </row>
    <row r="794" spans="16:48" ht="13">
      <c r="P794" s="59"/>
      <c r="Q794" s="59"/>
      <c r="AT794" s="59"/>
      <c r="AU794" s="59"/>
      <c r="AV794" s="59"/>
    </row>
    <row r="795" spans="16:48" ht="13">
      <c r="P795" s="59"/>
      <c r="Q795" s="59"/>
      <c r="AT795" s="59"/>
      <c r="AU795" s="59"/>
      <c r="AV795" s="59"/>
    </row>
    <row r="796" spans="16:48" ht="13">
      <c r="P796" s="59"/>
      <c r="Q796" s="59"/>
      <c r="AT796" s="59"/>
      <c r="AU796" s="59"/>
      <c r="AV796" s="59"/>
    </row>
    <row r="797" spans="16:48" ht="13">
      <c r="P797" s="59"/>
      <c r="Q797" s="59"/>
      <c r="AT797" s="59"/>
      <c r="AU797" s="59"/>
      <c r="AV797" s="59"/>
    </row>
    <row r="798" spans="16:48" ht="13">
      <c r="P798" s="59"/>
      <c r="Q798" s="59"/>
      <c r="AT798" s="59"/>
      <c r="AU798" s="59"/>
      <c r="AV798" s="59"/>
    </row>
    <row r="799" spans="16:48" ht="13">
      <c r="P799" s="59"/>
      <c r="Q799" s="59"/>
      <c r="AT799" s="59"/>
      <c r="AU799" s="59"/>
      <c r="AV799" s="59"/>
    </row>
    <row r="800" spans="16:48" ht="13">
      <c r="P800" s="59"/>
      <c r="Q800" s="59"/>
      <c r="AT800" s="59"/>
      <c r="AU800" s="59"/>
      <c r="AV800" s="59"/>
    </row>
    <row r="801" spans="16:48" ht="13">
      <c r="P801" s="59"/>
      <c r="Q801" s="59"/>
      <c r="AT801" s="59"/>
      <c r="AU801" s="59"/>
      <c r="AV801" s="59"/>
    </row>
    <row r="802" spans="16:48" ht="13">
      <c r="P802" s="59"/>
      <c r="Q802" s="59"/>
      <c r="AT802" s="59"/>
      <c r="AU802" s="59"/>
      <c r="AV802" s="59"/>
    </row>
    <row r="803" spans="16:48" ht="13">
      <c r="P803" s="59"/>
      <c r="Q803" s="59"/>
      <c r="AT803" s="59"/>
      <c r="AU803" s="59"/>
      <c r="AV803" s="59"/>
    </row>
    <row r="804" spans="16:48" ht="13">
      <c r="P804" s="59"/>
      <c r="Q804" s="59"/>
      <c r="AT804" s="59"/>
      <c r="AU804" s="59"/>
      <c r="AV804" s="59"/>
    </row>
    <row r="805" spans="16:48" ht="13">
      <c r="P805" s="59"/>
      <c r="Q805" s="59"/>
      <c r="AT805" s="59"/>
      <c r="AU805" s="59"/>
      <c r="AV805" s="59"/>
    </row>
    <row r="806" spans="16:48" ht="13">
      <c r="P806" s="59"/>
      <c r="Q806" s="59"/>
      <c r="AT806" s="59"/>
      <c r="AU806" s="59"/>
      <c r="AV806" s="59"/>
    </row>
    <row r="807" spans="16:48" ht="13">
      <c r="P807" s="59"/>
      <c r="Q807" s="59"/>
      <c r="AT807" s="59"/>
      <c r="AU807" s="59"/>
      <c r="AV807" s="59"/>
    </row>
    <row r="808" spans="16:48" ht="13">
      <c r="P808" s="59"/>
      <c r="Q808" s="59"/>
      <c r="AT808" s="59"/>
      <c r="AU808" s="59"/>
      <c r="AV808" s="59"/>
    </row>
    <row r="809" spans="16:48" ht="13">
      <c r="P809" s="59"/>
      <c r="Q809" s="59"/>
      <c r="AT809" s="59"/>
      <c r="AU809" s="59"/>
      <c r="AV809" s="59"/>
    </row>
    <row r="810" spans="16:48" ht="13">
      <c r="P810" s="59"/>
      <c r="Q810" s="59"/>
      <c r="AT810" s="59"/>
      <c r="AU810" s="59"/>
      <c r="AV810" s="59"/>
    </row>
    <row r="811" spans="16:48" ht="13">
      <c r="P811" s="59"/>
      <c r="Q811" s="59"/>
      <c r="AT811" s="59"/>
      <c r="AU811" s="59"/>
      <c r="AV811" s="59"/>
    </row>
    <row r="812" spans="16:48" ht="13">
      <c r="P812" s="59"/>
      <c r="Q812" s="59"/>
      <c r="AT812" s="59"/>
      <c r="AU812" s="59"/>
      <c r="AV812" s="59"/>
    </row>
    <row r="813" spans="16:48" ht="13">
      <c r="P813" s="59"/>
      <c r="Q813" s="59"/>
      <c r="AT813" s="59"/>
      <c r="AU813" s="59"/>
      <c r="AV813" s="59"/>
    </row>
    <row r="814" spans="16:48" ht="13">
      <c r="P814" s="59"/>
      <c r="Q814" s="59"/>
      <c r="AT814" s="59"/>
      <c r="AU814" s="59"/>
      <c r="AV814" s="59"/>
    </row>
    <row r="815" spans="16:48" ht="13">
      <c r="P815" s="59"/>
      <c r="Q815" s="59"/>
      <c r="AT815" s="59"/>
      <c r="AU815" s="59"/>
      <c r="AV815" s="59"/>
    </row>
    <row r="816" spans="16:48" ht="13">
      <c r="P816" s="59"/>
      <c r="Q816" s="59"/>
      <c r="AT816" s="59"/>
      <c r="AU816" s="59"/>
      <c r="AV816" s="59"/>
    </row>
    <row r="817" spans="16:48" ht="13">
      <c r="P817" s="59"/>
      <c r="Q817" s="59"/>
      <c r="AT817" s="59"/>
      <c r="AU817" s="59"/>
      <c r="AV817" s="59"/>
    </row>
    <row r="818" spans="16:48" ht="13">
      <c r="P818" s="59"/>
      <c r="Q818" s="59"/>
      <c r="AT818" s="59"/>
      <c r="AU818" s="59"/>
      <c r="AV818" s="59"/>
    </row>
    <row r="819" spans="16:48" ht="13">
      <c r="P819" s="59"/>
      <c r="Q819" s="59"/>
      <c r="AT819" s="59"/>
      <c r="AU819" s="59"/>
      <c r="AV819" s="59"/>
    </row>
    <row r="820" spans="16:48" ht="13">
      <c r="P820" s="59"/>
      <c r="Q820" s="59"/>
      <c r="AT820" s="59"/>
      <c r="AU820" s="59"/>
      <c r="AV820" s="59"/>
    </row>
    <row r="821" spans="16:48" ht="13">
      <c r="P821" s="59"/>
      <c r="Q821" s="59"/>
      <c r="AT821" s="59"/>
      <c r="AU821" s="59"/>
      <c r="AV821" s="59"/>
    </row>
    <row r="822" spans="16:48" ht="13">
      <c r="P822" s="59"/>
      <c r="Q822" s="59"/>
      <c r="AT822" s="59"/>
      <c r="AU822" s="59"/>
      <c r="AV822" s="59"/>
    </row>
    <row r="823" spans="16:48" ht="13">
      <c r="P823" s="59"/>
      <c r="Q823" s="59"/>
      <c r="AT823" s="59"/>
      <c r="AU823" s="59"/>
      <c r="AV823" s="59"/>
    </row>
    <row r="824" spans="16:48" ht="13">
      <c r="P824" s="59"/>
      <c r="Q824" s="59"/>
      <c r="AT824" s="59"/>
      <c r="AU824" s="59"/>
      <c r="AV824" s="59"/>
    </row>
    <row r="825" spans="16:48" ht="13">
      <c r="P825" s="59"/>
      <c r="Q825" s="59"/>
      <c r="AT825" s="59"/>
      <c r="AU825" s="59"/>
      <c r="AV825" s="59"/>
    </row>
    <row r="826" spans="16:48" ht="13">
      <c r="P826" s="59"/>
      <c r="Q826" s="59"/>
      <c r="AT826" s="59"/>
      <c r="AU826" s="59"/>
      <c r="AV826" s="59"/>
    </row>
    <row r="827" spans="16:48" ht="13">
      <c r="P827" s="59"/>
      <c r="Q827" s="59"/>
      <c r="AT827" s="59"/>
      <c r="AU827" s="59"/>
      <c r="AV827" s="59"/>
    </row>
    <row r="828" spans="16:48" ht="13">
      <c r="P828" s="59"/>
      <c r="Q828" s="59"/>
      <c r="AT828" s="59"/>
      <c r="AU828" s="59"/>
      <c r="AV828" s="59"/>
    </row>
    <row r="829" spans="16:48" ht="13">
      <c r="P829" s="59"/>
      <c r="Q829" s="59"/>
      <c r="AT829" s="59"/>
      <c r="AU829" s="59"/>
      <c r="AV829" s="59"/>
    </row>
    <row r="830" spans="16:48" ht="13">
      <c r="P830" s="59"/>
      <c r="Q830" s="59"/>
      <c r="AT830" s="59"/>
      <c r="AU830" s="59"/>
      <c r="AV830" s="59"/>
    </row>
    <row r="831" spans="16:48" ht="13">
      <c r="P831" s="59"/>
      <c r="Q831" s="59"/>
      <c r="AT831" s="59"/>
      <c r="AU831" s="59"/>
      <c r="AV831" s="59"/>
    </row>
    <row r="832" spans="16:48" ht="13">
      <c r="P832" s="59"/>
      <c r="Q832" s="59"/>
      <c r="AT832" s="59"/>
      <c r="AU832" s="59"/>
      <c r="AV832" s="59"/>
    </row>
    <row r="833" spans="16:48" ht="13">
      <c r="P833" s="59"/>
      <c r="Q833" s="59"/>
      <c r="AT833" s="59"/>
      <c r="AU833" s="59"/>
      <c r="AV833" s="59"/>
    </row>
    <row r="834" spans="16:48" ht="13">
      <c r="P834" s="59"/>
      <c r="Q834" s="59"/>
      <c r="AT834" s="59"/>
      <c r="AU834" s="59"/>
      <c r="AV834" s="59"/>
    </row>
    <row r="835" spans="16:48" ht="13">
      <c r="P835" s="59"/>
      <c r="Q835" s="59"/>
      <c r="AT835" s="59"/>
      <c r="AU835" s="59"/>
      <c r="AV835" s="59"/>
    </row>
    <row r="836" spans="16:48" ht="13">
      <c r="P836" s="59"/>
      <c r="Q836" s="59"/>
      <c r="AT836" s="59"/>
      <c r="AU836" s="59"/>
      <c r="AV836" s="59"/>
    </row>
    <row r="837" spans="16:48" ht="13">
      <c r="P837" s="59"/>
      <c r="Q837" s="59"/>
      <c r="AT837" s="59"/>
      <c r="AU837" s="59"/>
      <c r="AV837" s="59"/>
    </row>
    <row r="838" spans="16:48" ht="13">
      <c r="P838" s="59"/>
      <c r="Q838" s="59"/>
      <c r="AT838" s="59"/>
      <c r="AU838" s="59"/>
      <c r="AV838" s="59"/>
    </row>
    <row r="839" spans="16:48" ht="13">
      <c r="P839" s="59"/>
      <c r="Q839" s="59"/>
      <c r="AT839" s="59"/>
      <c r="AU839" s="59"/>
      <c r="AV839" s="59"/>
    </row>
    <row r="840" spans="16:48" ht="13">
      <c r="P840" s="59"/>
      <c r="Q840" s="59"/>
      <c r="AT840" s="59"/>
      <c r="AU840" s="59"/>
      <c r="AV840" s="59"/>
    </row>
    <row r="841" spans="16:48" ht="13">
      <c r="P841" s="59"/>
      <c r="Q841" s="59"/>
      <c r="AT841" s="59"/>
      <c r="AU841" s="59"/>
      <c r="AV841" s="59"/>
    </row>
    <row r="842" spans="16:48" ht="13">
      <c r="P842" s="59"/>
      <c r="Q842" s="59"/>
      <c r="AT842" s="59"/>
      <c r="AU842" s="59"/>
      <c r="AV842" s="59"/>
    </row>
    <row r="843" spans="16:48" ht="13">
      <c r="P843" s="59"/>
      <c r="Q843" s="59"/>
      <c r="AT843" s="59"/>
      <c r="AU843" s="59"/>
      <c r="AV843" s="59"/>
    </row>
    <row r="844" spans="16:48" ht="13">
      <c r="P844" s="59"/>
      <c r="Q844" s="59"/>
      <c r="AT844" s="59"/>
      <c r="AU844" s="59"/>
      <c r="AV844" s="59"/>
    </row>
    <row r="845" spans="16:48" ht="13">
      <c r="P845" s="59"/>
      <c r="Q845" s="59"/>
      <c r="AT845" s="59"/>
      <c r="AU845" s="59"/>
      <c r="AV845" s="59"/>
    </row>
    <row r="846" spans="16:48" ht="13">
      <c r="P846" s="59"/>
      <c r="Q846" s="59"/>
      <c r="AT846" s="59"/>
      <c r="AU846" s="59"/>
      <c r="AV846" s="59"/>
    </row>
    <row r="847" spans="16:48" ht="13">
      <c r="P847" s="59"/>
      <c r="Q847" s="59"/>
      <c r="AT847" s="59"/>
      <c r="AU847" s="59"/>
      <c r="AV847" s="59"/>
    </row>
    <row r="848" spans="16:48" ht="13">
      <c r="P848" s="59"/>
      <c r="Q848" s="59"/>
      <c r="AT848" s="59"/>
      <c r="AU848" s="59"/>
      <c r="AV848" s="59"/>
    </row>
    <row r="849" spans="16:48" ht="13">
      <c r="P849" s="59"/>
      <c r="Q849" s="59"/>
      <c r="AT849" s="59"/>
      <c r="AU849" s="59"/>
      <c r="AV849" s="59"/>
    </row>
    <row r="850" spans="16:48" ht="13">
      <c r="P850" s="59"/>
      <c r="Q850" s="59"/>
      <c r="AT850" s="59"/>
      <c r="AU850" s="59"/>
      <c r="AV850" s="59"/>
    </row>
    <row r="851" spans="16:48" ht="13">
      <c r="P851" s="59"/>
      <c r="Q851" s="59"/>
      <c r="AT851" s="59"/>
      <c r="AU851" s="59"/>
      <c r="AV851" s="59"/>
    </row>
    <row r="852" spans="16:48" ht="13">
      <c r="P852" s="59"/>
      <c r="Q852" s="59"/>
      <c r="AT852" s="59"/>
      <c r="AU852" s="59"/>
      <c r="AV852" s="59"/>
    </row>
    <row r="853" spans="16:48" ht="13">
      <c r="P853" s="59"/>
      <c r="Q853" s="59"/>
      <c r="AT853" s="59"/>
      <c r="AU853" s="59"/>
      <c r="AV853" s="59"/>
    </row>
    <row r="854" spans="16:48" ht="13">
      <c r="P854" s="59"/>
      <c r="Q854" s="59"/>
      <c r="AT854" s="59"/>
      <c r="AU854" s="59"/>
      <c r="AV854" s="59"/>
    </row>
    <row r="855" spans="16:48" ht="13">
      <c r="P855" s="59"/>
      <c r="Q855" s="59"/>
      <c r="AT855" s="59"/>
      <c r="AU855" s="59"/>
      <c r="AV855" s="59"/>
    </row>
    <row r="856" spans="16:48" ht="13">
      <c r="P856" s="59"/>
      <c r="Q856" s="59"/>
      <c r="AT856" s="59"/>
      <c r="AU856" s="59"/>
      <c r="AV856" s="59"/>
    </row>
    <row r="857" spans="16:48" ht="13">
      <c r="P857" s="59"/>
      <c r="Q857" s="59"/>
      <c r="AT857" s="59"/>
      <c r="AU857" s="59"/>
      <c r="AV857" s="59"/>
    </row>
    <row r="858" spans="16:48" ht="13">
      <c r="P858" s="59"/>
      <c r="Q858" s="59"/>
      <c r="AT858" s="59"/>
      <c r="AU858" s="59"/>
      <c r="AV858" s="59"/>
    </row>
    <row r="859" spans="16:48" ht="13">
      <c r="P859" s="59"/>
      <c r="Q859" s="59"/>
      <c r="AT859" s="59"/>
      <c r="AU859" s="59"/>
      <c r="AV859" s="59"/>
    </row>
    <row r="860" spans="16:48" ht="13">
      <c r="P860" s="59"/>
      <c r="Q860" s="59"/>
      <c r="AT860" s="59"/>
      <c r="AU860" s="59"/>
      <c r="AV860" s="59"/>
    </row>
    <row r="861" spans="16:48" ht="13">
      <c r="P861" s="59"/>
      <c r="Q861" s="59"/>
      <c r="AT861" s="59"/>
      <c r="AU861" s="59"/>
      <c r="AV861" s="59"/>
    </row>
    <row r="862" spans="16:48" ht="13">
      <c r="P862" s="59"/>
      <c r="Q862" s="59"/>
      <c r="AT862" s="59"/>
      <c r="AU862" s="59"/>
      <c r="AV862" s="59"/>
    </row>
    <row r="863" spans="16:48" ht="13">
      <c r="P863" s="59"/>
      <c r="Q863" s="59"/>
      <c r="AT863" s="59"/>
      <c r="AU863" s="59"/>
      <c r="AV863" s="59"/>
    </row>
    <row r="864" spans="16:48" ht="13">
      <c r="P864" s="59"/>
      <c r="Q864" s="59"/>
      <c r="AT864" s="59"/>
      <c r="AU864" s="59"/>
      <c r="AV864" s="59"/>
    </row>
    <row r="865" spans="16:48" ht="13">
      <c r="P865" s="59"/>
      <c r="Q865" s="59"/>
      <c r="AT865" s="59"/>
      <c r="AU865" s="59"/>
      <c r="AV865" s="59"/>
    </row>
    <row r="866" spans="16:48" ht="13">
      <c r="P866" s="59"/>
      <c r="Q866" s="59"/>
      <c r="AT866" s="59"/>
      <c r="AU866" s="59"/>
      <c r="AV866" s="59"/>
    </row>
    <row r="867" spans="16:48" ht="13">
      <c r="P867" s="59"/>
      <c r="Q867" s="59"/>
      <c r="AT867" s="59"/>
      <c r="AU867" s="59"/>
      <c r="AV867" s="59"/>
    </row>
    <row r="868" spans="16:48" ht="13">
      <c r="P868" s="59"/>
      <c r="Q868" s="59"/>
      <c r="AT868" s="59"/>
      <c r="AU868" s="59"/>
      <c r="AV868" s="59"/>
    </row>
    <row r="869" spans="16:48" ht="13">
      <c r="P869" s="59"/>
      <c r="Q869" s="59"/>
      <c r="AT869" s="59"/>
      <c r="AU869" s="59"/>
      <c r="AV869" s="59"/>
    </row>
    <row r="870" spans="16:48" ht="13">
      <c r="P870" s="59"/>
      <c r="Q870" s="59"/>
      <c r="AT870" s="59"/>
      <c r="AU870" s="59"/>
      <c r="AV870" s="59"/>
    </row>
    <row r="871" spans="16:48" ht="13">
      <c r="P871" s="59"/>
      <c r="Q871" s="59"/>
      <c r="AT871" s="59"/>
      <c r="AU871" s="59"/>
      <c r="AV871" s="59"/>
    </row>
    <row r="872" spans="16:48" ht="13">
      <c r="P872" s="59"/>
      <c r="Q872" s="59"/>
      <c r="AT872" s="59"/>
      <c r="AU872" s="59"/>
      <c r="AV872" s="59"/>
    </row>
    <row r="873" spans="16:48" ht="13">
      <c r="P873" s="59"/>
      <c r="Q873" s="59"/>
      <c r="AT873" s="59"/>
      <c r="AU873" s="59"/>
      <c r="AV873" s="59"/>
    </row>
    <row r="874" spans="16:48" ht="13">
      <c r="P874" s="59"/>
      <c r="Q874" s="59"/>
      <c r="AT874" s="59"/>
      <c r="AU874" s="59"/>
      <c r="AV874" s="59"/>
    </row>
    <row r="875" spans="16:48" ht="13">
      <c r="P875" s="59"/>
      <c r="Q875" s="59"/>
      <c r="AT875" s="59"/>
      <c r="AU875" s="59"/>
      <c r="AV875" s="59"/>
    </row>
    <row r="876" spans="16:48" ht="13">
      <c r="P876" s="59"/>
      <c r="Q876" s="59"/>
      <c r="AT876" s="59"/>
      <c r="AU876" s="59"/>
      <c r="AV876" s="59"/>
    </row>
    <row r="877" spans="16:48" ht="13">
      <c r="P877" s="59"/>
      <c r="Q877" s="59"/>
      <c r="AT877" s="59"/>
      <c r="AU877" s="59"/>
      <c r="AV877" s="59"/>
    </row>
    <row r="878" spans="16:48" ht="13">
      <c r="P878" s="59"/>
      <c r="Q878" s="59"/>
      <c r="AT878" s="59"/>
      <c r="AU878" s="59"/>
      <c r="AV878" s="59"/>
    </row>
    <row r="879" spans="16:48" ht="13">
      <c r="P879" s="59"/>
      <c r="Q879" s="59"/>
      <c r="AT879" s="59"/>
      <c r="AU879" s="59"/>
      <c r="AV879" s="59"/>
    </row>
    <row r="880" spans="16:48" ht="13">
      <c r="P880" s="59"/>
      <c r="Q880" s="59"/>
      <c r="AT880" s="59"/>
      <c r="AU880" s="59"/>
      <c r="AV880" s="59"/>
    </row>
    <row r="881" spans="16:48" ht="13">
      <c r="P881" s="59"/>
      <c r="Q881" s="59"/>
      <c r="AT881" s="59"/>
      <c r="AU881" s="59"/>
      <c r="AV881" s="59"/>
    </row>
    <row r="882" spans="16:48" ht="13">
      <c r="P882" s="59"/>
      <c r="Q882" s="59"/>
      <c r="AT882" s="59"/>
      <c r="AU882" s="59"/>
      <c r="AV882" s="59"/>
    </row>
    <row r="883" spans="16:48" ht="13">
      <c r="P883" s="59"/>
      <c r="Q883" s="59"/>
      <c r="AT883" s="59"/>
      <c r="AU883" s="59"/>
      <c r="AV883" s="59"/>
    </row>
    <row r="884" spans="16:48" ht="13">
      <c r="P884" s="59"/>
      <c r="Q884" s="59"/>
      <c r="AT884" s="59"/>
      <c r="AU884" s="59"/>
      <c r="AV884" s="59"/>
    </row>
    <row r="885" spans="16:48" ht="13">
      <c r="P885" s="59"/>
      <c r="Q885" s="59"/>
      <c r="AT885" s="59"/>
      <c r="AU885" s="59"/>
      <c r="AV885" s="59"/>
    </row>
    <row r="886" spans="16:48" ht="13">
      <c r="P886" s="59"/>
      <c r="Q886" s="59"/>
      <c r="AT886" s="59"/>
      <c r="AU886" s="59"/>
      <c r="AV886" s="59"/>
    </row>
    <row r="887" spans="16:48" ht="13">
      <c r="P887" s="59"/>
      <c r="Q887" s="59"/>
      <c r="AT887" s="59"/>
      <c r="AU887" s="59"/>
      <c r="AV887" s="59"/>
    </row>
    <row r="888" spans="16:48" ht="13">
      <c r="P888" s="59"/>
      <c r="Q888" s="59"/>
      <c r="AT888" s="59"/>
      <c r="AU888" s="59"/>
      <c r="AV888" s="59"/>
    </row>
    <row r="889" spans="16:48" ht="13">
      <c r="P889" s="59"/>
      <c r="Q889" s="59"/>
      <c r="AT889" s="59"/>
      <c r="AU889" s="59"/>
      <c r="AV889" s="59"/>
    </row>
    <row r="890" spans="16:48" ht="13">
      <c r="P890" s="59"/>
      <c r="Q890" s="59"/>
      <c r="AT890" s="59"/>
      <c r="AU890" s="59"/>
      <c r="AV890" s="59"/>
    </row>
    <row r="891" spans="16:48" ht="13">
      <c r="P891" s="59"/>
      <c r="Q891" s="59"/>
      <c r="AT891" s="59"/>
      <c r="AU891" s="59"/>
      <c r="AV891" s="59"/>
    </row>
    <row r="892" spans="16:48" ht="13">
      <c r="P892" s="59"/>
      <c r="Q892" s="59"/>
      <c r="AT892" s="59"/>
      <c r="AU892" s="59"/>
      <c r="AV892" s="59"/>
    </row>
    <row r="893" spans="16:48" ht="13">
      <c r="P893" s="59"/>
      <c r="Q893" s="59"/>
      <c r="AT893" s="59"/>
      <c r="AU893" s="59"/>
      <c r="AV893" s="59"/>
    </row>
    <row r="894" spans="16:48" ht="13">
      <c r="P894" s="59"/>
      <c r="Q894" s="59"/>
      <c r="AT894" s="59"/>
      <c r="AU894" s="59"/>
      <c r="AV894" s="59"/>
    </row>
    <row r="895" spans="16:48" ht="13">
      <c r="P895" s="59"/>
      <c r="Q895" s="59"/>
      <c r="AT895" s="59"/>
      <c r="AU895" s="59"/>
      <c r="AV895" s="59"/>
    </row>
    <row r="896" spans="16:48" ht="13">
      <c r="P896" s="59"/>
      <c r="Q896" s="59"/>
      <c r="AT896" s="59"/>
      <c r="AU896" s="59"/>
      <c r="AV896" s="59"/>
    </row>
    <row r="897" spans="16:48" ht="13">
      <c r="P897" s="59"/>
      <c r="Q897" s="59"/>
      <c r="AT897" s="59"/>
      <c r="AU897" s="59"/>
      <c r="AV897" s="59"/>
    </row>
    <row r="898" spans="16:48" ht="13">
      <c r="P898" s="59"/>
      <c r="Q898" s="59"/>
      <c r="AT898" s="59"/>
      <c r="AU898" s="59"/>
      <c r="AV898" s="59"/>
    </row>
    <row r="899" spans="16:48" ht="13">
      <c r="P899" s="59"/>
      <c r="Q899" s="59"/>
      <c r="AT899" s="59"/>
      <c r="AU899" s="59"/>
      <c r="AV899" s="59"/>
    </row>
    <row r="900" spans="16:48" ht="13">
      <c r="P900" s="59"/>
      <c r="Q900" s="59"/>
      <c r="AT900" s="59"/>
      <c r="AU900" s="59"/>
      <c r="AV900" s="59"/>
    </row>
    <row r="901" spans="16:48" ht="13">
      <c r="P901" s="59"/>
      <c r="Q901" s="59"/>
      <c r="AT901" s="59"/>
      <c r="AU901" s="59"/>
      <c r="AV901" s="59"/>
    </row>
    <row r="902" spans="16:48" ht="13">
      <c r="P902" s="59"/>
      <c r="Q902" s="59"/>
      <c r="AT902" s="59"/>
      <c r="AU902" s="59"/>
      <c r="AV902" s="59"/>
    </row>
    <row r="903" spans="16:48" ht="13">
      <c r="P903" s="59"/>
      <c r="Q903" s="59"/>
      <c r="AT903" s="59"/>
      <c r="AU903" s="59"/>
      <c r="AV903" s="59"/>
    </row>
    <row r="904" spans="16:48" ht="13">
      <c r="P904" s="59"/>
      <c r="Q904" s="59"/>
      <c r="AT904" s="59"/>
      <c r="AU904" s="59"/>
      <c r="AV904" s="59"/>
    </row>
    <row r="905" spans="16:48" ht="13">
      <c r="P905" s="59"/>
      <c r="Q905" s="59"/>
      <c r="AT905" s="59"/>
      <c r="AU905" s="59"/>
      <c r="AV905" s="59"/>
    </row>
    <row r="906" spans="16:48" ht="13">
      <c r="P906" s="59"/>
      <c r="Q906" s="59"/>
      <c r="AT906" s="59"/>
      <c r="AU906" s="59"/>
      <c r="AV906" s="59"/>
    </row>
    <row r="907" spans="16:48" ht="13">
      <c r="P907" s="59"/>
      <c r="Q907" s="59"/>
      <c r="AT907" s="59"/>
      <c r="AU907" s="59"/>
      <c r="AV907" s="59"/>
    </row>
    <row r="908" spans="16:48" ht="13">
      <c r="P908" s="59"/>
      <c r="Q908" s="59"/>
      <c r="AT908" s="59"/>
      <c r="AU908" s="59"/>
      <c r="AV908" s="59"/>
    </row>
    <row r="909" spans="16:48" ht="13">
      <c r="P909" s="59"/>
      <c r="Q909" s="59"/>
      <c r="AT909" s="59"/>
      <c r="AU909" s="59"/>
      <c r="AV909" s="59"/>
    </row>
    <row r="910" spans="16:48" ht="13">
      <c r="P910" s="59"/>
      <c r="Q910" s="59"/>
      <c r="AT910" s="59"/>
      <c r="AU910" s="59"/>
      <c r="AV910" s="59"/>
    </row>
    <row r="911" spans="16:48" ht="13">
      <c r="P911" s="59"/>
      <c r="Q911" s="59"/>
      <c r="AT911" s="59"/>
      <c r="AU911" s="59"/>
      <c r="AV911" s="59"/>
    </row>
    <row r="912" spans="16:48" ht="13">
      <c r="P912" s="59"/>
      <c r="Q912" s="59"/>
      <c r="AT912" s="59"/>
      <c r="AU912" s="59"/>
      <c r="AV912" s="59"/>
    </row>
    <row r="913" spans="16:48" ht="13">
      <c r="P913" s="59"/>
      <c r="Q913" s="59"/>
      <c r="AT913" s="59"/>
      <c r="AU913" s="59"/>
      <c r="AV913" s="59"/>
    </row>
    <row r="914" spans="16:48" ht="13">
      <c r="P914" s="59"/>
      <c r="Q914" s="59"/>
      <c r="AT914" s="59"/>
      <c r="AU914" s="59"/>
      <c r="AV914" s="59"/>
    </row>
    <row r="915" spans="16:48" ht="13">
      <c r="P915" s="59"/>
      <c r="Q915" s="59"/>
      <c r="AT915" s="59"/>
      <c r="AU915" s="59"/>
      <c r="AV915" s="59"/>
    </row>
    <row r="916" spans="16:48" ht="13">
      <c r="P916" s="59"/>
      <c r="Q916" s="59"/>
      <c r="AT916" s="59"/>
      <c r="AU916" s="59"/>
      <c r="AV916" s="59"/>
    </row>
    <row r="917" spans="16:48" ht="13">
      <c r="P917" s="59"/>
      <c r="Q917" s="59"/>
      <c r="AT917" s="59"/>
      <c r="AU917" s="59"/>
      <c r="AV917" s="59"/>
    </row>
    <row r="918" spans="16:48" ht="13">
      <c r="P918" s="59"/>
      <c r="Q918" s="59"/>
      <c r="AT918" s="59"/>
      <c r="AU918" s="59"/>
      <c r="AV918" s="59"/>
    </row>
    <row r="919" spans="16:48" ht="13">
      <c r="P919" s="59"/>
      <c r="Q919" s="59"/>
      <c r="AT919" s="59"/>
      <c r="AU919" s="59"/>
      <c r="AV919" s="59"/>
    </row>
    <row r="920" spans="16:48" ht="13">
      <c r="P920" s="59"/>
      <c r="Q920" s="59"/>
      <c r="AT920" s="59"/>
      <c r="AU920" s="59"/>
      <c r="AV920" s="59"/>
    </row>
    <row r="921" spans="16:48" ht="13">
      <c r="P921" s="59"/>
      <c r="Q921" s="59"/>
      <c r="AT921" s="59"/>
      <c r="AU921" s="59"/>
      <c r="AV921" s="59"/>
    </row>
    <row r="922" spans="16:48" ht="13">
      <c r="P922" s="59"/>
      <c r="Q922" s="59"/>
      <c r="AT922" s="59"/>
      <c r="AU922" s="59"/>
      <c r="AV922" s="59"/>
    </row>
    <row r="923" spans="16:48" ht="13">
      <c r="P923" s="59"/>
      <c r="Q923" s="59"/>
      <c r="AT923" s="59"/>
      <c r="AU923" s="59"/>
      <c r="AV923" s="59"/>
    </row>
    <row r="924" spans="16:48" ht="13">
      <c r="P924" s="59"/>
      <c r="Q924" s="59"/>
      <c r="AT924" s="59"/>
      <c r="AU924" s="59"/>
      <c r="AV924" s="59"/>
    </row>
    <row r="925" spans="16:48" ht="13">
      <c r="P925" s="59"/>
      <c r="Q925" s="59"/>
      <c r="AT925" s="59"/>
      <c r="AU925" s="59"/>
      <c r="AV925" s="59"/>
    </row>
    <row r="926" spans="16:48" ht="13">
      <c r="P926" s="59"/>
      <c r="Q926" s="59"/>
      <c r="AT926" s="59"/>
      <c r="AU926" s="59"/>
      <c r="AV926" s="59"/>
    </row>
    <row r="927" spans="16:48" ht="13">
      <c r="P927" s="59"/>
      <c r="Q927" s="59"/>
      <c r="AT927" s="59"/>
      <c r="AU927" s="59"/>
      <c r="AV927" s="59"/>
    </row>
    <row r="928" spans="16:48" ht="13">
      <c r="P928" s="59"/>
      <c r="Q928" s="59"/>
      <c r="AT928" s="59"/>
      <c r="AU928" s="59"/>
      <c r="AV928" s="59"/>
    </row>
    <row r="929" spans="16:48" ht="13">
      <c r="P929" s="59"/>
      <c r="Q929" s="59"/>
      <c r="AT929" s="59"/>
      <c r="AU929" s="59"/>
      <c r="AV929" s="59"/>
    </row>
    <row r="930" spans="16:48" ht="13">
      <c r="P930" s="59"/>
      <c r="Q930" s="59"/>
      <c r="AT930" s="59"/>
      <c r="AU930" s="59"/>
      <c r="AV930" s="59"/>
    </row>
    <row r="931" spans="16:48" ht="13">
      <c r="P931" s="59"/>
      <c r="Q931" s="59"/>
      <c r="AT931" s="59"/>
      <c r="AU931" s="59"/>
      <c r="AV931" s="59"/>
    </row>
    <row r="932" spans="16:48" ht="13">
      <c r="P932" s="59"/>
      <c r="Q932" s="59"/>
      <c r="AT932" s="59"/>
      <c r="AU932" s="59"/>
      <c r="AV932" s="59"/>
    </row>
    <row r="933" spans="16:48" ht="13">
      <c r="P933" s="59"/>
      <c r="Q933" s="59"/>
      <c r="AT933" s="59"/>
      <c r="AU933" s="59"/>
      <c r="AV933" s="59"/>
    </row>
    <row r="934" spans="16:48" ht="13">
      <c r="P934" s="59"/>
      <c r="Q934" s="59"/>
      <c r="AT934" s="59"/>
      <c r="AU934" s="59"/>
      <c r="AV934" s="59"/>
    </row>
    <row r="935" spans="16:48" ht="13">
      <c r="P935" s="59"/>
      <c r="Q935" s="59"/>
      <c r="AT935" s="59"/>
      <c r="AU935" s="59"/>
      <c r="AV935" s="59"/>
    </row>
    <row r="936" spans="16:48" ht="13">
      <c r="P936" s="59"/>
      <c r="Q936" s="59"/>
      <c r="AT936" s="59"/>
      <c r="AU936" s="59"/>
      <c r="AV936" s="59"/>
    </row>
    <row r="937" spans="16:48" ht="13">
      <c r="P937" s="59"/>
      <c r="Q937" s="59"/>
      <c r="AT937" s="59"/>
      <c r="AU937" s="59"/>
      <c r="AV937" s="59"/>
    </row>
    <row r="938" spans="16:48" ht="13">
      <c r="P938" s="59"/>
      <c r="Q938" s="59"/>
      <c r="AT938" s="59"/>
      <c r="AU938" s="59"/>
      <c r="AV938" s="59"/>
    </row>
    <row r="939" spans="16:48" ht="13">
      <c r="P939" s="59"/>
      <c r="Q939" s="59"/>
      <c r="AT939" s="59"/>
      <c r="AU939" s="59"/>
      <c r="AV939" s="59"/>
    </row>
    <row r="940" spans="16:48" ht="13">
      <c r="P940" s="59"/>
      <c r="Q940" s="59"/>
      <c r="AT940" s="59"/>
      <c r="AU940" s="59"/>
      <c r="AV940" s="59"/>
    </row>
    <row r="941" spans="16:48" ht="13">
      <c r="P941" s="59"/>
      <c r="Q941" s="59"/>
      <c r="AT941" s="59"/>
      <c r="AU941" s="59"/>
      <c r="AV941" s="59"/>
    </row>
    <row r="942" spans="16:48" ht="13">
      <c r="P942" s="59"/>
      <c r="Q942" s="59"/>
      <c r="AT942" s="59"/>
      <c r="AU942" s="59"/>
      <c r="AV942" s="59"/>
    </row>
    <row r="943" spans="16:48" ht="13">
      <c r="P943" s="59"/>
      <c r="Q943" s="59"/>
      <c r="AT943" s="59"/>
      <c r="AU943" s="59"/>
      <c r="AV943" s="59"/>
    </row>
    <row r="944" spans="16:48" ht="13">
      <c r="P944" s="59"/>
      <c r="Q944" s="59"/>
      <c r="AT944" s="59"/>
      <c r="AU944" s="59"/>
      <c r="AV944" s="59"/>
    </row>
    <row r="945" spans="16:48" ht="13">
      <c r="P945" s="59"/>
      <c r="Q945" s="59"/>
      <c r="AT945" s="59"/>
      <c r="AU945" s="59"/>
      <c r="AV945" s="59"/>
    </row>
    <row r="946" spans="16:48" ht="13">
      <c r="P946" s="59"/>
      <c r="Q946" s="59"/>
      <c r="AT946" s="59"/>
      <c r="AU946" s="59"/>
      <c r="AV946" s="59"/>
    </row>
    <row r="947" spans="16:48" ht="13">
      <c r="P947" s="59"/>
      <c r="Q947" s="59"/>
      <c r="AT947" s="59"/>
      <c r="AU947" s="59"/>
      <c r="AV947" s="59"/>
    </row>
    <row r="948" spans="16:48" ht="13">
      <c r="P948" s="59"/>
      <c r="Q948" s="59"/>
      <c r="AT948" s="59"/>
      <c r="AU948" s="59"/>
      <c r="AV948" s="59"/>
    </row>
    <row r="949" spans="16:48" ht="13">
      <c r="P949" s="59"/>
      <c r="Q949" s="59"/>
      <c r="AT949" s="59"/>
      <c r="AU949" s="59"/>
      <c r="AV949" s="59"/>
    </row>
    <row r="950" spans="16:48" ht="13">
      <c r="P950" s="59"/>
      <c r="Q950" s="59"/>
      <c r="AT950" s="59"/>
      <c r="AU950" s="59"/>
      <c r="AV950" s="59"/>
    </row>
    <row r="951" spans="16:48" ht="13">
      <c r="P951" s="59"/>
      <c r="Q951" s="59"/>
      <c r="AT951" s="59"/>
      <c r="AU951" s="59"/>
      <c r="AV951" s="59"/>
    </row>
    <row r="952" spans="16:48" ht="13">
      <c r="P952" s="59"/>
      <c r="Q952" s="59"/>
      <c r="AT952" s="59"/>
      <c r="AU952" s="59"/>
      <c r="AV952" s="59"/>
    </row>
    <row r="953" spans="16:48" ht="13">
      <c r="P953" s="59"/>
      <c r="Q953" s="59"/>
      <c r="AT953" s="59"/>
      <c r="AU953" s="59"/>
      <c r="AV953" s="59"/>
    </row>
    <row r="954" spans="16:48" ht="13">
      <c r="P954" s="59"/>
      <c r="Q954" s="59"/>
      <c r="AT954" s="59"/>
      <c r="AU954" s="59"/>
      <c r="AV954" s="59"/>
    </row>
    <row r="955" spans="16:48" ht="13">
      <c r="P955" s="59"/>
      <c r="Q955" s="59"/>
      <c r="AT955" s="59"/>
      <c r="AU955" s="59"/>
      <c r="AV955" s="59"/>
    </row>
    <row r="956" spans="16:48" ht="13">
      <c r="P956" s="59"/>
      <c r="Q956" s="59"/>
      <c r="AT956" s="59"/>
      <c r="AU956" s="59"/>
      <c r="AV956" s="59"/>
    </row>
    <row r="957" spans="16:48" ht="13">
      <c r="P957" s="59"/>
      <c r="Q957" s="59"/>
      <c r="AT957" s="59"/>
      <c r="AU957" s="59"/>
      <c r="AV957" s="59"/>
    </row>
    <row r="958" spans="16:48" ht="13">
      <c r="P958" s="59"/>
      <c r="Q958" s="59"/>
      <c r="AT958" s="59"/>
      <c r="AU958" s="59"/>
      <c r="AV958" s="59"/>
    </row>
    <row r="959" spans="16:48" ht="13">
      <c r="P959" s="59"/>
      <c r="Q959" s="59"/>
      <c r="AT959" s="59"/>
      <c r="AU959" s="59"/>
      <c r="AV959" s="59"/>
    </row>
    <row r="960" spans="16:48" ht="13">
      <c r="P960" s="59"/>
      <c r="Q960" s="59"/>
      <c r="AT960" s="59"/>
      <c r="AU960" s="59"/>
      <c r="AV960" s="59"/>
    </row>
    <row r="961" spans="16:48" ht="13">
      <c r="P961" s="59"/>
      <c r="Q961" s="59"/>
      <c r="AT961" s="59"/>
      <c r="AU961" s="59"/>
      <c r="AV961" s="59"/>
    </row>
    <row r="962" spans="16:48" ht="13">
      <c r="P962" s="59"/>
      <c r="Q962" s="59"/>
      <c r="AT962" s="59"/>
      <c r="AU962" s="59"/>
      <c r="AV962" s="59"/>
    </row>
    <row r="963" spans="16:48" ht="13">
      <c r="P963" s="59"/>
      <c r="Q963" s="59"/>
      <c r="AT963" s="59"/>
      <c r="AU963" s="59"/>
      <c r="AV963" s="59"/>
    </row>
    <row r="964" spans="16:48" ht="13">
      <c r="P964" s="59"/>
      <c r="Q964" s="59"/>
      <c r="AT964" s="59"/>
      <c r="AU964" s="59"/>
      <c r="AV964" s="59"/>
    </row>
    <row r="965" spans="16:48" ht="13">
      <c r="P965" s="59"/>
      <c r="Q965" s="59"/>
      <c r="AT965" s="59"/>
      <c r="AU965" s="59"/>
      <c r="AV965" s="59"/>
    </row>
    <row r="966" spans="16:48" ht="13">
      <c r="P966" s="59"/>
      <c r="Q966" s="59"/>
      <c r="AT966" s="59"/>
      <c r="AU966" s="59"/>
      <c r="AV966" s="59"/>
    </row>
    <row r="967" spans="16:48" ht="13">
      <c r="P967" s="59"/>
      <c r="Q967" s="59"/>
      <c r="AT967" s="59"/>
      <c r="AU967" s="59"/>
      <c r="AV967" s="59"/>
    </row>
    <row r="968" spans="16:48" ht="13">
      <c r="P968" s="59"/>
      <c r="Q968" s="59"/>
      <c r="AT968" s="59"/>
      <c r="AU968" s="59"/>
      <c r="AV968" s="59"/>
    </row>
    <row r="969" spans="16:48" ht="13">
      <c r="P969" s="59"/>
      <c r="Q969" s="59"/>
      <c r="AT969" s="59"/>
      <c r="AU969" s="59"/>
      <c r="AV969" s="59"/>
    </row>
    <row r="970" spans="16:48" ht="13">
      <c r="P970" s="59"/>
      <c r="Q970" s="59"/>
      <c r="AT970" s="59"/>
      <c r="AU970" s="59"/>
      <c r="AV970" s="59"/>
    </row>
    <row r="971" spans="16:48" ht="13">
      <c r="P971" s="59"/>
      <c r="Q971" s="59"/>
      <c r="AT971" s="59"/>
      <c r="AU971" s="59"/>
      <c r="AV971" s="59"/>
    </row>
    <row r="972" spans="16:48" ht="13">
      <c r="P972" s="59"/>
      <c r="Q972" s="59"/>
      <c r="AT972" s="59"/>
      <c r="AU972" s="59"/>
      <c r="AV972" s="59"/>
    </row>
    <row r="973" spans="16:48" ht="13">
      <c r="P973" s="59"/>
      <c r="Q973" s="59"/>
      <c r="AT973" s="59"/>
      <c r="AU973" s="59"/>
      <c r="AV973" s="59"/>
    </row>
    <row r="974" spans="16:48" ht="13">
      <c r="P974" s="59"/>
      <c r="Q974" s="59"/>
      <c r="AT974" s="59"/>
      <c r="AU974" s="59"/>
      <c r="AV974" s="59"/>
    </row>
    <row r="975" spans="16:48" ht="13">
      <c r="P975" s="59"/>
      <c r="Q975" s="59"/>
      <c r="AT975" s="59"/>
      <c r="AU975" s="59"/>
      <c r="AV975" s="59"/>
    </row>
    <row r="976" spans="16:48" ht="13">
      <c r="P976" s="59"/>
      <c r="Q976" s="59"/>
      <c r="AT976" s="59"/>
      <c r="AU976" s="59"/>
      <c r="AV976" s="59"/>
    </row>
    <row r="977" spans="16:48" ht="13">
      <c r="P977" s="59"/>
      <c r="Q977" s="59"/>
      <c r="AT977" s="59"/>
      <c r="AU977" s="59"/>
      <c r="AV977" s="59"/>
    </row>
    <row r="978" spans="16:48" ht="13">
      <c r="P978" s="59"/>
      <c r="Q978" s="59"/>
      <c r="AT978" s="59"/>
      <c r="AU978" s="59"/>
      <c r="AV978" s="59"/>
    </row>
    <row r="979" spans="16:48" ht="13">
      <c r="P979" s="59"/>
      <c r="Q979" s="59"/>
      <c r="AT979" s="59"/>
      <c r="AU979" s="59"/>
      <c r="AV979" s="59"/>
    </row>
    <row r="980" spans="16:48" ht="13">
      <c r="P980" s="59"/>
      <c r="Q980" s="59"/>
      <c r="AT980" s="59"/>
      <c r="AU980" s="59"/>
      <c r="AV980" s="59"/>
    </row>
    <row r="981" spans="16:48" ht="13">
      <c r="P981" s="59"/>
      <c r="Q981" s="59"/>
      <c r="AT981" s="59"/>
      <c r="AU981" s="59"/>
      <c r="AV981" s="59"/>
    </row>
    <row r="982" spans="16:48" ht="13">
      <c r="P982" s="59"/>
      <c r="Q982" s="59"/>
      <c r="AT982" s="59"/>
      <c r="AU982" s="59"/>
      <c r="AV982" s="59"/>
    </row>
    <row r="983" spans="16:48" ht="13">
      <c r="P983" s="59"/>
      <c r="Q983" s="59"/>
      <c r="AT983" s="59"/>
      <c r="AU983" s="59"/>
      <c r="AV983" s="59"/>
    </row>
    <row r="984" spans="16:48" ht="13">
      <c r="P984" s="59"/>
      <c r="Q984" s="59"/>
      <c r="AT984" s="59"/>
      <c r="AU984" s="59"/>
      <c r="AV984" s="59"/>
    </row>
    <row r="985" spans="16:48" ht="13">
      <c r="P985" s="59"/>
      <c r="Q985" s="59"/>
      <c r="AT985" s="59"/>
      <c r="AU985" s="59"/>
      <c r="AV985" s="59"/>
    </row>
    <row r="986" spans="16:48" ht="13">
      <c r="P986" s="59"/>
      <c r="Q986" s="59"/>
      <c r="AT986" s="59"/>
      <c r="AU986" s="59"/>
      <c r="AV986" s="59"/>
    </row>
    <row r="987" spans="16:48" ht="13">
      <c r="P987" s="59"/>
      <c r="Q987" s="59"/>
      <c r="AT987" s="59"/>
      <c r="AU987" s="59"/>
      <c r="AV987" s="59"/>
    </row>
    <row r="988" spans="16:48" ht="13">
      <c r="P988" s="59"/>
      <c r="Q988" s="59"/>
      <c r="AT988" s="59"/>
      <c r="AU988" s="59"/>
      <c r="AV988" s="59"/>
    </row>
    <row r="989" spans="16:48" ht="13">
      <c r="P989" s="59"/>
      <c r="Q989" s="59"/>
      <c r="AT989" s="59"/>
      <c r="AU989" s="59"/>
      <c r="AV989" s="59"/>
    </row>
    <row r="990" spans="16:48" ht="13">
      <c r="P990" s="59"/>
      <c r="Q990" s="59"/>
      <c r="AT990" s="59"/>
      <c r="AU990" s="59"/>
      <c r="AV990" s="59"/>
    </row>
    <row r="991" spans="16:48" ht="13">
      <c r="P991" s="59"/>
      <c r="Q991" s="59"/>
      <c r="AT991" s="59"/>
      <c r="AU991" s="59"/>
      <c r="AV991" s="59"/>
    </row>
    <row r="992" spans="16:48" ht="13">
      <c r="P992" s="59"/>
      <c r="Q992" s="59"/>
      <c r="AT992" s="59"/>
      <c r="AU992" s="59"/>
      <c r="AV992" s="59"/>
    </row>
    <row r="993" spans="16:48" ht="13">
      <c r="P993" s="59"/>
      <c r="Q993" s="59"/>
      <c r="AT993" s="59"/>
      <c r="AU993" s="59"/>
      <c r="AV993" s="59"/>
    </row>
    <row r="994" spans="16:48" ht="13">
      <c r="P994" s="59"/>
      <c r="Q994" s="59"/>
      <c r="AT994" s="59"/>
      <c r="AU994" s="59"/>
      <c r="AV994" s="59"/>
    </row>
  </sheetData>
  <mergeCells count="16">
    <mergeCell ref="I22:M22"/>
    <mergeCell ref="A2:B2"/>
    <mergeCell ref="A3:B3"/>
    <mergeCell ref="A23:A27"/>
    <mergeCell ref="A28:B28"/>
    <mergeCell ref="A4:B4"/>
    <mergeCell ref="A6:B6"/>
    <mergeCell ref="A7:A15"/>
    <mergeCell ref="A17:B17"/>
    <mergeCell ref="A18:B18"/>
    <mergeCell ref="A22:B22"/>
    <mergeCell ref="I1:W1"/>
    <mergeCell ref="Y1:AA1"/>
    <mergeCell ref="AC1:AG1"/>
    <mergeCell ref="AI1:AK1"/>
    <mergeCell ref="AO1:AQ1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5"/>
  <sheetViews>
    <sheetView workbookViewId="0"/>
  </sheetViews>
  <sheetFormatPr baseColWidth="10" defaultColWidth="12.6640625" defaultRowHeight="15.75" customHeight="1"/>
  <cols>
    <col min="1" max="1" width="27.1640625" customWidth="1"/>
  </cols>
  <sheetData>
    <row r="1" spans="1:26" ht="15.75" customHeight="1">
      <c r="A1" s="200" t="s">
        <v>159</v>
      </c>
      <c r="B1" s="201" t="s">
        <v>160</v>
      </c>
      <c r="C1" s="201" t="s">
        <v>161</v>
      </c>
      <c r="D1" s="201" t="s">
        <v>162</v>
      </c>
      <c r="E1" s="201" t="s">
        <v>163</v>
      </c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spans="1:26" ht="15.75" customHeight="1">
      <c r="A2" s="27" t="s">
        <v>164</v>
      </c>
      <c r="B2" s="61"/>
      <c r="C2" s="61"/>
      <c r="D2" s="61"/>
      <c r="E2" s="61">
        <v>-94306</v>
      </c>
    </row>
    <row r="3" spans="1:26" ht="15.75" customHeight="1">
      <c r="A3" s="27" t="s">
        <v>165</v>
      </c>
      <c r="B3" s="61"/>
      <c r="C3" s="61"/>
      <c r="D3" s="61"/>
      <c r="E3" s="61">
        <v>21214</v>
      </c>
    </row>
    <row r="4" spans="1:26" ht="15.75" customHeight="1">
      <c r="A4" s="27" t="s">
        <v>166</v>
      </c>
      <c r="B4" s="61"/>
      <c r="C4" s="61"/>
      <c r="D4" s="61"/>
      <c r="E4" s="61">
        <v>52100</v>
      </c>
    </row>
    <row r="5" spans="1:26" ht="15.75" customHeight="1">
      <c r="A5" s="27" t="s">
        <v>167</v>
      </c>
      <c r="B5" s="61"/>
      <c r="C5" s="61"/>
      <c r="D5" s="61"/>
      <c r="E5" s="61">
        <v>60217</v>
      </c>
    </row>
    <row r="6" spans="1:26" ht="15.75" customHeight="1">
      <c r="A6" s="27" t="s">
        <v>168</v>
      </c>
      <c r="B6" s="61"/>
      <c r="C6" s="61"/>
      <c r="D6" s="61"/>
      <c r="E6" s="61">
        <v>6670</v>
      </c>
    </row>
    <row r="7" spans="1:26" ht="15.75" customHeight="1">
      <c r="A7" s="27" t="s">
        <v>169</v>
      </c>
      <c r="B7" s="61"/>
      <c r="C7" s="61"/>
      <c r="D7" s="61"/>
      <c r="E7" s="61">
        <v>3575</v>
      </c>
    </row>
    <row r="8" spans="1:26" ht="15.75" customHeight="1">
      <c r="A8" s="27" t="s">
        <v>170</v>
      </c>
      <c r="B8" s="61"/>
      <c r="C8" s="61"/>
      <c r="D8" s="61"/>
      <c r="E8" s="61">
        <v>5796</v>
      </c>
    </row>
    <row r="9" spans="1:26" ht="15.75" customHeight="1">
      <c r="A9" s="27" t="s">
        <v>171</v>
      </c>
      <c r="B9" s="61"/>
      <c r="C9" s="61"/>
      <c r="D9" s="61"/>
      <c r="E9" s="61">
        <v>24855</v>
      </c>
    </row>
    <row r="10" spans="1:26" ht="15.75" customHeight="1">
      <c r="A10" s="27" t="s">
        <v>172</v>
      </c>
      <c r="B10" s="61"/>
      <c r="C10" s="61"/>
      <c r="D10" s="61"/>
      <c r="E10" s="61">
        <v>6507</v>
      </c>
    </row>
    <row r="11" spans="1:26" ht="15.75" customHeight="1">
      <c r="A11" s="27" t="s">
        <v>173</v>
      </c>
      <c r="B11" s="61"/>
      <c r="C11" s="61"/>
      <c r="D11" s="61"/>
      <c r="E11" s="61">
        <v>2310</v>
      </c>
    </row>
    <row r="12" spans="1:26" ht="15.75" customHeight="1">
      <c r="A12" s="27" t="s">
        <v>56</v>
      </c>
      <c r="B12" s="61"/>
      <c r="C12" s="61"/>
      <c r="D12" s="61"/>
      <c r="E12" s="61">
        <v>-103976</v>
      </c>
    </row>
    <row r="13" spans="1:26" ht="15.75" customHeight="1">
      <c r="A13" s="27" t="s">
        <v>120</v>
      </c>
      <c r="B13" s="61"/>
      <c r="C13" s="61"/>
      <c r="D13" s="61"/>
      <c r="E13" s="61">
        <v>2298</v>
      </c>
    </row>
    <row r="14" spans="1:26" ht="15.75" customHeight="1">
      <c r="A14" s="27" t="s">
        <v>121</v>
      </c>
      <c r="B14" s="61"/>
      <c r="C14" s="61"/>
      <c r="D14" s="61"/>
      <c r="E14" s="61">
        <v>4470</v>
      </c>
    </row>
    <row r="15" spans="1:26" ht="15.75" customHeight="1">
      <c r="A15" s="27" t="s">
        <v>122</v>
      </c>
      <c r="B15" s="61"/>
      <c r="C15" s="61"/>
      <c r="D15" s="61"/>
      <c r="E15" s="61">
        <v>-4550</v>
      </c>
    </row>
    <row r="16" spans="1:26" ht="15.75" customHeight="1">
      <c r="A16" s="27" t="s">
        <v>124</v>
      </c>
      <c r="B16" s="61"/>
      <c r="C16" s="61"/>
      <c r="D16" s="61"/>
      <c r="E16" s="61">
        <v>-24493</v>
      </c>
    </row>
    <row r="17" spans="1:5" ht="15.75" customHeight="1">
      <c r="A17" s="27" t="s">
        <v>123</v>
      </c>
      <c r="B17" s="61"/>
      <c r="C17" s="61"/>
      <c r="D17" s="61"/>
      <c r="E17" s="61">
        <v>-3194</v>
      </c>
    </row>
    <row r="18" spans="1:5" ht="15.75" customHeight="1">
      <c r="A18" s="27" t="s">
        <v>174</v>
      </c>
      <c r="B18" s="61"/>
      <c r="C18" s="61"/>
      <c r="D18" s="61"/>
      <c r="E18" s="61">
        <v>8886</v>
      </c>
    </row>
    <row r="19" spans="1:5" ht="15.75" customHeight="1">
      <c r="A19" s="27" t="s">
        <v>175</v>
      </c>
      <c r="B19" s="61"/>
      <c r="C19" s="61"/>
      <c r="D19" s="61"/>
      <c r="E19" s="61">
        <v>4445</v>
      </c>
    </row>
    <row r="20" spans="1:5" ht="15.75" customHeight="1">
      <c r="A20" s="27" t="s">
        <v>176</v>
      </c>
      <c r="B20" s="61"/>
      <c r="C20" s="61"/>
      <c r="D20" s="61"/>
      <c r="E20" s="61">
        <v>2054</v>
      </c>
    </row>
    <row r="21" spans="1:5" ht="15.75" customHeight="1">
      <c r="A21" s="27" t="s">
        <v>177</v>
      </c>
      <c r="B21" s="61"/>
      <c r="C21" s="61"/>
      <c r="D21" s="61"/>
      <c r="E21" s="61">
        <v>4295</v>
      </c>
    </row>
    <row r="22" spans="1:5" ht="15.75" customHeight="1">
      <c r="A22" s="27" t="s">
        <v>178</v>
      </c>
      <c r="B22" s="61"/>
      <c r="C22" s="61"/>
      <c r="D22" s="61"/>
      <c r="E22" s="61">
        <v>5546</v>
      </c>
    </row>
    <row r="23" spans="1:5" ht="15.75" customHeight="1">
      <c r="A23" s="27" t="s">
        <v>179</v>
      </c>
      <c r="B23" s="61"/>
      <c r="C23" s="61"/>
      <c r="D23" s="61"/>
      <c r="E23" s="61">
        <v>252101</v>
      </c>
    </row>
    <row r="24" spans="1:5" ht="15.75" customHeight="1">
      <c r="A24" s="27" t="s">
        <v>180</v>
      </c>
      <c r="B24" s="61"/>
      <c r="C24" s="61"/>
      <c r="D24" s="61"/>
      <c r="E24" s="61">
        <v>30968</v>
      </c>
    </row>
    <row r="25" spans="1:5" ht="15.75" customHeight="1">
      <c r="A25" s="27" t="s">
        <v>181</v>
      </c>
      <c r="B25" s="61"/>
      <c r="C25" s="61"/>
      <c r="D25" s="61"/>
      <c r="E25" s="61">
        <v>4244</v>
      </c>
    </row>
    <row r="26" spans="1:5" ht="15.75" customHeight="1">
      <c r="A26" s="27" t="s">
        <v>182</v>
      </c>
      <c r="B26" s="61"/>
      <c r="C26" s="61"/>
      <c r="D26" s="61"/>
      <c r="E26" s="61">
        <v>-20751</v>
      </c>
    </row>
    <row r="27" spans="1:5" ht="15.75" customHeight="1">
      <c r="A27" s="27" t="s">
        <v>183</v>
      </c>
      <c r="B27" s="61"/>
      <c r="C27" s="61"/>
      <c r="D27" s="61"/>
      <c r="E27" s="61">
        <v>8755</v>
      </c>
    </row>
    <row r="28" spans="1:5" ht="15.75" customHeight="1">
      <c r="A28" s="27" t="s">
        <v>184</v>
      </c>
      <c r="B28" s="61"/>
      <c r="C28" s="61"/>
      <c r="D28" s="61"/>
      <c r="E28" s="61">
        <v>2057</v>
      </c>
    </row>
    <row r="29" spans="1:5" ht="15.75" customHeight="1">
      <c r="A29" s="27" t="s">
        <v>185</v>
      </c>
      <c r="B29" s="61"/>
      <c r="C29" s="61"/>
      <c r="D29" s="61"/>
      <c r="E29" s="61">
        <v>1299</v>
      </c>
    </row>
    <row r="30" spans="1:5" ht="15.75" customHeight="1">
      <c r="A30" s="27" t="s">
        <v>75</v>
      </c>
      <c r="B30" s="61"/>
      <c r="C30" s="61"/>
      <c r="D30" s="61"/>
      <c r="E30" s="61">
        <v>3471</v>
      </c>
    </row>
    <row r="31" spans="1:5" ht="15.75" customHeight="1">
      <c r="A31" s="27" t="s">
        <v>186</v>
      </c>
      <c r="B31" s="61"/>
      <c r="C31" s="61"/>
      <c r="D31" s="61"/>
      <c r="E31" s="61">
        <v>5087</v>
      </c>
    </row>
    <row r="32" spans="1:5" ht="15.75" customHeight="1">
      <c r="A32" s="27" t="s">
        <v>187</v>
      </c>
      <c r="B32" s="61"/>
      <c r="C32" s="61"/>
      <c r="D32" s="61"/>
      <c r="E32" s="61">
        <v>52328</v>
      </c>
    </row>
    <row r="33" spans="1:5" ht="15.75" customHeight="1">
      <c r="A33" s="27" t="s">
        <v>188</v>
      </c>
      <c r="B33" s="61"/>
      <c r="C33" s="61"/>
      <c r="D33" s="61"/>
      <c r="E33" s="61">
        <v>913</v>
      </c>
    </row>
    <row r="34" spans="1:5" ht="15.75" customHeight="1">
      <c r="A34" s="27" t="s">
        <v>189</v>
      </c>
      <c r="B34" s="61"/>
      <c r="C34" s="61"/>
      <c r="D34" s="61"/>
      <c r="E34" s="61">
        <v>6981</v>
      </c>
    </row>
    <row r="35" spans="1:5" ht="15.75" customHeight="1">
      <c r="A35" s="27" t="s">
        <v>190</v>
      </c>
      <c r="B35" s="61"/>
      <c r="C35" s="61"/>
      <c r="D35" s="61"/>
      <c r="E35" s="61">
        <v>134182</v>
      </c>
    </row>
    <row r="36" spans="1:5" ht="15.75" customHeight="1">
      <c r="A36" s="27" t="s">
        <v>191</v>
      </c>
      <c r="B36" s="61"/>
      <c r="C36" s="61"/>
      <c r="D36" s="61"/>
      <c r="E36" s="61">
        <v>7455</v>
      </c>
    </row>
    <row r="37" spans="1:5" ht="15.75" customHeight="1">
      <c r="A37" s="27" t="s">
        <v>192</v>
      </c>
      <c r="B37" s="61"/>
      <c r="C37" s="61"/>
      <c r="D37" s="61"/>
      <c r="E37" s="61">
        <v>24035</v>
      </c>
    </row>
    <row r="38" spans="1:5" ht="15.75" customHeight="1">
      <c r="A38" s="27" t="s">
        <v>84</v>
      </c>
      <c r="B38" s="61"/>
      <c r="C38" s="61"/>
      <c r="D38" s="61"/>
      <c r="E38" s="61">
        <v>24787</v>
      </c>
    </row>
    <row r="39" spans="1:5" ht="15.75" customHeight="1">
      <c r="A39" s="27" t="s">
        <v>193</v>
      </c>
      <c r="B39" s="61"/>
      <c r="C39" s="61"/>
      <c r="D39" s="61"/>
      <c r="E39" s="61">
        <v>-195</v>
      </c>
    </row>
    <row r="40" spans="1:5" ht="15.75" customHeight="1">
      <c r="B40" s="148"/>
      <c r="C40" s="148"/>
      <c r="D40" s="148"/>
      <c r="E40" s="148"/>
    </row>
    <row r="41" spans="1:5" ht="15.75" customHeight="1">
      <c r="B41" s="148"/>
      <c r="C41" s="148"/>
      <c r="D41" s="148"/>
      <c r="E41" s="148"/>
    </row>
    <row r="42" spans="1:5" ht="15.75" customHeight="1">
      <c r="B42" s="148"/>
      <c r="C42" s="148"/>
      <c r="D42" s="148"/>
      <c r="E42" s="148"/>
    </row>
    <row r="43" spans="1:5" ht="15.75" customHeight="1">
      <c r="B43" s="148"/>
      <c r="C43" s="148"/>
      <c r="D43" s="148"/>
      <c r="E43" s="148"/>
    </row>
    <row r="44" spans="1:5" ht="15.75" customHeight="1">
      <c r="B44" s="148"/>
      <c r="C44" s="148"/>
      <c r="D44" s="148"/>
      <c r="E44" s="148"/>
    </row>
    <row r="45" spans="1:5" ht="15.75" customHeight="1">
      <c r="B45" s="148"/>
      <c r="C45" s="148"/>
      <c r="D45" s="148"/>
      <c r="E45" s="148"/>
    </row>
    <row r="46" spans="1:5" ht="15.75" customHeight="1">
      <c r="B46" s="148"/>
      <c r="C46" s="148"/>
      <c r="D46" s="148"/>
      <c r="E46" s="148"/>
    </row>
    <row r="47" spans="1:5" ht="13">
      <c r="B47" s="148"/>
      <c r="C47" s="148"/>
      <c r="D47" s="148"/>
      <c r="E47" s="148"/>
    </row>
    <row r="48" spans="1:5" ht="13">
      <c r="B48" s="148"/>
      <c r="C48" s="148"/>
      <c r="D48" s="148"/>
      <c r="E48" s="148"/>
    </row>
    <row r="49" spans="2:5" ht="13">
      <c r="B49" s="148"/>
      <c r="C49" s="148"/>
      <c r="D49" s="148"/>
      <c r="E49" s="148"/>
    </row>
    <row r="50" spans="2:5" ht="13">
      <c r="B50" s="148"/>
      <c r="C50" s="148"/>
      <c r="D50" s="148"/>
      <c r="E50" s="148"/>
    </row>
    <row r="51" spans="2:5" ht="13">
      <c r="B51" s="148"/>
      <c r="C51" s="148"/>
      <c r="D51" s="148"/>
      <c r="E51" s="148"/>
    </row>
    <row r="52" spans="2:5" ht="13">
      <c r="B52" s="148"/>
      <c r="C52" s="148"/>
      <c r="D52" s="148"/>
      <c r="E52" s="148"/>
    </row>
    <row r="53" spans="2:5" ht="13">
      <c r="B53" s="148"/>
      <c r="C53" s="148"/>
      <c r="D53" s="148"/>
      <c r="E53" s="148"/>
    </row>
    <row r="54" spans="2:5" ht="13">
      <c r="B54" s="148"/>
      <c r="C54" s="148"/>
      <c r="D54" s="148"/>
      <c r="E54" s="148"/>
    </row>
    <row r="55" spans="2:5" ht="13">
      <c r="B55" s="148"/>
      <c r="C55" s="148"/>
      <c r="D55" s="148"/>
      <c r="E55" s="148"/>
    </row>
    <row r="56" spans="2:5" ht="13">
      <c r="B56" s="148"/>
      <c r="C56" s="148"/>
      <c r="D56" s="148"/>
      <c r="E56" s="148"/>
    </row>
    <row r="57" spans="2:5" ht="13">
      <c r="B57" s="148"/>
      <c r="C57" s="148"/>
      <c r="D57" s="148"/>
      <c r="E57" s="148"/>
    </row>
    <row r="58" spans="2:5" ht="13">
      <c r="B58" s="148"/>
      <c r="C58" s="148"/>
      <c r="D58" s="148"/>
      <c r="E58" s="148"/>
    </row>
    <row r="59" spans="2:5" ht="13">
      <c r="B59" s="148"/>
      <c r="C59" s="148"/>
      <c r="D59" s="148"/>
      <c r="E59" s="148"/>
    </row>
    <row r="60" spans="2:5" ht="13">
      <c r="B60" s="148"/>
      <c r="C60" s="148"/>
      <c r="D60" s="148"/>
      <c r="E60" s="148"/>
    </row>
    <row r="61" spans="2:5" ht="13">
      <c r="B61" s="148"/>
      <c r="C61" s="148"/>
      <c r="D61" s="148"/>
      <c r="E61" s="148"/>
    </row>
    <row r="62" spans="2:5" ht="13">
      <c r="B62" s="148"/>
      <c r="C62" s="148"/>
      <c r="D62" s="148"/>
      <c r="E62" s="148"/>
    </row>
    <row r="63" spans="2:5" ht="13">
      <c r="B63" s="148"/>
      <c r="C63" s="148"/>
      <c r="D63" s="148"/>
      <c r="E63" s="148"/>
    </row>
    <row r="64" spans="2:5" ht="13">
      <c r="B64" s="148"/>
      <c r="C64" s="148"/>
      <c r="D64" s="148"/>
      <c r="E64" s="148"/>
    </row>
    <row r="65" spans="2:5" ht="13">
      <c r="B65" s="148"/>
      <c r="C65" s="148"/>
      <c r="D65" s="148"/>
      <c r="E65" s="148"/>
    </row>
    <row r="66" spans="2:5" ht="13">
      <c r="B66" s="148"/>
      <c r="C66" s="148"/>
      <c r="D66" s="148"/>
      <c r="E66" s="148"/>
    </row>
    <row r="67" spans="2:5" ht="13">
      <c r="B67" s="148"/>
      <c r="C67" s="148"/>
      <c r="D67" s="148"/>
      <c r="E67" s="148"/>
    </row>
    <row r="68" spans="2:5" ht="13">
      <c r="B68" s="148"/>
      <c r="C68" s="148"/>
      <c r="D68" s="148"/>
      <c r="E68" s="148"/>
    </row>
    <row r="69" spans="2:5" ht="13">
      <c r="B69" s="148"/>
      <c r="C69" s="148"/>
      <c r="D69" s="148"/>
      <c r="E69" s="148"/>
    </row>
    <row r="70" spans="2:5" ht="13">
      <c r="B70" s="148"/>
      <c r="C70" s="148"/>
      <c r="D70" s="148"/>
      <c r="E70" s="148"/>
    </row>
    <row r="71" spans="2:5" ht="13">
      <c r="B71" s="148"/>
      <c r="C71" s="148"/>
      <c r="D71" s="148"/>
      <c r="E71" s="148"/>
    </row>
    <row r="72" spans="2:5" ht="13">
      <c r="B72" s="148"/>
      <c r="C72" s="148"/>
      <c r="D72" s="148"/>
      <c r="E72" s="148"/>
    </row>
    <row r="73" spans="2:5" ht="13">
      <c r="B73" s="148"/>
      <c r="C73" s="148"/>
      <c r="D73" s="148"/>
      <c r="E73" s="148"/>
    </row>
    <row r="74" spans="2:5" ht="13">
      <c r="B74" s="148"/>
      <c r="C74" s="148"/>
      <c r="D74" s="148"/>
      <c r="E74" s="148"/>
    </row>
    <row r="75" spans="2:5" ht="13">
      <c r="B75" s="148"/>
      <c r="C75" s="148"/>
      <c r="D75" s="148"/>
      <c r="E75" s="148"/>
    </row>
    <row r="76" spans="2:5" ht="13">
      <c r="B76" s="148"/>
      <c r="C76" s="148"/>
      <c r="D76" s="148"/>
      <c r="E76" s="148"/>
    </row>
    <row r="77" spans="2:5" ht="13">
      <c r="B77" s="148"/>
      <c r="C77" s="148"/>
      <c r="D77" s="148"/>
      <c r="E77" s="148"/>
    </row>
    <row r="78" spans="2:5" ht="13">
      <c r="B78" s="148"/>
      <c r="C78" s="148"/>
      <c r="D78" s="148"/>
      <c r="E78" s="148"/>
    </row>
    <row r="79" spans="2:5" ht="13">
      <c r="B79" s="148"/>
      <c r="C79" s="148"/>
      <c r="D79" s="148"/>
      <c r="E79" s="148"/>
    </row>
    <row r="80" spans="2:5" ht="13">
      <c r="B80" s="148"/>
      <c r="C80" s="148"/>
      <c r="D80" s="148"/>
      <c r="E80" s="148"/>
    </row>
    <row r="81" spans="2:5" ht="13">
      <c r="B81" s="148"/>
      <c r="C81" s="148"/>
      <c r="D81" s="148"/>
      <c r="E81" s="148"/>
    </row>
    <row r="82" spans="2:5" ht="13">
      <c r="B82" s="148"/>
      <c r="C82" s="148"/>
      <c r="D82" s="148"/>
      <c r="E82" s="148"/>
    </row>
    <row r="83" spans="2:5" ht="13">
      <c r="B83" s="148"/>
      <c r="C83" s="148"/>
      <c r="D83" s="148"/>
      <c r="E83" s="148"/>
    </row>
    <row r="84" spans="2:5" ht="13">
      <c r="B84" s="148"/>
      <c r="C84" s="148"/>
      <c r="D84" s="148"/>
      <c r="E84" s="148"/>
    </row>
    <row r="85" spans="2:5" ht="13">
      <c r="B85" s="148"/>
      <c r="C85" s="148"/>
      <c r="D85" s="148"/>
      <c r="E85" s="148"/>
    </row>
    <row r="86" spans="2:5" ht="13">
      <c r="B86" s="148"/>
      <c r="C86" s="148"/>
      <c r="D86" s="148"/>
      <c r="E86" s="148"/>
    </row>
    <row r="87" spans="2:5" ht="13">
      <c r="B87" s="148"/>
      <c r="C87" s="148"/>
      <c r="D87" s="148"/>
      <c r="E87" s="148"/>
    </row>
    <row r="88" spans="2:5" ht="13">
      <c r="B88" s="148"/>
      <c r="C88" s="148"/>
      <c r="D88" s="148"/>
      <c r="E88" s="148"/>
    </row>
    <row r="89" spans="2:5" ht="13">
      <c r="B89" s="148"/>
      <c r="C89" s="148"/>
      <c r="D89" s="148"/>
      <c r="E89" s="148"/>
    </row>
    <row r="90" spans="2:5" ht="13">
      <c r="B90" s="148"/>
      <c r="C90" s="148"/>
      <c r="D90" s="148"/>
      <c r="E90" s="148"/>
    </row>
    <row r="91" spans="2:5" ht="13">
      <c r="B91" s="148"/>
      <c r="C91" s="148"/>
      <c r="D91" s="148"/>
      <c r="E91" s="148"/>
    </row>
    <row r="92" spans="2:5" ht="13">
      <c r="B92" s="148"/>
      <c r="C92" s="148"/>
      <c r="D92" s="148"/>
      <c r="E92" s="148"/>
    </row>
    <row r="93" spans="2:5" ht="13">
      <c r="B93" s="148"/>
      <c r="C93" s="148"/>
      <c r="D93" s="148"/>
      <c r="E93" s="148"/>
    </row>
    <row r="94" spans="2:5" ht="13">
      <c r="B94" s="148"/>
      <c r="C94" s="148"/>
      <c r="D94" s="148"/>
      <c r="E94" s="148"/>
    </row>
    <row r="95" spans="2:5" ht="13">
      <c r="B95" s="148"/>
      <c r="C95" s="148"/>
      <c r="D95" s="148"/>
      <c r="E95" s="148"/>
    </row>
    <row r="96" spans="2:5" ht="13">
      <c r="B96" s="148"/>
      <c r="C96" s="148"/>
      <c r="D96" s="148"/>
      <c r="E96" s="148"/>
    </row>
    <row r="97" spans="2:5" ht="13">
      <c r="B97" s="148"/>
      <c r="C97" s="148"/>
      <c r="D97" s="148"/>
      <c r="E97" s="148"/>
    </row>
    <row r="98" spans="2:5" ht="13">
      <c r="B98" s="148"/>
      <c r="C98" s="148"/>
      <c r="D98" s="148"/>
      <c r="E98" s="148"/>
    </row>
    <row r="99" spans="2:5" ht="13">
      <c r="B99" s="148"/>
      <c r="C99" s="148"/>
      <c r="D99" s="148"/>
      <c r="E99" s="148"/>
    </row>
    <row r="100" spans="2:5" ht="13">
      <c r="B100" s="148"/>
      <c r="C100" s="148"/>
      <c r="D100" s="148"/>
      <c r="E100" s="148"/>
    </row>
    <row r="101" spans="2:5" ht="13">
      <c r="B101" s="148"/>
      <c r="C101" s="148"/>
      <c r="D101" s="148"/>
      <c r="E101" s="148"/>
    </row>
    <row r="102" spans="2:5" ht="13">
      <c r="B102" s="148"/>
      <c r="C102" s="148"/>
      <c r="D102" s="148"/>
      <c r="E102" s="148"/>
    </row>
    <row r="103" spans="2:5" ht="13">
      <c r="B103" s="148"/>
      <c r="C103" s="148"/>
      <c r="D103" s="148"/>
      <c r="E103" s="148"/>
    </row>
    <row r="104" spans="2:5" ht="13">
      <c r="B104" s="148"/>
      <c r="C104" s="148"/>
      <c r="D104" s="148"/>
      <c r="E104" s="148"/>
    </row>
    <row r="105" spans="2:5" ht="13">
      <c r="B105" s="148"/>
      <c r="C105" s="148"/>
      <c r="D105" s="148"/>
      <c r="E105" s="148"/>
    </row>
    <row r="106" spans="2:5" ht="13">
      <c r="B106" s="148"/>
      <c r="C106" s="148"/>
      <c r="D106" s="148"/>
      <c r="E106" s="148"/>
    </row>
    <row r="107" spans="2:5" ht="13">
      <c r="B107" s="148"/>
      <c r="C107" s="148"/>
      <c r="D107" s="148"/>
      <c r="E107" s="148"/>
    </row>
    <row r="108" spans="2:5" ht="13">
      <c r="B108" s="148"/>
      <c r="C108" s="148"/>
      <c r="D108" s="148"/>
      <c r="E108" s="148"/>
    </row>
    <row r="109" spans="2:5" ht="13">
      <c r="B109" s="148"/>
      <c r="C109" s="148"/>
      <c r="D109" s="148"/>
      <c r="E109" s="148"/>
    </row>
    <row r="110" spans="2:5" ht="13">
      <c r="B110" s="148"/>
      <c r="C110" s="148"/>
      <c r="D110" s="148"/>
      <c r="E110" s="148"/>
    </row>
    <row r="111" spans="2:5" ht="13">
      <c r="B111" s="148"/>
      <c r="C111" s="148"/>
      <c r="D111" s="148"/>
      <c r="E111" s="148"/>
    </row>
    <row r="112" spans="2:5" ht="13">
      <c r="B112" s="148"/>
      <c r="C112" s="148"/>
      <c r="D112" s="148"/>
      <c r="E112" s="148"/>
    </row>
    <row r="113" spans="2:5" ht="13">
      <c r="B113" s="148"/>
      <c r="C113" s="148"/>
      <c r="D113" s="148"/>
      <c r="E113" s="148"/>
    </row>
    <row r="114" spans="2:5" ht="13">
      <c r="B114" s="148"/>
      <c r="C114" s="148"/>
      <c r="D114" s="148"/>
      <c r="E114" s="148"/>
    </row>
    <row r="115" spans="2:5" ht="13">
      <c r="B115" s="148"/>
      <c r="C115" s="148"/>
      <c r="D115" s="148"/>
      <c r="E115" s="148"/>
    </row>
    <row r="116" spans="2:5" ht="13">
      <c r="B116" s="148"/>
      <c r="C116" s="148"/>
      <c r="D116" s="148"/>
      <c r="E116" s="148"/>
    </row>
    <row r="117" spans="2:5" ht="13">
      <c r="B117" s="148"/>
      <c r="C117" s="148"/>
      <c r="D117" s="148"/>
      <c r="E117" s="148"/>
    </row>
    <row r="118" spans="2:5" ht="13">
      <c r="B118" s="148"/>
      <c r="C118" s="148"/>
      <c r="D118" s="148"/>
      <c r="E118" s="148"/>
    </row>
    <row r="119" spans="2:5" ht="13">
      <c r="B119" s="148"/>
      <c r="C119" s="148"/>
      <c r="D119" s="148"/>
      <c r="E119" s="148"/>
    </row>
    <row r="120" spans="2:5" ht="13">
      <c r="B120" s="148"/>
      <c r="C120" s="148"/>
      <c r="D120" s="148"/>
      <c r="E120" s="148"/>
    </row>
    <row r="121" spans="2:5" ht="13">
      <c r="B121" s="148"/>
      <c r="C121" s="148"/>
      <c r="D121" s="148"/>
      <c r="E121" s="148"/>
    </row>
    <row r="122" spans="2:5" ht="13">
      <c r="B122" s="148"/>
      <c r="C122" s="148"/>
      <c r="D122" s="148"/>
      <c r="E122" s="148"/>
    </row>
    <row r="123" spans="2:5" ht="13">
      <c r="B123" s="148"/>
      <c r="C123" s="148"/>
      <c r="D123" s="148"/>
      <c r="E123" s="148"/>
    </row>
    <row r="124" spans="2:5" ht="13">
      <c r="B124" s="148"/>
      <c r="C124" s="148"/>
      <c r="D124" s="148"/>
      <c r="E124" s="148"/>
    </row>
    <row r="125" spans="2:5" ht="13">
      <c r="B125" s="148"/>
      <c r="C125" s="148"/>
      <c r="D125" s="148"/>
      <c r="E125" s="148"/>
    </row>
    <row r="126" spans="2:5" ht="13">
      <c r="B126" s="148"/>
      <c r="C126" s="148"/>
      <c r="D126" s="148"/>
      <c r="E126" s="148"/>
    </row>
    <row r="127" spans="2:5" ht="13">
      <c r="B127" s="148"/>
      <c r="C127" s="148"/>
      <c r="D127" s="148"/>
      <c r="E127" s="148"/>
    </row>
    <row r="128" spans="2:5" ht="13">
      <c r="B128" s="148"/>
      <c r="C128" s="148"/>
      <c r="D128" s="148"/>
      <c r="E128" s="148"/>
    </row>
    <row r="129" spans="2:5" ht="13">
      <c r="B129" s="148"/>
      <c r="C129" s="148"/>
      <c r="D129" s="148"/>
      <c r="E129" s="148"/>
    </row>
    <row r="130" spans="2:5" ht="13">
      <c r="B130" s="148"/>
      <c r="C130" s="148"/>
      <c r="D130" s="148"/>
      <c r="E130" s="148"/>
    </row>
    <row r="131" spans="2:5" ht="13">
      <c r="B131" s="148"/>
      <c r="C131" s="148"/>
      <c r="D131" s="148"/>
      <c r="E131" s="148"/>
    </row>
    <row r="132" spans="2:5" ht="13">
      <c r="B132" s="148"/>
      <c r="C132" s="148"/>
      <c r="D132" s="148"/>
      <c r="E132" s="148"/>
    </row>
    <row r="133" spans="2:5" ht="13">
      <c r="B133" s="148"/>
      <c r="C133" s="148"/>
      <c r="D133" s="148"/>
      <c r="E133" s="148"/>
    </row>
    <row r="134" spans="2:5" ht="13">
      <c r="B134" s="148"/>
      <c r="C134" s="148"/>
      <c r="D134" s="148"/>
      <c r="E134" s="148"/>
    </row>
    <row r="135" spans="2:5" ht="13">
      <c r="B135" s="148"/>
      <c r="C135" s="148"/>
      <c r="D135" s="148"/>
      <c r="E135" s="148"/>
    </row>
    <row r="136" spans="2:5" ht="13">
      <c r="B136" s="148"/>
      <c r="C136" s="148"/>
      <c r="D136" s="148"/>
      <c r="E136" s="148"/>
    </row>
    <row r="137" spans="2:5" ht="13">
      <c r="B137" s="148"/>
      <c r="C137" s="148"/>
      <c r="D137" s="148"/>
      <c r="E137" s="148"/>
    </row>
    <row r="138" spans="2:5" ht="13">
      <c r="B138" s="148"/>
      <c r="C138" s="148"/>
      <c r="D138" s="148"/>
      <c r="E138" s="148"/>
    </row>
    <row r="139" spans="2:5" ht="13">
      <c r="B139" s="148"/>
      <c r="C139" s="148"/>
      <c r="D139" s="148"/>
      <c r="E139" s="148"/>
    </row>
    <row r="140" spans="2:5" ht="13">
      <c r="B140" s="148"/>
      <c r="C140" s="148"/>
      <c r="D140" s="148"/>
      <c r="E140" s="148"/>
    </row>
    <row r="141" spans="2:5" ht="13">
      <c r="B141" s="148"/>
      <c r="C141" s="148"/>
      <c r="D141" s="148"/>
      <c r="E141" s="148"/>
    </row>
    <row r="142" spans="2:5" ht="13">
      <c r="B142" s="148"/>
      <c r="C142" s="148"/>
      <c r="D142" s="148"/>
      <c r="E142" s="148"/>
    </row>
    <row r="143" spans="2:5" ht="13">
      <c r="B143" s="148"/>
      <c r="C143" s="148"/>
      <c r="D143" s="148"/>
      <c r="E143" s="148"/>
    </row>
    <row r="144" spans="2:5" ht="13">
      <c r="B144" s="148"/>
      <c r="C144" s="148"/>
      <c r="D144" s="148"/>
      <c r="E144" s="148"/>
    </row>
    <row r="145" spans="2:5" ht="13">
      <c r="B145" s="148"/>
      <c r="C145" s="148"/>
      <c r="D145" s="148"/>
      <c r="E145" s="148"/>
    </row>
    <row r="146" spans="2:5" ht="13">
      <c r="B146" s="148"/>
      <c r="C146" s="148"/>
      <c r="D146" s="148"/>
      <c r="E146" s="148"/>
    </row>
    <row r="147" spans="2:5" ht="13">
      <c r="B147" s="148"/>
      <c r="C147" s="148"/>
      <c r="D147" s="148"/>
      <c r="E147" s="148"/>
    </row>
    <row r="148" spans="2:5" ht="13">
      <c r="B148" s="148"/>
      <c r="C148" s="148"/>
      <c r="D148" s="148"/>
      <c r="E148" s="148"/>
    </row>
    <row r="149" spans="2:5" ht="13">
      <c r="B149" s="148"/>
      <c r="C149" s="148"/>
      <c r="D149" s="148"/>
      <c r="E149" s="148"/>
    </row>
    <row r="150" spans="2:5" ht="13">
      <c r="B150" s="148"/>
      <c r="C150" s="148"/>
      <c r="D150" s="148"/>
      <c r="E150" s="148"/>
    </row>
    <row r="151" spans="2:5" ht="13">
      <c r="B151" s="148"/>
      <c r="C151" s="148"/>
      <c r="D151" s="148"/>
      <c r="E151" s="148"/>
    </row>
    <row r="152" spans="2:5" ht="13">
      <c r="B152" s="148"/>
      <c r="C152" s="148"/>
      <c r="D152" s="148"/>
      <c r="E152" s="148"/>
    </row>
    <row r="153" spans="2:5" ht="13">
      <c r="B153" s="148"/>
      <c r="C153" s="148"/>
      <c r="D153" s="148"/>
      <c r="E153" s="148"/>
    </row>
    <row r="154" spans="2:5" ht="13">
      <c r="B154" s="148"/>
      <c r="C154" s="148"/>
      <c r="D154" s="148"/>
      <c r="E154" s="148"/>
    </row>
    <row r="155" spans="2:5" ht="13">
      <c r="B155" s="148"/>
      <c r="C155" s="148"/>
      <c r="D155" s="148"/>
      <c r="E155" s="148"/>
    </row>
    <row r="156" spans="2:5" ht="13">
      <c r="B156" s="148"/>
      <c r="C156" s="148"/>
      <c r="D156" s="148"/>
      <c r="E156" s="148"/>
    </row>
    <row r="157" spans="2:5" ht="13">
      <c r="B157" s="148"/>
      <c r="C157" s="148"/>
      <c r="D157" s="148"/>
      <c r="E157" s="148"/>
    </row>
    <row r="158" spans="2:5" ht="13">
      <c r="B158" s="148"/>
      <c r="C158" s="148"/>
      <c r="D158" s="148"/>
      <c r="E158" s="148"/>
    </row>
    <row r="159" spans="2:5" ht="13">
      <c r="B159" s="148"/>
      <c r="C159" s="148"/>
      <c r="D159" s="148"/>
      <c r="E159" s="148"/>
    </row>
    <row r="160" spans="2:5" ht="13">
      <c r="B160" s="148"/>
      <c r="C160" s="148"/>
      <c r="D160" s="148"/>
      <c r="E160" s="148"/>
    </row>
    <row r="161" spans="2:5" ht="13">
      <c r="B161" s="148"/>
      <c r="C161" s="148"/>
      <c r="D161" s="148"/>
      <c r="E161" s="148"/>
    </row>
    <row r="162" spans="2:5" ht="13">
      <c r="B162" s="148"/>
      <c r="C162" s="148"/>
      <c r="D162" s="148"/>
      <c r="E162" s="148"/>
    </row>
    <row r="163" spans="2:5" ht="13">
      <c r="B163" s="148"/>
      <c r="C163" s="148"/>
      <c r="D163" s="148"/>
      <c r="E163" s="148"/>
    </row>
    <row r="164" spans="2:5" ht="13">
      <c r="B164" s="148"/>
      <c r="C164" s="148"/>
      <c r="D164" s="148"/>
      <c r="E164" s="148"/>
    </row>
    <row r="165" spans="2:5" ht="13">
      <c r="B165" s="148"/>
      <c r="C165" s="148"/>
      <c r="D165" s="148"/>
      <c r="E165" s="148"/>
    </row>
    <row r="166" spans="2:5" ht="13">
      <c r="B166" s="148"/>
      <c r="C166" s="148"/>
      <c r="D166" s="148"/>
      <c r="E166" s="148"/>
    </row>
    <row r="167" spans="2:5" ht="13">
      <c r="B167" s="148"/>
      <c r="C167" s="148"/>
      <c r="D167" s="148"/>
      <c r="E167" s="148"/>
    </row>
    <row r="168" spans="2:5" ht="13">
      <c r="B168" s="148"/>
      <c r="C168" s="148"/>
      <c r="D168" s="148"/>
      <c r="E168" s="148"/>
    </row>
    <row r="169" spans="2:5" ht="13">
      <c r="B169" s="148"/>
      <c r="C169" s="148"/>
      <c r="D169" s="148"/>
      <c r="E169" s="148"/>
    </row>
    <row r="170" spans="2:5" ht="13">
      <c r="B170" s="148"/>
      <c r="C170" s="148"/>
      <c r="D170" s="148"/>
      <c r="E170" s="148"/>
    </row>
    <row r="171" spans="2:5" ht="13">
      <c r="B171" s="148"/>
      <c r="C171" s="148"/>
      <c r="D171" s="148"/>
      <c r="E171" s="148"/>
    </row>
    <row r="172" spans="2:5" ht="13">
      <c r="B172" s="148"/>
      <c r="C172" s="148"/>
      <c r="D172" s="148"/>
      <c r="E172" s="148"/>
    </row>
    <row r="173" spans="2:5" ht="13">
      <c r="B173" s="148"/>
      <c r="C173" s="148"/>
      <c r="D173" s="148"/>
      <c r="E173" s="148"/>
    </row>
    <row r="174" spans="2:5" ht="13">
      <c r="B174" s="148"/>
      <c r="C174" s="148"/>
      <c r="D174" s="148"/>
      <c r="E174" s="148"/>
    </row>
    <row r="175" spans="2:5" ht="13">
      <c r="B175" s="148"/>
      <c r="C175" s="148"/>
      <c r="D175" s="148"/>
      <c r="E175" s="148"/>
    </row>
    <row r="176" spans="2:5" ht="13">
      <c r="B176" s="148"/>
      <c r="C176" s="148"/>
      <c r="D176" s="148"/>
      <c r="E176" s="148"/>
    </row>
    <row r="177" spans="2:5" ht="13">
      <c r="B177" s="148"/>
      <c r="C177" s="148"/>
      <c r="D177" s="148"/>
      <c r="E177" s="148"/>
    </row>
    <row r="178" spans="2:5" ht="13">
      <c r="B178" s="148"/>
      <c r="C178" s="148"/>
      <c r="D178" s="148"/>
      <c r="E178" s="148"/>
    </row>
    <row r="179" spans="2:5" ht="13">
      <c r="B179" s="148"/>
      <c r="C179" s="148"/>
      <c r="D179" s="148"/>
      <c r="E179" s="148"/>
    </row>
    <row r="180" spans="2:5" ht="13">
      <c r="B180" s="148"/>
      <c r="C180" s="148"/>
      <c r="D180" s="148"/>
      <c r="E180" s="148"/>
    </row>
    <row r="181" spans="2:5" ht="13">
      <c r="B181" s="148"/>
      <c r="C181" s="148"/>
      <c r="D181" s="148"/>
      <c r="E181" s="148"/>
    </row>
    <row r="182" spans="2:5" ht="13">
      <c r="B182" s="148"/>
      <c r="C182" s="148"/>
      <c r="D182" s="148"/>
      <c r="E182" s="148"/>
    </row>
    <row r="183" spans="2:5" ht="13">
      <c r="B183" s="148"/>
      <c r="C183" s="148"/>
      <c r="D183" s="148"/>
      <c r="E183" s="148"/>
    </row>
    <row r="184" spans="2:5" ht="13">
      <c r="B184" s="148"/>
      <c r="C184" s="148"/>
      <c r="D184" s="148"/>
      <c r="E184" s="148"/>
    </row>
    <row r="185" spans="2:5" ht="13">
      <c r="B185" s="148"/>
      <c r="C185" s="148"/>
      <c r="D185" s="148"/>
      <c r="E185" s="148"/>
    </row>
    <row r="186" spans="2:5" ht="13">
      <c r="B186" s="148"/>
      <c r="C186" s="148"/>
      <c r="D186" s="148"/>
      <c r="E186" s="148"/>
    </row>
    <row r="187" spans="2:5" ht="13">
      <c r="B187" s="148"/>
      <c r="C187" s="148"/>
      <c r="D187" s="148"/>
      <c r="E187" s="148"/>
    </row>
    <row r="188" spans="2:5" ht="13">
      <c r="B188" s="148"/>
      <c r="C188" s="148"/>
      <c r="D188" s="148"/>
      <c r="E188" s="148"/>
    </row>
    <row r="189" spans="2:5" ht="13">
      <c r="B189" s="148"/>
      <c r="C189" s="148"/>
      <c r="D189" s="148"/>
      <c r="E189" s="148"/>
    </row>
    <row r="190" spans="2:5" ht="13">
      <c r="B190" s="148"/>
      <c r="C190" s="148"/>
      <c r="D190" s="148"/>
      <c r="E190" s="148"/>
    </row>
    <row r="191" spans="2:5" ht="13">
      <c r="B191" s="148"/>
      <c r="C191" s="148"/>
      <c r="D191" s="148"/>
      <c r="E191" s="148"/>
    </row>
    <row r="192" spans="2:5" ht="13">
      <c r="B192" s="148"/>
      <c r="C192" s="148"/>
      <c r="D192" s="148"/>
      <c r="E192" s="148"/>
    </row>
    <row r="193" spans="2:5" ht="13">
      <c r="B193" s="148"/>
      <c r="C193" s="148"/>
      <c r="D193" s="148"/>
      <c r="E193" s="148"/>
    </row>
    <row r="194" spans="2:5" ht="13">
      <c r="B194" s="148"/>
      <c r="C194" s="148"/>
      <c r="D194" s="148"/>
      <c r="E194" s="148"/>
    </row>
    <row r="195" spans="2:5" ht="13">
      <c r="B195" s="148"/>
      <c r="C195" s="148"/>
      <c r="D195" s="148"/>
      <c r="E195" s="148"/>
    </row>
    <row r="196" spans="2:5" ht="13">
      <c r="B196" s="148"/>
      <c r="C196" s="148"/>
      <c r="D196" s="148"/>
      <c r="E196" s="148"/>
    </row>
    <row r="197" spans="2:5" ht="13">
      <c r="B197" s="148"/>
      <c r="C197" s="148"/>
      <c r="D197" s="148"/>
      <c r="E197" s="148"/>
    </row>
    <row r="198" spans="2:5" ht="13">
      <c r="B198" s="148"/>
      <c r="C198" s="148"/>
      <c r="D198" s="148"/>
      <c r="E198" s="148"/>
    </row>
    <row r="199" spans="2:5" ht="13">
      <c r="B199" s="148"/>
      <c r="C199" s="148"/>
      <c r="D199" s="148"/>
      <c r="E199" s="148"/>
    </row>
    <row r="200" spans="2:5" ht="13">
      <c r="B200" s="148"/>
      <c r="C200" s="148"/>
      <c r="D200" s="148"/>
      <c r="E200" s="148"/>
    </row>
    <row r="201" spans="2:5" ht="13">
      <c r="B201" s="148"/>
      <c r="C201" s="148"/>
      <c r="D201" s="148"/>
      <c r="E201" s="148"/>
    </row>
    <row r="202" spans="2:5" ht="13">
      <c r="B202" s="148"/>
      <c r="C202" s="148"/>
      <c r="D202" s="148"/>
      <c r="E202" s="148"/>
    </row>
    <row r="203" spans="2:5" ht="13">
      <c r="B203" s="148"/>
      <c r="C203" s="148"/>
      <c r="D203" s="148"/>
      <c r="E203" s="148"/>
    </row>
    <row r="204" spans="2:5" ht="13">
      <c r="B204" s="148"/>
      <c r="C204" s="148"/>
      <c r="D204" s="148"/>
      <c r="E204" s="148"/>
    </row>
    <row r="205" spans="2:5" ht="13">
      <c r="B205" s="148"/>
      <c r="C205" s="148"/>
      <c r="D205" s="148"/>
      <c r="E205" s="148"/>
    </row>
    <row r="206" spans="2:5" ht="13">
      <c r="B206" s="148"/>
      <c r="C206" s="148"/>
      <c r="D206" s="148"/>
      <c r="E206" s="148"/>
    </row>
    <row r="207" spans="2:5" ht="13">
      <c r="B207" s="148"/>
      <c r="C207" s="148"/>
      <c r="D207" s="148"/>
      <c r="E207" s="148"/>
    </row>
    <row r="208" spans="2:5" ht="13">
      <c r="B208" s="148"/>
      <c r="C208" s="148"/>
      <c r="D208" s="148"/>
      <c r="E208" s="148"/>
    </row>
    <row r="209" spans="2:5" ht="13">
      <c r="B209" s="148"/>
      <c r="C209" s="148"/>
      <c r="D209" s="148"/>
      <c r="E209" s="148"/>
    </row>
    <row r="210" spans="2:5" ht="13">
      <c r="B210" s="148"/>
      <c r="C210" s="148"/>
      <c r="D210" s="148"/>
      <c r="E210" s="148"/>
    </row>
    <row r="211" spans="2:5" ht="13">
      <c r="B211" s="148"/>
      <c r="C211" s="148"/>
      <c r="D211" s="148"/>
      <c r="E211" s="148"/>
    </row>
    <row r="212" spans="2:5" ht="13">
      <c r="B212" s="148"/>
      <c r="C212" s="148"/>
      <c r="D212" s="148"/>
      <c r="E212" s="148"/>
    </row>
    <row r="213" spans="2:5" ht="13">
      <c r="B213" s="148"/>
      <c r="C213" s="148"/>
      <c r="D213" s="148"/>
      <c r="E213" s="148"/>
    </row>
    <row r="214" spans="2:5" ht="13">
      <c r="B214" s="148"/>
      <c r="C214" s="148"/>
      <c r="D214" s="148"/>
      <c r="E214" s="148"/>
    </row>
    <row r="215" spans="2:5" ht="13">
      <c r="B215" s="148"/>
      <c r="C215" s="148"/>
      <c r="D215" s="148"/>
      <c r="E215" s="148"/>
    </row>
    <row r="216" spans="2:5" ht="13">
      <c r="B216" s="148"/>
      <c r="C216" s="148"/>
      <c r="D216" s="148"/>
      <c r="E216" s="148"/>
    </row>
    <row r="217" spans="2:5" ht="13">
      <c r="B217" s="148"/>
      <c r="C217" s="148"/>
      <c r="D217" s="148"/>
      <c r="E217" s="148"/>
    </row>
    <row r="218" spans="2:5" ht="13">
      <c r="B218" s="148"/>
      <c r="C218" s="148"/>
      <c r="D218" s="148"/>
      <c r="E218" s="148"/>
    </row>
    <row r="219" spans="2:5" ht="13">
      <c r="B219" s="148"/>
      <c r="C219" s="148"/>
      <c r="D219" s="148"/>
      <c r="E219" s="148"/>
    </row>
    <row r="220" spans="2:5" ht="13">
      <c r="B220" s="148"/>
      <c r="C220" s="148"/>
      <c r="D220" s="148"/>
      <c r="E220" s="148"/>
    </row>
    <row r="221" spans="2:5" ht="13">
      <c r="B221" s="148"/>
      <c r="C221" s="148"/>
      <c r="D221" s="148"/>
      <c r="E221" s="148"/>
    </row>
    <row r="222" spans="2:5" ht="13">
      <c r="B222" s="148"/>
      <c r="C222" s="148"/>
      <c r="D222" s="148"/>
      <c r="E222" s="148"/>
    </row>
    <row r="223" spans="2:5" ht="13">
      <c r="B223" s="148"/>
      <c r="C223" s="148"/>
      <c r="D223" s="148"/>
      <c r="E223" s="148"/>
    </row>
    <row r="224" spans="2:5" ht="13">
      <c r="B224" s="148"/>
      <c r="C224" s="148"/>
      <c r="D224" s="148"/>
      <c r="E224" s="148"/>
    </row>
    <row r="225" spans="2:5" ht="13">
      <c r="B225" s="148"/>
      <c r="C225" s="148"/>
      <c r="D225" s="148"/>
      <c r="E225" s="148"/>
    </row>
    <row r="226" spans="2:5" ht="13">
      <c r="B226" s="148"/>
      <c r="C226" s="148"/>
      <c r="D226" s="148"/>
      <c r="E226" s="148"/>
    </row>
    <row r="227" spans="2:5" ht="13">
      <c r="B227" s="148"/>
      <c r="C227" s="148"/>
      <c r="D227" s="148"/>
      <c r="E227" s="148"/>
    </row>
    <row r="228" spans="2:5" ht="13">
      <c r="B228" s="148"/>
      <c r="C228" s="148"/>
      <c r="D228" s="148"/>
      <c r="E228" s="148"/>
    </row>
    <row r="229" spans="2:5" ht="13">
      <c r="B229" s="148"/>
      <c r="C229" s="148"/>
      <c r="D229" s="148"/>
      <c r="E229" s="148"/>
    </row>
    <row r="230" spans="2:5" ht="13">
      <c r="B230" s="148"/>
      <c r="C230" s="148"/>
      <c r="D230" s="148"/>
      <c r="E230" s="148"/>
    </row>
    <row r="231" spans="2:5" ht="13">
      <c r="B231" s="148"/>
      <c r="C231" s="148"/>
      <c r="D231" s="148"/>
      <c r="E231" s="148"/>
    </row>
    <row r="232" spans="2:5" ht="13">
      <c r="B232" s="148"/>
      <c r="C232" s="148"/>
      <c r="D232" s="148"/>
      <c r="E232" s="148"/>
    </row>
    <row r="233" spans="2:5" ht="13">
      <c r="B233" s="148"/>
      <c r="C233" s="148"/>
      <c r="D233" s="148"/>
      <c r="E233" s="148"/>
    </row>
    <row r="234" spans="2:5" ht="13">
      <c r="B234" s="148"/>
      <c r="C234" s="148"/>
      <c r="D234" s="148"/>
      <c r="E234" s="148"/>
    </row>
    <row r="235" spans="2:5" ht="13">
      <c r="B235" s="148"/>
      <c r="C235" s="148"/>
      <c r="D235" s="148"/>
      <c r="E235" s="148"/>
    </row>
    <row r="236" spans="2:5" ht="13">
      <c r="B236" s="148"/>
      <c r="C236" s="148"/>
      <c r="D236" s="148"/>
      <c r="E236" s="148"/>
    </row>
    <row r="237" spans="2:5" ht="13">
      <c r="B237" s="148"/>
      <c r="C237" s="148"/>
      <c r="D237" s="148"/>
      <c r="E237" s="148"/>
    </row>
    <row r="238" spans="2:5" ht="13">
      <c r="B238" s="148"/>
      <c r="C238" s="148"/>
      <c r="D238" s="148"/>
      <c r="E238" s="148"/>
    </row>
    <row r="239" spans="2:5" ht="13">
      <c r="B239" s="148"/>
      <c r="C239" s="148"/>
      <c r="D239" s="148"/>
      <c r="E239" s="148"/>
    </row>
    <row r="240" spans="2:5" ht="13">
      <c r="B240" s="148"/>
      <c r="C240" s="148"/>
      <c r="D240" s="148"/>
      <c r="E240" s="148"/>
    </row>
    <row r="241" spans="2:5" ht="13">
      <c r="B241" s="148"/>
      <c r="C241" s="148"/>
      <c r="D241" s="148"/>
      <c r="E241" s="148"/>
    </row>
    <row r="242" spans="2:5" ht="13">
      <c r="B242" s="148"/>
      <c r="C242" s="148"/>
      <c r="D242" s="148"/>
      <c r="E242" s="148"/>
    </row>
    <row r="243" spans="2:5" ht="13">
      <c r="B243" s="148"/>
      <c r="C243" s="148"/>
      <c r="D243" s="148"/>
      <c r="E243" s="148"/>
    </row>
    <row r="244" spans="2:5" ht="13">
      <c r="B244" s="148"/>
      <c r="C244" s="148"/>
      <c r="D244" s="148"/>
      <c r="E244" s="148"/>
    </row>
    <row r="245" spans="2:5" ht="13">
      <c r="B245" s="148"/>
      <c r="C245" s="148"/>
      <c r="D245" s="148"/>
      <c r="E245" s="148"/>
    </row>
    <row r="246" spans="2:5" ht="13">
      <c r="B246" s="148"/>
      <c r="C246" s="148"/>
      <c r="D246" s="148"/>
      <c r="E246" s="148"/>
    </row>
    <row r="247" spans="2:5" ht="13">
      <c r="B247" s="148"/>
      <c r="C247" s="148"/>
      <c r="D247" s="148"/>
      <c r="E247" s="148"/>
    </row>
    <row r="248" spans="2:5" ht="13">
      <c r="B248" s="148"/>
      <c r="C248" s="148"/>
      <c r="D248" s="148"/>
      <c r="E248" s="148"/>
    </row>
    <row r="249" spans="2:5" ht="13">
      <c r="B249" s="148"/>
      <c r="C249" s="148"/>
      <c r="D249" s="148"/>
      <c r="E249" s="148"/>
    </row>
    <row r="250" spans="2:5" ht="13">
      <c r="B250" s="148"/>
      <c r="C250" s="148"/>
      <c r="D250" s="148"/>
      <c r="E250" s="148"/>
    </row>
    <row r="251" spans="2:5" ht="13">
      <c r="B251" s="148"/>
      <c r="C251" s="148"/>
      <c r="D251" s="148"/>
      <c r="E251" s="148"/>
    </row>
    <row r="252" spans="2:5" ht="13">
      <c r="B252" s="148"/>
      <c r="C252" s="148"/>
      <c r="D252" s="148"/>
      <c r="E252" s="148"/>
    </row>
    <row r="253" spans="2:5" ht="13">
      <c r="B253" s="148"/>
      <c r="C253" s="148"/>
      <c r="D253" s="148"/>
      <c r="E253" s="148"/>
    </row>
    <row r="254" spans="2:5" ht="13">
      <c r="B254" s="148"/>
      <c r="C254" s="148"/>
      <c r="D254" s="148"/>
      <c r="E254" s="148"/>
    </row>
    <row r="255" spans="2:5" ht="13">
      <c r="B255" s="148"/>
      <c r="C255" s="148"/>
      <c r="D255" s="148"/>
      <c r="E255" s="148"/>
    </row>
    <row r="256" spans="2:5" ht="13">
      <c r="B256" s="148"/>
      <c r="C256" s="148"/>
      <c r="D256" s="148"/>
      <c r="E256" s="148"/>
    </row>
    <row r="257" spans="2:5" ht="13">
      <c r="B257" s="148"/>
      <c r="C257" s="148"/>
      <c r="D257" s="148"/>
      <c r="E257" s="148"/>
    </row>
    <row r="258" spans="2:5" ht="13">
      <c r="B258" s="148"/>
      <c r="C258" s="148"/>
      <c r="D258" s="148"/>
      <c r="E258" s="148"/>
    </row>
    <row r="259" spans="2:5" ht="13">
      <c r="B259" s="148"/>
      <c r="C259" s="148"/>
      <c r="D259" s="148"/>
      <c r="E259" s="148"/>
    </row>
    <row r="260" spans="2:5" ht="13">
      <c r="B260" s="148"/>
      <c r="C260" s="148"/>
      <c r="D260" s="148"/>
      <c r="E260" s="148"/>
    </row>
    <row r="261" spans="2:5" ht="13">
      <c r="B261" s="148"/>
      <c r="C261" s="148"/>
      <c r="D261" s="148"/>
      <c r="E261" s="148"/>
    </row>
    <row r="262" spans="2:5" ht="13">
      <c r="B262" s="148"/>
      <c r="C262" s="148"/>
      <c r="D262" s="148"/>
      <c r="E262" s="148"/>
    </row>
    <row r="263" spans="2:5" ht="13">
      <c r="B263" s="148"/>
      <c r="C263" s="148"/>
      <c r="D263" s="148"/>
      <c r="E263" s="148"/>
    </row>
    <row r="264" spans="2:5" ht="13">
      <c r="B264" s="148"/>
      <c r="C264" s="148"/>
      <c r="D264" s="148"/>
      <c r="E264" s="148"/>
    </row>
    <row r="265" spans="2:5" ht="13">
      <c r="B265" s="148"/>
      <c r="C265" s="148"/>
      <c r="D265" s="148"/>
      <c r="E265" s="148"/>
    </row>
    <row r="266" spans="2:5" ht="13">
      <c r="B266" s="148"/>
      <c r="C266" s="148"/>
      <c r="D266" s="148"/>
      <c r="E266" s="148"/>
    </row>
    <row r="267" spans="2:5" ht="13">
      <c r="B267" s="148"/>
      <c r="C267" s="148"/>
      <c r="D267" s="148"/>
      <c r="E267" s="148"/>
    </row>
    <row r="268" spans="2:5" ht="13">
      <c r="B268" s="148"/>
      <c r="C268" s="148"/>
      <c r="D268" s="148"/>
      <c r="E268" s="148"/>
    </row>
    <row r="269" spans="2:5" ht="13">
      <c r="B269" s="148"/>
      <c r="C269" s="148"/>
      <c r="D269" s="148"/>
      <c r="E269" s="148"/>
    </row>
    <row r="270" spans="2:5" ht="13">
      <c r="B270" s="148"/>
      <c r="C270" s="148"/>
      <c r="D270" s="148"/>
      <c r="E270" s="148"/>
    </row>
    <row r="271" spans="2:5" ht="13">
      <c r="B271" s="148"/>
      <c r="C271" s="148"/>
      <c r="D271" s="148"/>
      <c r="E271" s="148"/>
    </row>
    <row r="272" spans="2:5" ht="13">
      <c r="B272" s="148"/>
      <c r="C272" s="148"/>
      <c r="D272" s="148"/>
      <c r="E272" s="148"/>
    </row>
    <row r="273" spans="2:5" ht="13">
      <c r="B273" s="148"/>
      <c r="C273" s="148"/>
      <c r="D273" s="148"/>
      <c r="E273" s="148"/>
    </row>
    <row r="274" spans="2:5" ht="13">
      <c r="B274" s="148"/>
      <c r="C274" s="148"/>
      <c r="D274" s="148"/>
      <c r="E274" s="148"/>
    </row>
    <row r="275" spans="2:5" ht="13">
      <c r="B275" s="148"/>
      <c r="C275" s="148"/>
      <c r="D275" s="148"/>
      <c r="E275" s="148"/>
    </row>
    <row r="276" spans="2:5" ht="13">
      <c r="B276" s="148"/>
      <c r="C276" s="148"/>
      <c r="D276" s="148"/>
      <c r="E276" s="148"/>
    </row>
    <row r="277" spans="2:5" ht="13">
      <c r="B277" s="148"/>
      <c r="C277" s="148"/>
      <c r="D277" s="148"/>
      <c r="E277" s="148"/>
    </row>
    <row r="278" spans="2:5" ht="13">
      <c r="B278" s="148"/>
      <c r="C278" s="148"/>
      <c r="D278" s="148"/>
      <c r="E278" s="148"/>
    </row>
    <row r="279" spans="2:5" ht="13">
      <c r="B279" s="148"/>
      <c r="C279" s="148"/>
      <c r="D279" s="148"/>
      <c r="E279" s="148"/>
    </row>
    <row r="280" spans="2:5" ht="13">
      <c r="B280" s="148"/>
      <c r="C280" s="148"/>
      <c r="D280" s="148"/>
      <c r="E280" s="148"/>
    </row>
    <row r="281" spans="2:5" ht="13">
      <c r="B281" s="148"/>
      <c r="C281" s="148"/>
      <c r="D281" s="148"/>
      <c r="E281" s="148"/>
    </row>
    <row r="282" spans="2:5" ht="13">
      <c r="B282" s="148"/>
      <c r="C282" s="148"/>
      <c r="D282" s="148"/>
      <c r="E282" s="148"/>
    </row>
    <row r="283" spans="2:5" ht="13">
      <c r="B283" s="148"/>
      <c r="C283" s="148"/>
      <c r="D283" s="148"/>
      <c r="E283" s="148"/>
    </row>
    <row r="284" spans="2:5" ht="13">
      <c r="B284" s="148"/>
      <c r="C284" s="148"/>
      <c r="D284" s="148"/>
      <c r="E284" s="148"/>
    </row>
    <row r="285" spans="2:5" ht="13">
      <c r="B285" s="148"/>
      <c r="C285" s="148"/>
      <c r="D285" s="148"/>
      <c r="E285" s="148"/>
    </row>
    <row r="286" spans="2:5" ht="13">
      <c r="B286" s="148"/>
      <c r="C286" s="148"/>
      <c r="D286" s="148"/>
      <c r="E286" s="148"/>
    </row>
    <row r="287" spans="2:5" ht="13">
      <c r="B287" s="148"/>
      <c r="C287" s="148"/>
      <c r="D287" s="148"/>
      <c r="E287" s="148"/>
    </row>
    <row r="288" spans="2:5" ht="13">
      <c r="B288" s="148"/>
      <c r="C288" s="148"/>
      <c r="D288" s="148"/>
      <c r="E288" s="148"/>
    </row>
    <row r="289" spans="2:5" ht="13">
      <c r="B289" s="148"/>
      <c r="C289" s="148"/>
      <c r="D289" s="148"/>
      <c r="E289" s="148"/>
    </row>
    <row r="290" spans="2:5" ht="13">
      <c r="B290" s="148"/>
      <c r="C290" s="148"/>
      <c r="D290" s="148"/>
      <c r="E290" s="148"/>
    </row>
    <row r="291" spans="2:5" ht="13">
      <c r="B291" s="148"/>
      <c r="C291" s="148"/>
      <c r="D291" s="148"/>
      <c r="E291" s="148"/>
    </row>
    <row r="292" spans="2:5" ht="13">
      <c r="B292" s="148"/>
      <c r="C292" s="148"/>
      <c r="D292" s="148"/>
      <c r="E292" s="148"/>
    </row>
    <row r="293" spans="2:5" ht="13">
      <c r="B293" s="148"/>
      <c r="C293" s="148"/>
      <c r="D293" s="148"/>
      <c r="E293" s="148"/>
    </row>
    <row r="294" spans="2:5" ht="13">
      <c r="B294" s="148"/>
      <c r="C294" s="148"/>
      <c r="D294" s="148"/>
      <c r="E294" s="148"/>
    </row>
    <row r="295" spans="2:5" ht="13">
      <c r="B295" s="148"/>
      <c r="C295" s="148"/>
      <c r="D295" s="148"/>
      <c r="E295" s="148"/>
    </row>
    <row r="296" spans="2:5" ht="13">
      <c r="B296" s="148"/>
      <c r="C296" s="148"/>
      <c r="D296" s="148"/>
      <c r="E296" s="148"/>
    </row>
    <row r="297" spans="2:5" ht="13">
      <c r="B297" s="148"/>
      <c r="C297" s="148"/>
      <c r="D297" s="148"/>
      <c r="E297" s="148"/>
    </row>
    <row r="298" spans="2:5" ht="13">
      <c r="B298" s="148"/>
      <c r="C298" s="148"/>
      <c r="D298" s="148"/>
      <c r="E298" s="148"/>
    </row>
    <row r="299" spans="2:5" ht="13">
      <c r="B299" s="148"/>
      <c r="C299" s="148"/>
      <c r="D299" s="148"/>
      <c r="E299" s="148"/>
    </row>
    <row r="300" spans="2:5" ht="13">
      <c r="B300" s="148"/>
      <c r="C300" s="148"/>
      <c r="D300" s="148"/>
      <c r="E300" s="148"/>
    </row>
    <row r="301" spans="2:5" ht="13">
      <c r="B301" s="148"/>
      <c r="C301" s="148"/>
      <c r="D301" s="148"/>
      <c r="E301" s="148"/>
    </row>
    <row r="302" spans="2:5" ht="13">
      <c r="B302" s="148"/>
      <c r="C302" s="148"/>
      <c r="D302" s="148"/>
      <c r="E302" s="148"/>
    </row>
    <row r="303" spans="2:5" ht="13">
      <c r="B303" s="148"/>
      <c r="C303" s="148"/>
      <c r="D303" s="148"/>
      <c r="E303" s="148"/>
    </row>
    <row r="304" spans="2:5" ht="13">
      <c r="B304" s="148"/>
      <c r="C304" s="148"/>
      <c r="D304" s="148"/>
      <c r="E304" s="148"/>
    </row>
    <row r="305" spans="2:5" ht="13">
      <c r="B305" s="148"/>
      <c r="C305" s="148"/>
      <c r="D305" s="148"/>
      <c r="E305" s="148"/>
    </row>
    <row r="306" spans="2:5" ht="13">
      <c r="B306" s="148"/>
      <c r="C306" s="148"/>
      <c r="D306" s="148"/>
      <c r="E306" s="148"/>
    </row>
    <row r="307" spans="2:5" ht="13">
      <c r="B307" s="148"/>
      <c r="C307" s="148"/>
      <c r="D307" s="148"/>
      <c r="E307" s="148"/>
    </row>
    <row r="308" spans="2:5" ht="13">
      <c r="B308" s="148"/>
      <c r="C308" s="148"/>
      <c r="D308" s="148"/>
      <c r="E308" s="148"/>
    </row>
    <row r="309" spans="2:5" ht="13">
      <c r="B309" s="148"/>
      <c r="C309" s="148"/>
      <c r="D309" s="148"/>
      <c r="E309" s="148"/>
    </row>
    <row r="310" spans="2:5" ht="13">
      <c r="B310" s="148"/>
      <c r="C310" s="148"/>
      <c r="D310" s="148"/>
      <c r="E310" s="148"/>
    </row>
    <row r="311" spans="2:5" ht="13">
      <c r="B311" s="148"/>
      <c r="C311" s="148"/>
      <c r="D311" s="148"/>
      <c r="E311" s="148"/>
    </row>
    <row r="312" spans="2:5" ht="13">
      <c r="B312" s="148"/>
      <c r="C312" s="148"/>
      <c r="D312" s="148"/>
      <c r="E312" s="148"/>
    </row>
    <row r="313" spans="2:5" ht="13">
      <c r="B313" s="148"/>
      <c r="C313" s="148"/>
      <c r="D313" s="148"/>
      <c r="E313" s="148"/>
    </row>
    <row r="314" spans="2:5" ht="13">
      <c r="B314" s="148"/>
      <c r="C314" s="148"/>
      <c r="D314" s="148"/>
      <c r="E314" s="148"/>
    </row>
    <row r="315" spans="2:5" ht="13">
      <c r="B315" s="148"/>
      <c r="C315" s="148"/>
      <c r="D315" s="148"/>
      <c r="E315" s="148"/>
    </row>
    <row r="316" spans="2:5" ht="13">
      <c r="B316" s="148"/>
      <c r="C316" s="148"/>
      <c r="D316" s="148"/>
      <c r="E316" s="148"/>
    </row>
    <row r="317" spans="2:5" ht="13">
      <c r="B317" s="148"/>
      <c r="C317" s="148"/>
      <c r="D317" s="148"/>
      <c r="E317" s="148"/>
    </row>
    <row r="318" spans="2:5" ht="13">
      <c r="B318" s="148"/>
      <c r="C318" s="148"/>
      <c r="D318" s="148"/>
      <c r="E318" s="148"/>
    </row>
    <row r="319" spans="2:5" ht="13">
      <c r="B319" s="148"/>
      <c r="C319" s="148"/>
      <c r="D319" s="148"/>
      <c r="E319" s="148"/>
    </row>
    <row r="320" spans="2:5" ht="13">
      <c r="B320" s="148"/>
      <c r="C320" s="148"/>
      <c r="D320" s="148"/>
      <c r="E320" s="148"/>
    </row>
    <row r="321" spans="2:5" ht="13">
      <c r="B321" s="148"/>
      <c r="C321" s="148"/>
      <c r="D321" s="148"/>
      <c r="E321" s="148"/>
    </row>
    <row r="322" spans="2:5" ht="13">
      <c r="B322" s="148"/>
      <c r="C322" s="148"/>
      <c r="D322" s="148"/>
      <c r="E322" s="148"/>
    </row>
    <row r="323" spans="2:5" ht="13">
      <c r="B323" s="148"/>
      <c r="C323" s="148"/>
      <c r="D323" s="148"/>
      <c r="E323" s="148"/>
    </row>
    <row r="324" spans="2:5" ht="13">
      <c r="B324" s="148"/>
      <c r="C324" s="148"/>
      <c r="D324" s="148"/>
      <c r="E324" s="148"/>
    </row>
    <row r="325" spans="2:5" ht="13">
      <c r="B325" s="148"/>
      <c r="C325" s="148"/>
      <c r="D325" s="148"/>
      <c r="E325" s="148"/>
    </row>
    <row r="326" spans="2:5" ht="13">
      <c r="B326" s="148"/>
      <c r="C326" s="148"/>
      <c r="D326" s="148"/>
      <c r="E326" s="148"/>
    </row>
    <row r="327" spans="2:5" ht="13">
      <c r="B327" s="148"/>
      <c r="C327" s="148"/>
      <c r="D327" s="148"/>
      <c r="E327" s="148"/>
    </row>
    <row r="328" spans="2:5" ht="13">
      <c r="B328" s="148"/>
      <c r="C328" s="148"/>
      <c r="D328" s="148"/>
      <c r="E328" s="148"/>
    </row>
    <row r="329" spans="2:5" ht="13">
      <c r="B329" s="148"/>
      <c r="C329" s="148"/>
      <c r="D329" s="148"/>
      <c r="E329" s="148"/>
    </row>
    <row r="330" spans="2:5" ht="13">
      <c r="B330" s="148"/>
      <c r="C330" s="148"/>
      <c r="D330" s="148"/>
      <c r="E330" s="148"/>
    </row>
    <row r="331" spans="2:5" ht="13">
      <c r="B331" s="148"/>
      <c r="C331" s="148"/>
      <c r="D331" s="148"/>
      <c r="E331" s="148"/>
    </row>
    <row r="332" spans="2:5" ht="13">
      <c r="B332" s="148"/>
      <c r="C332" s="148"/>
      <c r="D332" s="148"/>
      <c r="E332" s="148"/>
    </row>
    <row r="333" spans="2:5" ht="13">
      <c r="B333" s="148"/>
      <c r="C333" s="148"/>
      <c r="D333" s="148"/>
      <c r="E333" s="148"/>
    </row>
    <row r="334" spans="2:5" ht="13">
      <c r="B334" s="148"/>
      <c r="C334" s="148"/>
      <c r="D334" s="148"/>
      <c r="E334" s="148"/>
    </row>
    <row r="335" spans="2:5" ht="13">
      <c r="B335" s="148"/>
      <c r="C335" s="148"/>
      <c r="D335" s="148"/>
      <c r="E335" s="148"/>
    </row>
    <row r="336" spans="2:5" ht="13">
      <c r="B336" s="148"/>
      <c r="C336" s="148"/>
      <c r="D336" s="148"/>
      <c r="E336" s="148"/>
    </row>
    <row r="337" spans="2:5" ht="13">
      <c r="B337" s="148"/>
      <c r="C337" s="148"/>
      <c r="D337" s="148"/>
      <c r="E337" s="148"/>
    </row>
    <row r="338" spans="2:5" ht="13">
      <c r="B338" s="148"/>
      <c r="C338" s="148"/>
      <c r="D338" s="148"/>
      <c r="E338" s="148"/>
    </row>
    <row r="339" spans="2:5" ht="13">
      <c r="B339" s="148"/>
      <c r="C339" s="148"/>
      <c r="D339" s="148"/>
      <c r="E339" s="148"/>
    </row>
    <row r="340" spans="2:5" ht="13">
      <c r="B340" s="148"/>
      <c r="C340" s="148"/>
      <c r="D340" s="148"/>
      <c r="E340" s="148"/>
    </row>
    <row r="341" spans="2:5" ht="13">
      <c r="B341" s="148"/>
      <c r="C341" s="148"/>
      <c r="D341" s="148"/>
      <c r="E341" s="148"/>
    </row>
    <row r="342" spans="2:5" ht="13">
      <c r="B342" s="148"/>
      <c r="C342" s="148"/>
      <c r="D342" s="148"/>
      <c r="E342" s="148"/>
    </row>
    <row r="343" spans="2:5" ht="13">
      <c r="B343" s="148"/>
      <c r="C343" s="148"/>
      <c r="D343" s="148"/>
      <c r="E343" s="148"/>
    </row>
    <row r="344" spans="2:5" ht="13">
      <c r="B344" s="148"/>
      <c r="C344" s="148"/>
      <c r="D344" s="148"/>
      <c r="E344" s="148"/>
    </row>
    <row r="345" spans="2:5" ht="13">
      <c r="B345" s="148"/>
      <c r="C345" s="148"/>
      <c r="D345" s="148"/>
      <c r="E345" s="148"/>
    </row>
    <row r="346" spans="2:5" ht="13">
      <c r="B346" s="148"/>
      <c r="C346" s="148"/>
      <c r="D346" s="148"/>
      <c r="E346" s="148"/>
    </row>
    <row r="347" spans="2:5" ht="13">
      <c r="B347" s="148"/>
      <c r="C347" s="148"/>
      <c r="D347" s="148"/>
      <c r="E347" s="148"/>
    </row>
    <row r="348" spans="2:5" ht="13">
      <c r="B348" s="148"/>
      <c r="C348" s="148"/>
      <c r="D348" s="148"/>
      <c r="E348" s="148"/>
    </row>
    <row r="349" spans="2:5" ht="13">
      <c r="B349" s="148"/>
      <c r="C349" s="148"/>
      <c r="D349" s="148"/>
      <c r="E349" s="148"/>
    </row>
    <row r="350" spans="2:5" ht="13">
      <c r="B350" s="148"/>
      <c r="C350" s="148"/>
      <c r="D350" s="148"/>
      <c r="E350" s="148"/>
    </row>
    <row r="351" spans="2:5" ht="13">
      <c r="B351" s="148"/>
      <c r="C351" s="148"/>
      <c r="D351" s="148"/>
      <c r="E351" s="148"/>
    </row>
    <row r="352" spans="2:5" ht="13">
      <c r="B352" s="148"/>
      <c r="C352" s="148"/>
      <c r="D352" s="148"/>
      <c r="E352" s="148"/>
    </row>
    <row r="353" spans="2:5" ht="13">
      <c r="B353" s="148"/>
      <c r="C353" s="148"/>
      <c r="D353" s="148"/>
      <c r="E353" s="148"/>
    </row>
    <row r="354" spans="2:5" ht="13">
      <c r="B354" s="148"/>
      <c r="C354" s="148"/>
      <c r="D354" s="148"/>
      <c r="E354" s="148"/>
    </row>
    <row r="355" spans="2:5" ht="13">
      <c r="B355" s="148"/>
      <c r="C355" s="148"/>
      <c r="D355" s="148"/>
      <c r="E355" s="148"/>
    </row>
    <row r="356" spans="2:5" ht="13">
      <c r="B356" s="148"/>
      <c r="C356" s="148"/>
      <c r="D356" s="148"/>
      <c r="E356" s="148"/>
    </row>
    <row r="357" spans="2:5" ht="13">
      <c r="B357" s="148"/>
      <c r="C357" s="148"/>
      <c r="D357" s="148"/>
      <c r="E357" s="148"/>
    </row>
    <row r="358" spans="2:5" ht="13">
      <c r="B358" s="148"/>
      <c r="C358" s="148"/>
      <c r="D358" s="148"/>
      <c r="E358" s="148"/>
    </row>
    <row r="359" spans="2:5" ht="13">
      <c r="B359" s="148"/>
      <c r="C359" s="148"/>
      <c r="D359" s="148"/>
      <c r="E359" s="148"/>
    </row>
    <row r="360" spans="2:5" ht="13">
      <c r="B360" s="148"/>
      <c r="C360" s="148"/>
      <c r="D360" s="148"/>
      <c r="E360" s="148"/>
    </row>
    <row r="361" spans="2:5" ht="13">
      <c r="B361" s="148"/>
      <c r="C361" s="148"/>
      <c r="D361" s="148"/>
      <c r="E361" s="148"/>
    </row>
    <row r="362" spans="2:5" ht="13">
      <c r="B362" s="148"/>
      <c r="C362" s="148"/>
      <c r="D362" s="148"/>
      <c r="E362" s="148"/>
    </row>
    <row r="363" spans="2:5" ht="13">
      <c r="B363" s="148"/>
      <c r="C363" s="148"/>
      <c r="D363" s="148"/>
      <c r="E363" s="148"/>
    </row>
    <row r="364" spans="2:5" ht="13">
      <c r="B364" s="148"/>
      <c r="C364" s="148"/>
      <c r="D364" s="148"/>
      <c r="E364" s="148"/>
    </row>
    <row r="365" spans="2:5" ht="13">
      <c r="B365" s="148"/>
      <c r="C365" s="148"/>
      <c r="D365" s="148"/>
      <c r="E365" s="148"/>
    </row>
    <row r="366" spans="2:5" ht="13">
      <c r="B366" s="148"/>
      <c r="C366" s="148"/>
      <c r="D366" s="148"/>
      <c r="E366" s="148"/>
    </row>
    <row r="367" spans="2:5" ht="13">
      <c r="B367" s="148"/>
      <c r="C367" s="148"/>
      <c r="D367" s="148"/>
      <c r="E367" s="148"/>
    </row>
    <row r="368" spans="2:5" ht="13">
      <c r="B368" s="148"/>
      <c r="C368" s="148"/>
      <c r="D368" s="148"/>
      <c r="E368" s="148"/>
    </row>
    <row r="369" spans="2:5" ht="13">
      <c r="B369" s="148"/>
      <c r="C369" s="148"/>
      <c r="D369" s="148"/>
      <c r="E369" s="148"/>
    </row>
    <row r="370" spans="2:5" ht="13">
      <c r="B370" s="148"/>
      <c r="C370" s="148"/>
      <c r="D370" s="148"/>
      <c r="E370" s="148"/>
    </row>
    <row r="371" spans="2:5" ht="13">
      <c r="B371" s="148"/>
      <c r="C371" s="148"/>
      <c r="D371" s="148"/>
      <c r="E371" s="148"/>
    </row>
    <row r="372" spans="2:5" ht="13">
      <c r="B372" s="148"/>
      <c r="C372" s="148"/>
      <c r="D372" s="148"/>
      <c r="E372" s="148"/>
    </row>
    <row r="373" spans="2:5" ht="13">
      <c r="B373" s="148"/>
      <c r="C373" s="148"/>
      <c r="D373" s="148"/>
      <c r="E373" s="148"/>
    </row>
    <row r="374" spans="2:5" ht="13">
      <c r="B374" s="148"/>
      <c r="C374" s="148"/>
      <c r="D374" s="148"/>
      <c r="E374" s="148"/>
    </row>
    <row r="375" spans="2:5" ht="13">
      <c r="B375" s="148"/>
      <c r="C375" s="148"/>
      <c r="D375" s="148"/>
      <c r="E375" s="148"/>
    </row>
    <row r="376" spans="2:5" ht="13">
      <c r="B376" s="148"/>
      <c r="C376" s="148"/>
      <c r="D376" s="148"/>
      <c r="E376" s="148"/>
    </row>
    <row r="377" spans="2:5" ht="13">
      <c r="B377" s="148"/>
      <c r="C377" s="148"/>
      <c r="D377" s="148"/>
      <c r="E377" s="148"/>
    </row>
    <row r="378" spans="2:5" ht="13">
      <c r="B378" s="148"/>
      <c r="C378" s="148"/>
      <c r="D378" s="148"/>
      <c r="E378" s="148"/>
    </row>
    <row r="379" spans="2:5" ht="13">
      <c r="B379" s="148"/>
      <c r="C379" s="148"/>
      <c r="D379" s="148"/>
      <c r="E379" s="148"/>
    </row>
    <row r="380" spans="2:5" ht="13">
      <c r="B380" s="148"/>
      <c r="C380" s="148"/>
      <c r="D380" s="148"/>
      <c r="E380" s="148"/>
    </row>
    <row r="381" spans="2:5" ht="13">
      <c r="B381" s="148"/>
      <c r="C381" s="148"/>
      <c r="D381" s="148"/>
      <c r="E381" s="148"/>
    </row>
    <row r="382" spans="2:5" ht="13">
      <c r="B382" s="148"/>
      <c r="C382" s="148"/>
      <c r="D382" s="148"/>
      <c r="E382" s="148"/>
    </row>
    <row r="383" spans="2:5" ht="13">
      <c r="B383" s="148"/>
      <c r="C383" s="148"/>
      <c r="D383" s="148"/>
      <c r="E383" s="148"/>
    </row>
    <row r="384" spans="2:5" ht="13">
      <c r="B384" s="148"/>
      <c r="C384" s="148"/>
      <c r="D384" s="148"/>
      <c r="E384" s="148"/>
    </row>
    <row r="385" spans="2:5" ht="13">
      <c r="B385" s="148"/>
      <c r="C385" s="148"/>
      <c r="D385" s="148"/>
      <c r="E385" s="148"/>
    </row>
    <row r="386" spans="2:5" ht="13">
      <c r="B386" s="148"/>
      <c r="C386" s="148"/>
      <c r="D386" s="148"/>
      <c r="E386" s="148"/>
    </row>
    <row r="387" spans="2:5" ht="13">
      <c r="B387" s="148"/>
      <c r="C387" s="148"/>
      <c r="D387" s="148"/>
      <c r="E387" s="148"/>
    </row>
    <row r="388" spans="2:5" ht="13">
      <c r="B388" s="148"/>
      <c r="C388" s="148"/>
      <c r="D388" s="148"/>
      <c r="E388" s="148"/>
    </row>
    <row r="389" spans="2:5" ht="13">
      <c r="B389" s="148"/>
      <c r="C389" s="148"/>
      <c r="D389" s="148"/>
      <c r="E389" s="148"/>
    </row>
    <row r="390" spans="2:5" ht="13">
      <c r="B390" s="148"/>
      <c r="C390" s="148"/>
      <c r="D390" s="148"/>
      <c r="E390" s="148"/>
    </row>
    <row r="391" spans="2:5" ht="13">
      <c r="B391" s="148"/>
      <c r="C391" s="148"/>
      <c r="D391" s="148"/>
      <c r="E391" s="148"/>
    </row>
    <row r="392" spans="2:5" ht="13">
      <c r="B392" s="148"/>
      <c r="C392" s="148"/>
      <c r="D392" s="148"/>
      <c r="E392" s="148"/>
    </row>
    <row r="393" spans="2:5" ht="13">
      <c r="B393" s="148"/>
      <c r="C393" s="148"/>
      <c r="D393" s="148"/>
      <c r="E393" s="148"/>
    </row>
    <row r="394" spans="2:5" ht="13">
      <c r="B394" s="148"/>
      <c r="C394" s="148"/>
      <c r="D394" s="148"/>
      <c r="E394" s="148"/>
    </row>
    <row r="395" spans="2:5" ht="13">
      <c r="B395" s="148"/>
      <c r="C395" s="148"/>
      <c r="D395" s="148"/>
      <c r="E395" s="148"/>
    </row>
    <row r="396" spans="2:5" ht="13">
      <c r="B396" s="148"/>
      <c r="C396" s="148"/>
      <c r="D396" s="148"/>
      <c r="E396" s="148"/>
    </row>
    <row r="397" spans="2:5" ht="13">
      <c r="B397" s="148"/>
      <c r="C397" s="148"/>
      <c r="D397" s="148"/>
      <c r="E397" s="148"/>
    </row>
    <row r="398" spans="2:5" ht="13">
      <c r="B398" s="148"/>
      <c r="C398" s="148"/>
      <c r="D398" s="148"/>
      <c r="E398" s="148"/>
    </row>
    <row r="399" spans="2:5" ht="13">
      <c r="B399" s="148"/>
      <c r="C399" s="148"/>
      <c r="D399" s="148"/>
      <c r="E399" s="148"/>
    </row>
    <row r="400" spans="2:5" ht="13">
      <c r="B400" s="148"/>
      <c r="C400" s="148"/>
      <c r="D400" s="148"/>
      <c r="E400" s="148"/>
    </row>
    <row r="401" spans="2:5" ht="13">
      <c r="B401" s="148"/>
      <c r="C401" s="148"/>
      <c r="D401" s="148"/>
      <c r="E401" s="148"/>
    </row>
    <row r="402" spans="2:5" ht="13">
      <c r="B402" s="148"/>
      <c r="C402" s="148"/>
      <c r="D402" s="148"/>
      <c r="E402" s="148"/>
    </row>
    <row r="403" spans="2:5" ht="13">
      <c r="B403" s="148"/>
      <c r="C403" s="148"/>
      <c r="D403" s="148"/>
      <c r="E403" s="148"/>
    </row>
    <row r="404" spans="2:5" ht="13">
      <c r="B404" s="148"/>
      <c r="C404" s="148"/>
      <c r="D404" s="148"/>
      <c r="E404" s="148"/>
    </row>
    <row r="405" spans="2:5" ht="13">
      <c r="B405" s="148"/>
      <c r="C405" s="148"/>
      <c r="D405" s="148"/>
      <c r="E405" s="148"/>
    </row>
    <row r="406" spans="2:5" ht="13">
      <c r="B406" s="148"/>
      <c r="C406" s="148"/>
      <c r="D406" s="148"/>
      <c r="E406" s="148"/>
    </row>
    <row r="407" spans="2:5" ht="13">
      <c r="B407" s="148"/>
      <c r="C407" s="148"/>
      <c r="D407" s="148"/>
      <c r="E407" s="148"/>
    </row>
    <row r="408" spans="2:5" ht="13">
      <c r="B408" s="148"/>
      <c r="C408" s="148"/>
      <c r="D408" s="148"/>
      <c r="E408" s="148"/>
    </row>
    <row r="409" spans="2:5" ht="13">
      <c r="B409" s="148"/>
      <c r="C409" s="148"/>
      <c r="D409" s="148"/>
      <c r="E409" s="148"/>
    </row>
    <row r="410" spans="2:5" ht="13">
      <c r="B410" s="148"/>
      <c r="C410" s="148"/>
      <c r="D410" s="148"/>
      <c r="E410" s="148"/>
    </row>
    <row r="411" spans="2:5" ht="13">
      <c r="B411" s="148"/>
      <c r="C411" s="148"/>
      <c r="D411" s="148"/>
      <c r="E411" s="148"/>
    </row>
    <row r="412" spans="2:5" ht="13">
      <c r="B412" s="148"/>
      <c r="C412" s="148"/>
      <c r="D412" s="148"/>
      <c r="E412" s="148"/>
    </row>
    <row r="413" spans="2:5" ht="13">
      <c r="B413" s="148"/>
      <c r="C413" s="148"/>
      <c r="D413" s="148"/>
      <c r="E413" s="148"/>
    </row>
    <row r="414" spans="2:5" ht="13">
      <c r="B414" s="148"/>
      <c r="C414" s="148"/>
      <c r="D414" s="148"/>
      <c r="E414" s="148"/>
    </row>
    <row r="415" spans="2:5" ht="13">
      <c r="B415" s="148"/>
      <c r="C415" s="148"/>
      <c r="D415" s="148"/>
      <c r="E415" s="148"/>
    </row>
    <row r="416" spans="2:5" ht="13">
      <c r="B416" s="148"/>
      <c r="C416" s="148"/>
      <c r="D416" s="148"/>
      <c r="E416" s="148"/>
    </row>
    <row r="417" spans="2:5" ht="13">
      <c r="B417" s="148"/>
      <c r="C417" s="148"/>
      <c r="D417" s="148"/>
      <c r="E417" s="148"/>
    </row>
    <row r="418" spans="2:5" ht="13">
      <c r="B418" s="148"/>
      <c r="C418" s="148"/>
      <c r="D418" s="148"/>
      <c r="E418" s="148"/>
    </row>
    <row r="419" spans="2:5" ht="13">
      <c r="B419" s="148"/>
      <c r="C419" s="148"/>
      <c r="D419" s="148"/>
      <c r="E419" s="148"/>
    </row>
    <row r="420" spans="2:5" ht="13">
      <c r="B420" s="148"/>
      <c r="C420" s="148"/>
      <c r="D420" s="148"/>
      <c r="E420" s="148"/>
    </row>
    <row r="421" spans="2:5" ht="13">
      <c r="B421" s="148"/>
      <c r="C421" s="148"/>
      <c r="D421" s="148"/>
      <c r="E421" s="148"/>
    </row>
    <row r="422" spans="2:5" ht="13">
      <c r="B422" s="148"/>
      <c r="C422" s="148"/>
      <c r="D422" s="148"/>
      <c r="E422" s="148"/>
    </row>
    <row r="423" spans="2:5" ht="13">
      <c r="B423" s="148"/>
      <c r="C423" s="148"/>
      <c r="D423" s="148"/>
      <c r="E423" s="148"/>
    </row>
    <row r="424" spans="2:5" ht="13">
      <c r="B424" s="148"/>
      <c r="C424" s="148"/>
      <c r="D424" s="148"/>
      <c r="E424" s="148"/>
    </row>
    <row r="425" spans="2:5" ht="13">
      <c r="B425" s="148"/>
      <c r="C425" s="148"/>
      <c r="D425" s="148"/>
      <c r="E425" s="148"/>
    </row>
    <row r="426" spans="2:5" ht="13">
      <c r="B426" s="148"/>
      <c r="C426" s="148"/>
      <c r="D426" s="148"/>
      <c r="E426" s="148"/>
    </row>
    <row r="427" spans="2:5" ht="13">
      <c r="B427" s="148"/>
      <c r="C427" s="148"/>
      <c r="D427" s="148"/>
      <c r="E427" s="148"/>
    </row>
    <row r="428" spans="2:5" ht="13">
      <c r="B428" s="148"/>
      <c r="C428" s="148"/>
      <c r="D428" s="148"/>
      <c r="E428" s="148"/>
    </row>
    <row r="429" spans="2:5" ht="13">
      <c r="B429" s="148"/>
      <c r="C429" s="148"/>
      <c r="D429" s="148"/>
      <c r="E429" s="148"/>
    </row>
    <row r="430" spans="2:5" ht="13">
      <c r="B430" s="148"/>
      <c r="C430" s="148"/>
      <c r="D430" s="148"/>
      <c r="E430" s="148"/>
    </row>
    <row r="431" spans="2:5" ht="13">
      <c r="B431" s="148"/>
      <c r="C431" s="148"/>
      <c r="D431" s="148"/>
      <c r="E431" s="148"/>
    </row>
    <row r="432" spans="2:5" ht="13">
      <c r="B432" s="148"/>
      <c r="C432" s="148"/>
      <c r="D432" s="148"/>
      <c r="E432" s="148"/>
    </row>
    <row r="433" spans="2:5" ht="13">
      <c r="B433" s="148"/>
      <c r="C433" s="148"/>
      <c r="D433" s="148"/>
      <c r="E433" s="148"/>
    </row>
    <row r="434" spans="2:5" ht="13">
      <c r="B434" s="148"/>
      <c r="C434" s="148"/>
      <c r="D434" s="148"/>
      <c r="E434" s="148"/>
    </row>
    <row r="435" spans="2:5" ht="13">
      <c r="B435" s="148"/>
      <c r="C435" s="148"/>
      <c r="D435" s="148"/>
      <c r="E435" s="148"/>
    </row>
    <row r="436" spans="2:5" ht="13">
      <c r="B436" s="148"/>
      <c r="C436" s="148"/>
      <c r="D436" s="148"/>
      <c r="E436" s="148"/>
    </row>
    <row r="437" spans="2:5" ht="13">
      <c r="B437" s="148"/>
      <c r="C437" s="148"/>
      <c r="D437" s="148"/>
      <c r="E437" s="148"/>
    </row>
    <row r="438" spans="2:5" ht="13">
      <c r="B438" s="148"/>
      <c r="C438" s="148"/>
      <c r="D438" s="148"/>
      <c r="E438" s="148"/>
    </row>
    <row r="439" spans="2:5" ht="13">
      <c r="B439" s="148"/>
      <c r="C439" s="148"/>
      <c r="D439" s="148"/>
      <c r="E439" s="148"/>
    </row>
    <row r="440" spans="2:5" ht="13">
      <c r="B440" s="148"/>
      <c r="C440" s="148"/>
      <c r="D440" s="148"/>
      <c r="E440" s="148"/>
    </row>
    <row r="441" spans="2:5" ht="13">
      <c r="B441" s="148"/>
      <c r="C441" s="148"/>
      <c r="D441" s="148"/>
      <c r="E441" s="148"/>
    </row>
    <row r="442" spans="2:5" ht="13">
      <c r="B442" s="148"/>
      <c r="C442" s="148"/>
      <c r="D442" s="148"/>
      <c r="E442" s="148"/>
    </row>
    <row r="443" spans="2:5" ht="13">
      <c r="B443" s="148"/>
      <c r="C443" s="148"/>
      <c r="D443" s="148"/>
      <c r="E443" s="148"/>
    </row>
    <row r="444" spans="2:5" ht="13">
      <c r="B444" s="148"/>
      <c r="C444" s="148"/>
      <c r="D444" s="148"/>
      <c r="E444" s="148"/>
    </row>
    <row r="445" spans="2:5" ht="13">
      <c r="B445" s="148"/>
      <c r="C445" s="148"/>
      <c r="D445" s="148"/>
      <c r="E445" s="148"/>
    </row>
    <row r="446" spans="2:5" ht="13">
      <c r="B446" s="148"/>
      <c r="C446" s="148"/>
      <c r="D446" s="148"/>
      <c r="E446" s="148"/>
    </row>
    <row r="447" spans="2:5" ht="13">
      <c r="B447" s="148"/>
      <c r="C447" s="148"/>
      <c r="D447" s="148"/>
      <c r="E447" s="148"/>
    </row>
    <row r="448" spans="2:5" ht="13">
      <c r="B448" s="148"/>
      <c r="C448" s="148"/>
      <c r="D448" s="148"/>
      <c r="E448" s="148"/>
    </row>
    <row r="449" spans="2:5" ht="13">
      <c r="B449" s="148"/>
      <c r="C449" s="148"/>
      <c r="D449" s="148"/>
      <c r="E449" s="148"/>
    </row>
    <row r="450" spans="2:5" ht="13">
      <c r="B450" s="148"/>
      <c r="C450" s="148"/>
      <c r="D450" s="148"/>
      <c r="E450" s="148"/>
    </row>
    <row r="451" spans="2:5" ht="13">
      <c r="B451" s="148"/>
      <c r="C451" s="148"/>
      <c r="D451" s="148"/>
      <c r="E451" s="148"/>
    </row>
    <row r="452" spans="2:5" ht="13">
      <c r="B452" s="148"/>
      <c r="C452" s="148"/>
      <c r="D452" s="148"/>
      <c r="E452" s="148"/>
    </row>
    <row r="453" spans="2:5" ht="13">
      <c r="B453" s="148"/>
      <c r="C453" s="148"/>
      <c r="D453" s="148"/>
      <c r="E453" s="148"/>
    </row>
    <row r="454" spans="2:5" ht="13">
      <c r="B454" s="148"/>
      <c r="C454" s="148"/>
      <c r="D454" s="148"/>
      <c r="E454" s="148"/>
    </row>
    <row r="455" spans="2:5" ht="13">
      <c r="B455" s="148"/>
      <c r="C455" s="148"/>
      <c r="D455" s="148"/>
      <c r="E455" s="148"/>
    </row>
    <row r="456" spans="2:5" ht="13">
      <c r="B456" s="148"/>
      <c r="C456" s="148"/>
      <c r="D456" s="148"/>
      <c r="E456" s="148"/>
    </row>
    <row r="457" spans="2:5" ht="13">
      <c r="B457" s="148"/>
      <c r="C457" s="148"/>
      <c r="D457" s="148"/>
      <c r="E457" s="148"/>
    </row>
    <row r="458" spans="2:5" ht="13">
      <c r="B458" s="148"/>
      <c r="C458" s="148"/>
      <c r="D458" s="148"/>
      <c r="E458" s="148"/>
    </row>
    <row r="459" spans="2:5" ht="13">
      <c r="B459" s="148"/>
      <c r="C459" s="148"/>
      <c r="D459" s="148"/>
      <c r="E459" s="148"/>
    </row>
    <row r="460" spans="2:5" ht="13">
      <c r="B460" s="148"/>
      <c r="C460" s="148"/>
      <c r="D460" s="148"/>
      <c r="E460" s="148"/>
    </row>
    <row r="461" spans="2:5" ht="13">
      <c r="B461" s="148"/>
      <c r="C461" s="148"/>
      <c r="D461" s="148"/>
      <c r="E461" s="148"/>
    </row>
    <row r="462" spans="2:5" ht="13">
      <c r="B462" s="148"/>
      <c r="C462" s="148"/>
      <c r="D462" s="148"/>
      <c r="E462" s="148"/>
    </row>
    <row r="463" spans="2:5" ht="13">
      <c r="B463" s="148"/>
      <c r="C463" s="148"/>
      <c r="D463" s="148"/>
      <c r="E463" s="148"/>
    </row>
    <row r="464" spans="2:5" ht="13">
      <c r="B464" s="148"/>
      <c r="C464" s="148"/>
      <c r="D464" s="148"/>
      <c r="E464" s="148"/>
    </row>
    <row r="465" spans="2:5" ht="13">
      <c r="B465" s="148"/>
      <c r="C465" s="148"/>
      <c r="D465" s="148"/>
      <c r="E465" s="148"/>
    </row>
    <row r="466" spans="2:5" ht="13">
      <c r="B466" s="148"/>
      <c r="C466" s="148"/>
      <c r="D466" s="148"/>
      <c r="E466" s="148"/>
    </row>
    <row r="467" spans="2:5" ht="13">
      <c r="B467" s="148"/>
      <c r="C467" s="148"/>
      <c r="D467" s="148"/>
      <c r="E467" s="148"/>
    </row>
    <row r="468" spans="2:5" ht="13">
      <c r="B468" s="148"/>
      <c r="C468" s="148"/>
      <c r="D468" s="148"/>
      <c r="E468" s="148"/>
    </row>
    <row r="469" spans="2:5" ht="13">
      <c r="B469" s="148"/>
      <c r="C469" s="148"/>
      <c r="D469" s="148"/>
      <c r="E469" s="148"/>
    </row>
    <row r="470" spans="2:5" ht="13">
      <c r="B470" s="148"/>
      <c r="C470" s="148"/>
      <c r="D470" s="148"/>
      <c r="E470" s="148"/>
    </row>
    <row r="471" spans="2:5" ht="13">
      <c r="B471" s="148"/>
      <c r="C471" s="148"/>
      <c r="D471" s="148"/>
      <c r="E471" s="148"/>
    </row>
    <row r="472" spans="2:5" ht="13">
      <c r="B472" s="148"/>
      <c r="C472" s="148"/>
      <c r="D472" s="148"/>
      <c r="E472" s="148"/>
    </row>
    <row r="473" spans="2:5" ht="13">
      <c r="B473" s="148"/>
      <c r="C473" s="148"/>
      <c r="D473" s="148"/>
      <c r="E473" s="148"/>
    </row>
    <row r="474" spans="2:5" ht="13">
      <c r="B474" s="148"/>
      <c r="C474" s="148"/>
      <c r="D474" s="148"/>
      <c r="E474" s="148"/>
    </row>
    <row r="475" spans="2:5" ht="13">
      <c r="B475" s="148"/>
      <c r="C475" s="148"/>
      <c r="D475" s="148"/>
      <c r="E475" s="148"/>
    </row>
    <row r="476" spans="2:5" ht="13">
      <c r="B476" s="148"/>
      <c r="C476" s="148"/>
      <c r="D476" s="148"/>
      <c r="E476" s="148"/>
    </row>
    <row r="477" spans="2:5" ht="13">
      <c r="B477" s="148"/>
      <c r="C477" s="148"/>
      <c r="D477" s="148"/>
      <c r="E477" s="148"/>
    </row>
    <row r="478" spans="2:5" ht="13">
      <c r="B478" s="148"/>
      <c r="C478" s="148"/>
      <c r="D478" s="148"/>
      <c r="E478" s="148"/>
    </row>
    <row r="479" spans="2:5" ht="13">
      <c r="B479" s="148"/>
      <c r="C479" s="148"/>
      <c r="D479" s="148"/>
      <c r="E479" s="148"/>
    </row>
    <row r="480" spans="2:5" ht="13">
      <c r="B480" s="148"/>
      <c r="C480" s="148"/>
      <c r="D480" s="148"/>
      <c r="E480" s="148"/>
    </row>
    <row r="481" spans="2:5" ht="13">
      <c r="B481" s="148"/>
      <c r="C481" s="148"/>
      <c r="D481" s="148"/>
      <c r="E481" s="148"/>
    </row>
    <row r="482" spans="2:5" ht="13">
      <c r="B482" s="148"/>
      <c r="C482" s="148"/>
      <c r="D482" s="148"/>
      <c r="E482" s="148"/>
    </row>
    <row r="483" spans="2:5" ht="13">
      <c r="B483" s="148"/>
      <c r="C483" s="148"/>
      <c r="D483" s="148"/>
      <c r="E483" s="148"/>
    </row>
    <row r="484" spans="2:5" ht="13">
      <c r="B484" s="148"/>
      <c r="C484" s="148"/>
      <c r="D484" s="148"/>
      <c r="E484" s="148"/>
    </row>
    <row r="485" spans="2:5" ht="13">
      <c r="B485" s="148"/>
      <c r="C485" s="148"/>
      <c r="D485" s="148"/>
      <c r="E485" s="148"/>
    </row>
    <row r="486" spans="2:5" ht="13">
      <c r="B486" s="148"/>
      <c r="C486" s="148"/>
      <c r="D486" s="148"/>
      <c r="E486" s="148"/>
    </row>
    <row r="487" spans="2:5" ht="13">
      <c r="B487" s="148"/>
      <c r="C487" s="148"/>
      <c r="D487" s="148"/>
      <c r="E487" s="148"/>
    </row>
    <row r="488" spans="2:5" ht="13">
      <c r="B488" s="148"/>
      <c r="C488" s="148"/>
      <c r="D488" s="148"/>
      <c r="E488" s="148"/>
    </row>
    <row r="489" spans="2:5" ht="13">
      <c r="B489" s="148"/>
      <c r="C489" s="148"/>
      <c r="D489" s="148"/>
      <c r="E489" s="148"/>
    </row>
    <row r="490" spans="2:5" ht="13">
      <c r="B490" s="148"/>
      <c r="C490" s="148"/>
      <c r="D490" s="148"/>
      <c r="E490" s="148"/>
    </row>
    <row r="491" spans="2:5" ht="13">
      <c r="B491" s="148"/>
      <c r="C491" s="148"/>
      <c r="D491" s="148"/>
      <c r="E491" s="148"/>
    </row>
    <row r="492" spans="2:5" ht="13">
      <c r="B492" s="148"/>
      <c r="C492" s="148"/>
      <c r="D492" s="148"/>
      <c r="E492" s="148"/>
    </row>
    <row r="493" spans="2:5" ht="13">
      <c r="B493" s="148"/>
      <c r="C493" s="148"/>
      <c r="D493" s="148"/>
      <c r="E493" s="148"/>
    </row>
    <row r="494" spans="2:5" ht="13">
      <c r="B494" s="148"/>
      <c r="C494" s="148"/>
      <c r="D494" s="148"/>
      <c r="E494" s="148"/>
    </row>
    <row r="495" spans="2:5" ht="13">
      <c r="B495" s="148"/>
      <c r="C495" s="148"/>
      <c r="D495" s="148"/>
      <c r="E495" s="148"/>
    </row>
    <row r="496" spans="2:5" ht="13">
      <c r="B496" s="148"/>
      <c r="C496" s="148"/>
      <c r="D496" s="148"/>
      <c r="E496" s="148"/>
    </row>
    <row r="497" spans="2:5" ht="13">
      <c r="B497" s="148"/>
      <c r="C497" s="148"/>
      <c r="D497" s="148"/>
      <c r="E497" s="148"/>
    </row>
    <row r="498" spans="2:5" ht="13">
      <c r="B498" s="148"/>
      <c r="C498" s="148"/>
      <c r="D498" s="148"/>
      <c r="E498" s="148"/>
    </row>
    <row r="499" spans="2:5" ht="13">
      <c r="B499" s="148"/>
      <c r="C499" s="148"/>
      <c r="D499" s="148"/>
      <c r="E499" s="148"/>
    </row>
    <row r="500" spans="2:5" ht="13">
      <c r="B500" s="148"/>
      <c r="C500" s="148"/>
      <c r="D500" s="148"/>
      <c r="E500" s="148"/>
    </row>
    <row r="501" spans="2:5" ht="13">
      <c r="B501" s="148"/>
      <c r="C501" s="148"/>
      <c r="D501" s="148"/>
      <c r="E501" s="148"/>
    </row>
    <row r="502" spans="2:5" ht="13">
      <c r="B502" s="148"/>
      <c r="C502" s="148"/>
      <c r="D502" s="148"/>
      <c r="E502" s="148"/>
    </row>
    <row r="503" spans="2:5" ht="13">
      <c r="B503" s="148"/>
      <c r="C503" s="148"/>
      <c r="D503" s="148"/>
      <c r="E503" s="148"/>
    </row>
    <row r="504" spans="2:5" ht="13">
      <c r="B504" s="148"/>
      <c r="C504" s="148"/>
      <c r="D504" s="148"/>
      <c r="E504" s="148"/>
    </row>
    <row r="505" spans="2:5" ht="13">
      <c r="B505" s="148"/>
      <c r="C505" s="148"/>
      <c r="D505" s="148"/>
      <c r="E505" s="148"/>
    </row>
    <row r="506" spans="2:5" ht="13">
      <c r="B506" s="148"/>
      <c r="C506" s="148"/>
      <c r="D506" s="148"/>
      <c r="E506" s="148"/>
    </row>
    <row r="507" spans="2:5" ht="13">
      <c r="B507" s="148"/>
      <c r="C507" s="148"/>
      <c r="D507" s="148"/>
      <c r="E507" s="148"/>
    </row>
    <row r="508" spans="2:5" ht="13">
      <c r="B508" s="148"/>
      <c r="C508" s="148"/>
      <c r="D508" s="148"/>
      <c r="E508" s="148"/>
    </row>
    <row r="509" spans="2:5" ht="13">
      <c r="B509" s="148"/>
      <c r="C509" s="148"/>
      <c r="D509" s="148"/>
      <c r="E509" s="148"/>
    </row>
    <row r="510" spans="2:5" ht="13">
      <c r="B510" s="148"/>
      <c r="C510" s="148"/>
      <c r="D510" s="148"/>
      <c r="E510" s="148"/>
    </row>
    <row r="511" spans="2:5" ht="13">
      <c r="B511" s="148"/>
      <c r="C511" s="148"/>
      <c r="D511" s="148"/>
      <c r="E511" s="148"/>
    </row>
    <row r="512" spans="2:5" ht="13">
      <c r="B512" s="148"/>
      <c r="C512" s="148"/>
      <c r="D512" s="148"/>
      <c r="E512" s="148"/>
    </row>
    <row r="513" spans="2:5" ht="13">
      <c r="B513" s="148"/>
      <c r="C513" s="148"/>
      <c r="D513" s="148"/>
      <c r="E513" s="148"/>
    </row>
    <row r="514" spans="2:5" ht="13">
      <c r="B514" s="148"/>
      <c r="C514" s="148"/>
      <c r="D514" s="148"/>
      <c r="E514" s="148"/>
    </row>
    <row r="515" spans="2:5" ht="13">
      <c r="B515" s="148"/>
      <c r="C515" s="148"/>
      <c r="D515" s="148"/>
      <c r="E515" s="148"/>
    </row>
    <row r="516" spans="2:5" ht="13">
      <c r="B516" s="148"/>
      <c r="C516" s="148"/>
      <c r="D516" s="148"/>
      <c r="E516" s="148"/>
    </row>
    <row r="517" spans="2:5" ht="13">
      <c r="B517" s="148"/>
      <c r="C517" s="148"/>
      <c r="D517" s="148"/>
      <c r="E517" s="148"/>
    </row>
    <row r="518" spans="2:5" ht="13">
      <c r="B518" s="148"/>
      <c r="C518" s="148"/>
      <c r="D518" s="148"/>
      <c r="E518" s="148"/>
    </row>
    <row r="519" spans="2:5" ht="13">
      <c r="B519" s="148"/>
      <c r="C519" s="148"/>
      <c r="D519" s="148"/>
      <c r="E519" s="148"/>
    </row>
    <row r="520" spans="2:5" ht="13">
      <c r="B520" s="148"/>
      <c r="C520" s="148"/>
      <c r="D520" s="148"/>
      <c r="E520" s="148"/>
    </row>
    <row r="521" spans="2:5" ht="13">
      <c r="B521" s="148"/>
      <c r="C521" s="148"/>
      <c r="D521" s="148"/>
      <c r="E521" s="148"/>
    </row>
    <row r="522" spans="2:5" ht="13">
      <c r="B522" s="148"/>
      <c r="C522" s="148"/>
      <c r="D522" s="148"/>
      <c r="E522" s="148"/>
    </row>
    <row r="523" spans="2:5" ht="13">
      <c r="B523" s="148"/>
      <c r="C523" s="148"/>
      <c r="D523" s="148"/>
      <c r="E523" s="148"/>
    </row>
    <row r="524" spans="2:5" ht="13">
      <c r="B524" s="148"/>
      <c r="C524" s="148"/>
      <c r="D524" s="148"/>
      <c r="E524" s="148"/>
    </row>
    <row r="525" spans="2:5" ht="13">
      <c r="B525" s="148"/>
      <c r="C525" s="148"/>
      <c r="D525" s="148"/>
      <c r="E525" s="148"/>
    </row>
    <row r="526" spans="2:5" ht="13">
      <c r="B526" s="148"/>
      <c r="C526" s="148"/>
      <c r="D526" s="148"/>
      <c r="E526" s="148"/>
    </row>
    <row r="527" spans="2:5" ht="13">
      <c r="B527" s="148"/>
      <c r="C527" s="148"/>
      <c r="D527" s="148"/>
      <c r="E527" s="148"/>
    </row>
    <row r="528" spans="2:5" ht="13">
      <c r="B528" s="148"/>
      <c r="C528" s="148"/>
      <c r="D528" s="148"/>
      <c r="E528" s="148"/>
    </row>
    <row r="529" spans="2:5" ht="13">
      <c r="B529" s="148"/>
      <c r="C529" s="148"/>
      <c r="D529" s="148"/>
      <c r="E529" s="148"/>
    </row>
    <row r="530" spans="2:5" ht="13">
      <c r="B530" s="148"/>
      <c r="C530" s="148"/>
      <c r="D530" s="148"/>
      <c r="E530" s="148"/>
    </row>
    <row r="531" spans="2:5" ht="13">
      <c r="B531" s="148"/>
      <c r="C531" s="148"/>
      <c r="D531" s="148"/>
      <c r="E531" s="148"/>
    </row>
    <row r="532" spans="2:5" ht="13">
      <c r="B532" s="148"/>
      <c r="C532" s="148"/>
      <c r="D532" s="148"/>
      <c r="E532" s="148"/>
    </row>
    <row r="533" spans="2:5" ht="13">
      <c r="B533" s="148"/>
      <c r="C533" s="148"/>
      <c r="D533" s="148"/>
      <c r="E533" s="148"/>
    </row>
    <row r="534" spans="2:5" ht="13">
      <c r="B534" s="148"/>
      <c r="C534" s="148"/>
      <c r="D534" s="148"/>
      <c r="E534" s="148"/>
    </row>
    <row r="535" spans="2:5" ht="13">
      <c r="B535" s="148"/>
      <c r="C535" s="148"/>
      <c r="D535" s="148"/>
      <c r="E535" s="148"/>
    </row>
    <row r="536" spans="2:5" ht="13">
      <c r="B536" s="148"/>
      <c r="C536" s="148"/>
      <c r="D536" s="148"/>
      <c r="E536" s="148"/>
    </row>
    <row r="537" spans="2:5" ht="13">
      <c r="B537" s="148"/>
      <c r="C537" s="148"/>
      <c r="D537" s="148"/>
      <c r="E537" s="148"/>
    </row>
    <row r="538" spans="2:5" ht="13">
      <c r="B538" s="148"/>
      <c r="C538" s="148"/>
      <c r="D538" s="148"/>
      <c r="E538" s="148"/>
    </row>
    <row r="539" spans="2:5" ht="13">
      <c r="B539" s="148"/>
      <c r="C539" s="148"/>
      <c r="D539" s="148"/>
      <c r="E539" s="148"/>
    </row>
    <row r="540" spans="2:5" ht="13">
      <c r="B540" s="148"/>
      <c r="C540" s="148"/>
      <c r="D540" s="148"/>
      <c r="E540" s="148"/>
    </row>
    <row r="541" spans="2:5" ht="13">
      <c r="B541" s="148"/>
      <c r="C541" s="148"/>
      <c r="D541" s="148"/>
      <c r="E541" s="148"/>
    </row>
    <row r="542" spans="2:5" ht="13">
      <c r="B542" s="148"/>
      <c r="C542" s="148"/>
      <c r="D542" s="148"/>
      <c r="E542" s="148"/>
    </row>
    <row r="543" spans="2:5" ht="13">
      <c r="B543" s="148"/>
      <c r="C543" s="148"/>
      <c r="D543" s="148"/>
      <c r="E543" s="148"/>
    </row>
    <row r="544" spans="2:5" ht="13">
      <c r="B544" s="148"/>
      <c r="C544" s="148"/>
      <c r="D544" s="148"/>
      <c r="E544" s="148"/>
    </row>
    <row r="545" spans="2:5" ht="13">
      <c r="B545" s="148"/>
      <c r="C545" s="148"/>
      <c r="D545" s="148"/>
      <c r="E545" s="148"/>
    </row>
    <row r="546" spans="2:5" ht="13">
      <c r="B546" s="148"/>
      <c r="C546" s="148"/>
      <c r="D546" s="148"/>
      <c r="E546" s="148"/>
    </row>
    <row r="547" spans="2:5" ht="13">
      <c r="B547" s="148"/>
      <c r="C547" s="148"/>
      <c r="D547" s="148"/>
      <c r="E547" s="148"/>
    </row>
    <row r="548" spans="2:5" ht="13">
      <c r="B548" s="148"/>
      <c r="C548" s="148"/>
      <c r="D548" s="148"/>
      <c r="E548" s="148"/>
    </row>
    <row r="549" spans="2:5" ht="13">
      <c r="B549" s="148"/>
      <c r="C549" s="148"/>
      <c r="D549" s="148"/>
      <c r="E549" s="148"/>
    </row>
    <row r="550" spans="2:5" ht="13">
      <c r="B550" s="148"/>
      <c r="C550" s="148"/>
      <c r="D550" s="148"/>
      <c r="E550" s="148"/>
    </row>
    <row r="551" spans="2:5" ht="13">
      <c r="B551" s="148"/>
      <c r="C551" s="148"/>
      <c r="D551" s="148"/>
      <c r="E551" s="148"/>
    </row>
    <row r="552" spans="2:5" ht="13">
      <c r="B552" s="148"/>
      <c r="C552" s="148"/>
      <c r="D552" s="148"/>
      <c r="E552" s="148"/>
    </row>
    <row r="553" spans="2:5" ht="13">
      <c r="B553" s="148"/>
      <c r="C553" s="148"/>
      <c r="D553" s="148"/>
      <c r="E553" s="148"/>
    </row>
    <row r="554" spans="2:5" ht="13">
      <c r="B554" s="148"/>
      <c r="C554" s="148"/>
      <c r="D554" s="148"/>
      <c r="E554" s="148"/>
    </row>
    <row r="555" spans="2:5" ht="13">
      <c r="B555" s="148"/>
      <c r="C555" s="148"/>
      <c r="D555" s="148"/>
      <c r="E555" s="148"/>
    </row>
    <row r="556" spans="2:5" ht="13">
      <c r="B556" s="148"/>
      <c r="C556" s="148"/>
      <c r="D556" s="148"/>
      <c r="E556" s="148"/>
    </row>
    <row r="557" spans="2:5" ht="13">
      <c r="B557" s="148"/>
      <c r="C557" s="148"/>
      <c r="D557" s="148"/>
      <c r="E557" s="148"/>
    </row>
    <row r="558" spans="2:5" ht="13">
      <c r="B558" s="148"/>
      <c r="C558" s="148"/>
      <c r="D558" s="148"/>
      <c r="E558" s="148"/>
    </row>
    <row r="559" spans="2:5" ht="13">
      <c r="B559" s="148"/>
      <c r="C559" s="148"/>
      <c r="D559" s="148"/>
      <c r="E559" s="148"/>
    </row>
    <row r="560" spans="2:5" ht="13">
      <c r="B560" s="148"/>
      <c r="C560" s="148"/>
      <c r="D560" s="148"/>
      <c r="E560" s="148"/>
    </row>
    <row r="561" spans="2:5" ht="13">
      <c r="B561" s="148"/>
      <c r="C561" s="148"/>
      <c r="D561" s="148"/>
      <c r="E561" s="148"/>
    </row>
    <row r="562" spans="2:5" ht="13">
      <c r="B562" s="148"/>
      <c r="C562" s="148"/>
      <c r="D562" s="148"/>
      <c r="E562" s="148"/>
    </row>
    <row r="563" spans="2:5" ht="13">
      <c r="B563" s="148"/>
      <c r="C563" s="148"/>
      <c r="D563" s="148"/>
      <c r="E563" s="148"/>
    </row>
    <row r="564" spans="2:5" ht="13">
      <c r="B564" s="148"/>
      <c r="C564" s="148"/>
      <c r="D564" s="148"/>
      <c r="E564" s="148"/>
    </row>
    <row r="565" spans="2:5" ht="13">
      <c r="B565" s="148"/>
      <c r="C565" s="148"/>
      <c r="D565" s="148"/>
      <c r="E565" s="148"/>
    </row>
    <row r="566" spans="2:5" ht="13">
      <c r="B566" s="148"/>
      <c r="C566" s="148"/>
      <c r="D566" s="148"/>
      <c r="E566" s="148"/>
    </row>
    <row r="567" spans="2:5" ht="13">
      <c r="B567" s="148"/>
      <c r="C567" s="148"/>
      <c r="D567" s="148"/>
      <c r="E567" s="148"/>
    </row>
    <row r="568" spans="2:5" ht="13">
      <c r="B568" s="148"/>
      <c r="C568" s="148"/>
      <c r="D568" s="148"/>
      <c r="E568" s="148"/>
    </row>
    <row r="569" spans="2:5" ht="13">
      <c r="B569" s="148"/>
      <c r="C569" s="148"/>
      <c r="D569" s="148"/>
      <c r="E569" s="148"/>
    </row>
    <row r="570" spans="2:5" ht="13">
      <c r="B570" s="148"/>
      <c r="C570" s="148"/>
      <c r="D570" s="148"/>
      <c r="E570" s="148"/>
    </row>
    <row r="571" spans="2:5" ht="13">
      <c r="B571" s="148"/>
      <c r="C571" s="148"/>
      <c r="D571" s="148"/>
      <c r="E571" s="148"/>
    </row>
    <row r="572" spans="2:5" ht="13">
      <c r="B572" s="148"/>
      <c r="C572" s="148"/>
      <c r="D572" s="148"/>
      <c r="E572" s="148"/>
    </row>
    <row r="573" spans="2:5" ht="13">
      <c r="B573" s="148"/>
      <c r="C573" s="148"/>
      <c r="D573" s="148"/>
      <c r="E573" s="148"/>
    </row>
    <row r="574" spans="2:5" ht="13">
      <c r="B574" s="148"/>
      <c r="C574" s="148"/>
      <c r="D574" s="148"/>
      <c r="E574" s="148"/>
    </row>
    <row r="575" spans="2:5" ht="13">
      <c r="B575" s="148"/>
      <c r="C575" s="148"/>
      <c r="D575" s="148"/>
      <c r="E575" s="148"/>
    </row>
    <row r="576" spans="2:5" ht="13">
      <c r="B576" s="148"/>
      <c r="C576" s="148"/>
      <c r="D576" s="148"/>
      <c r="E576" s="148"/>
    </row>
    <row r="577" spans="2:5" ht="13">
      <c r="B577" s="148"/>
      <c r="C577" s="148"/>
      <c r="D577" s="148"/>
      <c r="E577" s="148"/>
    </row>
    <row r="578" spans="2:5" ht="13">
      <c r="B578" s="148"/>
      <c r="C578" s="148"/>
      <c r="D578" s="148"/>
      <c r="E578" s="148"/>
    </row>
    <row r="579" spans="2:5" ht="13">
      <c r="B579" s="148"/>
      <c r="C579" s="148"/>
      <c r="D579" s="148"/>
      <c r="E579" s="148"/>
    </row>
    <row r="580" spans="2:5" ht="13">
      <c r="B580" s="148"/>
      <c r="C580" s="148"/>
      <c r="D580" s="148"/>
      <c r="E580" s="148"/>
    </row>
    <row r="581" spans="2:5" ht="13">
      <c r="B581" s="148"/>
      <c r="C581" s="148"/>
      <c r="D581" s="148"/>
      <c r="E581" s="148"/>
    </row>
    <row r="582" spans="2:5" ht="13">
      <c r="B582" s="148"/>
      <c r="C582" s="148"/>
      <c r="D582" s="148"/>
      <c r="E582" s="148"/>
    </row>
    <row r="583" spans="2:5" ht="13">
      <c r="B583" s="148"/>
      <c r="C583" s="148"/>
      <c r="D583" s="148"/>
      <c r="E583" s="148"/>
    </row>
    <row r="584" spans="2:5" ht="13">
      <c r="B584" s="148"/>
      <c r="C584" s="148"/>
      <c r="D584" s="148"/>
      <c r="E584" s="148"/>
    </row>
    <row r="585" spans="2:5" ht="13">
      <c r="B585" s="148"/>
      <c r="C585" s="148"/>
      <c r="D585" s="148"/>
      <c r="E585" s="148"/>
    </row>
    <row r="586" spans="2:5" ht="13">
      <c r="B586" s="148"/>
      <c r="C586" s="148"/>
      <c r="D586" s="148"/>
      <c r="E586" s="148"/>
    </row>
    <row r="587" spans="2:5" ht="13">
      <c r="B587" s="148"/>
      <c r="C587" s="148"/>
      <c r="D587" s="148"/>
      <c r="E587" s="148"/>
    </row>
    <row r="588" spans="2:5" ht="13">
      <c r="B588" s="148"/>
      <c r="C588" s="148"/>
      <c r="D588" s="148"/>
      <c r="E588" s="148"/>
    </row>
    <row r="589" spans="2:5" ht="13">
      <c r="B589" s="148"/>
      <c r="C589" s="148"/>
      <c r="D589" s="148"/>
      <c r="E589" s="148"/>
    </row>
    <row r="590" spans="2:5" ht="13">
      <c r="B590" s="148"/>
      <c r="C590" s="148"/>
      <c r="D590" s="148"/>
      <c r="E590" s="148"/>
    </row>
    <row r="591" spans="2:5" ht="13">
      <c r="B591" s="148"/>
      <c r="C591" s="148"/>
      <c r="D591" s="148"/>
      <c r="E591" s="148"/>
    </row>
    <row r="592" spans="2:5" ht="13">
      <c r="B592" s="148"/>
      <c r="C592" s="148"/>
      <c r="D592" s="148"/>
      <c r="E592" s="148"/>
    </row>
    <row r="593" spans="2:5" ht="13">
      <c r="B593" s="148"/>
      <c r="C593" s="148"/>
      <c r="D593" s="148"/>
      <c r="E593" s="148"/>
    </row>
    <row r="594" spans="2:5" ht="13">
      <c r="B594" s="148"/>
      <c r="C594" s="148"/>
      <c r="D594" s="148"/>
      <c r="E594" s="148"/>
    </row>
    <row r="595" spans="2:5" ht="13">
      <c r="B595" s="148"/>
      <c r="C595" s="148"/>
      <c r="D595" s="148"/>
      <c r="E595" s="148"/>
    </row>
    <row r="596" spans="2:5" ht="13">
      <c r="B596" s="148"/>
      <c r="C596" s="148"/>
      <c r="D596" s="148"/>
      <c r="E596" s="148"/>
    </row>
    <row r="597" spans="2:5" ht="13">
      <c r="B597" s="148"/>
      <c r="C597" s="148"/>
      <c r="D597" s="148"/>
      <c r="E597" s="148"/>
    </row>
    <row r="598" spans="2:5" ht="13">
      <c r="B598" s="148"/>
      <c r="C598" s="148"/>
      <c r="D598" s="148"/>
      <c r="E598" s="148"/>
    </row>
    <row r="599" spans="2:5" ht="13">
      <c r="B599" s="148"/>
      <c r="C599" s="148"/>
      <c r="D599" s="148"/>
      <c r="E599" s="148"/>
    </row>
    <row r="600" spans="2:5" ht="13">
      <c r="B600" s="148"/>
      <c r="C600" s="148"/>
      <c r="D600" s="148"/>
      <c r="E600" s="148"/>
    </row>
    <row r="601" spans="2:5" ht="13">
      <c r="B601" s="148"/>
      <c r="C601" s="148"/>
      <c r="D601" s="148"/>
      <c r="E601" s="148"/>
    </row>
    <row r="602" spans="2:5" ht="13">
      <c r="B602" s="148"/>
      <c r="C602" s="148"/>
      <c r="D602" s="148"/>
      <c r="E602" s="148"/>
    </row>
    <row r="603" spans="2:5" ht="13">
      <c r="B603" s="148"/>
      <c r="C603" s="148"/>
      <c r="D603" s="148"/>
      <c r="E603" s="148"/>
    </row>
    <row r="604" spans="2:5" ht="13">
      <c r="B604" s="148"/>
      <c r="C604" s="148"/>
      <c r="D604" s="148"/>
      <c r="E604" s="148"/>
    </row>
    <row r="605" spans="2:5" ht="13">
      <c r="B605" s="148"/>
      <c r="C605" s="148"/>
      <c r="D605" s="148"/>
      <c r="E605" s="148"/>
    </row>
    <row r="606" spans="2:5" ht="13">
      <c r="B606" s="148"/>
      <c r="C606" s="148"/>
      <c r="D606" s="148"/>
      <c r="E606" s="148"/>
    </row>
    <row r="607" spans="2:5" ht="13">
      <c r="B607" s="148"/>
      <c r="C607" s="148"/>
      <c r="D607" s="148"/>
      <c r="E607" s="148"/>
    </row>
    <row r="608" spans="2:5" ht="13">
      <c r="B608" s="148"/>
      <c r="C608" s="148"/>
      <c r="D608" s="148"/>
      <c r="E608" s="148"/>
    </row>
    <row r="609" spans="2:5" ht="13">
      <c r="B609" s="148"/>
      <c r="C609" s="148"/>
      <c r="D609" s="148"/>
      <c r="E609" s="148"/>
    </row>
    <row r="610" spans="2:5" ht="13">
      <c r="B610" s="148"/>
      <c r="C610" s="148"/>
      <c r="D610" s="148"/>
      <c r="E610" s="148"/>
    </row>
    <row r="611" spans="2:5" ht="13">
      <c r="B611" s="148"/>
      <c r="C611" s="148"/>
      <c r="D611" s="148"/>
      <c r="E611" s="148"/>
    </row>
    <row r="612" spans="2:5" ht="13">
      <c r="B612" s="148"/>
      <c r="C612" s="148"/>
      <c r="D612" s="148"/>
      <c r="E612" s="148"/>
    </row>
    <row r="613" spans="2:5" ht="13">
      <c r="B613" s="148"/>
      <c r="C613" s="148"/>
      <c r="D613" s="148"/>
      <c r="E613" s="148"/>
    </row>
    <row r="614" spans="2:5" ht="13">
      <c r="B614" s="148"/>
      <c r="C614" s="148"/>
      <c r="D614" s="148"/>
      <c r="E614" s="148"/>
    </row>
    <row r="615" spans="2:5" ht="13">
      <c r="B615" s="148"/>
      <c r="C615" s="148"/>
      <c r="D615" s="148"/>
      <c r="E615" s="148"/>
    </row>
    <row r="616" spans="2:5" ht="13">
      <c r="B616" s="148"/>
      <c r="C616" s="148"/>
      <c r="D616" s="148"/>
      <c r="E616" s="148"/>
    </row>
    <row r="617" spans="2:5" ht="13">
      <c r="B617" s="148"/>
      <c r="C617" s="148"/>
      <c r="D617" s="148"/>
      <c r="E617" s="148"/>
    </row>
    <row r="618" spans="2:5" ht="13">
      <c r="B618" s="148"/>
      <c r="C618" s="148"/>
      <c r="D618" s="148"/>
      <c r="E618" s="148"/>
    </row>
    <row r="619" spans="2:5" ht="13">
      <c r="B619" s="148"/>
      <c r="C619" s="148"/>
      <c r="D619" s="148"/>
      <c r="E619" s="148"/>
    </row>
    <row r="620" spans="2:5" ht="13">
      <c r="B620" s="148"/>
      <c r="C620" s="148"/>
      <c r="D620" s="148"/>
      <c r="E620" s="148"/>
    </row>
    <row r="621" spans="2:5" ht="13">
      <c r="B621" s="148"/>
      <c r="C621" s="148"/>
      <c r="D621" s="148"/>
      <c r="E621" s="148"/>
    </row>
    <row r="622" spans="2:5" ht="13">
      <c r="B622" s="148"/>
      <c r="C622" s="148"/>
      <c r="D622" s="148"/>
      <c r="E622" s="148"/>
    </row>
    <row r="623" spans="2:5" ht="13">
      <c r="B623" s="148"/>
      <c r="C623" s="148"/>
      <c r="D623" s="148"/>
      <c r="E623" s="148"/>
    </row>
    <row r="624" spans="2:5" ht="13">
      <c r="B624" s="148"/>
      <c r="C624" s="148"/>
      <c r="D624" s="148"/>
      <c r="E624" s="148"/>
    </row>
    <row r="625" spans="2:5" ht="13">
      <c r="B625" s="148"/>
      <c r="C625" s="148"/>
      <c r="D625" s="148"/>
      <c r="E625" s="148"/>
    </row>
    <row r="626" spans="2:5" ht="13">
      <c r="B626" s="148"/>
      <c r="C626" s="148"/>
      <c r="D626" s="148"/>
      <c r="E626" s="148"/>
    </row>
    <row r="627" spans="2:5" ht="13">
      <c r="B627" s="148"/>
      <c r="C627" s="148"/>
      <c r="D627" s="148"/>
      <c r="E627" s="148"/>
    </row>
    <row r="628" spans="2:5" ht="13">
      <c r="B628" s="148"/>
      <c r="C628" s="148"/>
      <c r="D628" s="148"/>
      <c r="E628" s="148"/>
    </row>
    <row r="629" spans="2:5" ht="13">
      <c r="B629" s="148"/>
      <c r="C629" s="148"/>
      <c r="D629" s="148"/>
      <c r="E629" s="148"/>
    </row>
    <row r="630" spans="2:5" ht="13">
      <c r="B630" s="148"/>
      <c r="C630" s="148"/>
      <c r="D630" s="148"/>
      <c r="E630" s="148"/>
    </row>
    <row r="631" spans="2:5" ht="13">
      <c r="B631" s="148"/>
      <c r="C631" s="148"/>
      <c r="D631" s="148"/>
      <c r="E631" s="148"/>
    </row>
    <row r="632" spans="2:5" ht="13">
      <c r="B632" s="148"/>
      <c r="C632" s="148"/>
      <c r="D632" s="148"/>
      <c r="E632" s="148"/>
    </row>
    <row r="633" spans="2:5" ht="13">
      <c r="B633" s="148"/>
      <c r="C633" s="148"/>
      <c r="D633" s="148"/>
      <c r="E633" s="148"/>
    </row>
    <row r="634" spans="2:5" ht="13">
      <c r="B634" s="148"/>
      <c r="C634" s="148"/>
      <c r="D634" s="148"/>
      <c r="E634" s="148"/>
    </row>
    <row r="635" spans="2:5" ht="13">
      <c r="B635" s="148"/>
      <c r="C635" s="148"/>
      <c r="D635" s="148"/>
      <c r="E635" s="148"/>
    </row>
    <row r="636" spans="2:5" ht="13">
      <c r="B636" s="148"/>
      <c r="C636" s="148"/>
      <c r="D636" s="148"/>
      <c r="E636" s="148"/>
    </row>
    <row r="637" spans="2:5" ht="13">
      <c r="B637" s="148"/>
      <c r="C637" s="148"/>
      <c r="D637" s="148"/>
      <c r="E637" s="148"/>
    </row>
    <row r="638" spans="2:5" ht="13">
      <c r="B638" s="148"/>
      <c r="C638" s="148"/>
      <c r="D638" s="148"/>
      <c r="E638" s="148"/>
    </row>
    <row r="639" spans="2:5" ht="13">
      <c r="B639" s="148"/>
      <c r="C639" s="148"/>
      <c r="D639" s="148"/>
      <c r="E639" s="148"/>
    </row>
    <row r="640" spans="2:5" ht="13">
      <c r="B640" s="148"/>
      <c r="C640" s="148"/>
      <c r="D640" s="148"/>
      <c r="E640" s="148"/>
    </row>
    <row r="641" spans="2:5" ht="13">
      <c r="B641" s="148"/>
      <c r="C641" s="148"/>
      <c r="D641" s="148"/>
      <c r="E641" s="148"/>
    </row>
    <row r="642" spans="2:5" ht="13">
      <c r="B642" s="148"/>
      <c r="C642" s="148"/>
      <c r="D642" s="148"/>
      <c r="E642" s="148"/>
    </row>
    <row r="643" spans="2:5" ht="13">
      <c r="B643" s="148"/>
      <c r="C643" s="148"/>
      <c r="D643" s="148"/>
      <c r="E643" s="148"/>
    </row>
    <row r="644" spans="2:5" ht="13">
      <c r="B644" s="148"/>
      <c r="C644" s="148"/>
      <c r="D644" s="148"/>
      <c r="E644" s="148"/>
    </row>
    <row r="645" spans="2:5" ht="13">
      <c r="B645" s="148"/>
      <c r="C645" s="148"/>
      <c r="D645" s="148"/>
      <c r="E645" s="148"/>
    </row>
    <row r="646" spans="2:5" ht="13">
      <c r="B646" s="148"/>
      <c r="C646" s="148"/>
      <c r="D646" s="148"/>
      <c r="E646" s="148"/>
    </row>
    <row r="647" spans="2:5" ht="13">
      <c r="B647" s="148"/>
      <c r="C647" s="148"/>
      <c r="D647" s="148"/>
      <c r="E647" s="148"/>
    </row>
    <row r="648" spans="2:5" ht="13">
      <c r="B648" s="148"/>
      <c r="C648" s="148"/>
      <c r="D648" s="148"/>
      <c r="E648" s="148"/>
    </row>
    <row r="649" spans="2:5" ht="13">
      <c r="B649" s="148"/>
      <c r="C649" s="148"/>
      <c r="D649" s="148"/>
      <c r="E649" s="148"/>
    </row>
    <row r="650" spans="2:5" ht="13">
      <c r="B650" s="148"/>
      <c r="C650" s="148"/>
      <c r="D650" s="148"/>
      <c r="E650" s="148"/>
    </row>
    <row r="651" spans="2:5" ht="13">
      <c r="B651" s="148"/>
      <c r="C651" s="148"/>
      <c r="D651" s="148"/>
      <c r="E651" s="148"/>
    </row>
    <row r="652" spans="2:5" ht="13">
      <c r="B652" s="148"/>
      <c r="C652" s="148"/>
      <c r="D652" s="148"/>
      <c r="E652" s="148"/>
    </row>
    <row r="653" spans="2:5" ht="13">
      <c r="B653" s="148"/>
      <c r="C653" s="148"/>
      <c r="D653" s="148"/>
      <c r="E653" s="148"/>
    </row>
    <row r="654" spans="2:5" ht="13">
      <c r="B654" s="148"/>
      <c r="C654" s="148"/>
      <c r="D654" s="148"/>
      <c r="E654" s="148"/>
    </row>
    <row r="655" spans="2:5" ht="13">
      <c r="B655" s="148"/>
      <c r="C655" s="148"/>
      <c r="D655" s="148"/>
      <c r="E655" s="148"/>
    </row>
    <row r="656" spans="2:5" ht="13">
      <c r="B656" s="148"/>
      <c r="C656" s="148"/>
      <c r="D656" s="148"/>
      <c r="E656" s="148"/>
    </row>
    <row r="657" spans="2:5" ht="13">
      <c r="B657" s="148"/>
      <c r="C657" s="148"/>
      <c r="D657" s="148"/>
      <c r="E657" s="148"/>
    </row>
    <row r="658" spans="2:5" ht="13">
      <c r="B658" s="148"/>
      <c r="C658" s="148"/>
      <c r="D658" s="148"/>
      <c r="E658" s="148"/>
    </row>
    <row r="659" spans="2:5" ht="13">
      <c r="B659" s="148"/>
      <c r="C659" s="148"/>
      <c r="D659" s="148"/>
      <c r="E659" s="148"/>
    </row>
    <row r="660" spans="2:5" ht="13">
      <c r="B660" s="148"/>
      <c r="C660" s="148"/>
      <c r="D660" s="148"/>
      <c r="E660" s="148"/>
    </row>
    <row r="661" spans="2:5" ht="13">
      <c r="B661" s="148"/>
      <c r="C661" s="148"/>
      <c r="D661" s="148"/>
      <c r="E661" s="148"/>
    </row>
    <row r="662" spans="2:5" ht="13">
      <c r="B662" s="148"/>
      <c r="C662" s="148"/>
      <c r="D662" s="148"/>
      <c r="E662" s="148"/>
    </row>
    <row r="663" spans="2:5" ht="13">
      <c r="B663" s="148"/>
      <c r="C663" s="148"/>
      <c r="D663" s="148"/>
      <c r="E663" s="148"/>
    </row>
    <row r="664" spans="2:5" ht="13">
      <c r="B664" s="148"/>
      <c r="C664" s="148"/>
      <c r="D664" s="148"/>
      <c r="E664" s="148"/>
    </row>
    <row r="665" spans="2:5" ht="13">
      <c r="B665" s="148"/>
      <c r="C665" s="148"/>
      <c r="D665" s="148"/>
      <c r="E665" s="148"/>
    </row>
    <row r="666" spans="2:5" ht="13">
      <c r="B666" s="148"/>
      <c r="C666" s="148"/>
      <c r="D666" s="148"/>
      <c r="E666" s="148"/>
    </row>
    <row r="667" spans="2:5" ht="13">
      <c r="B667" s="148"/>
      <c r="C667" s="148"/>
      <c r="D667" s="148"/>
      <c r="E667" s="148"/>
    </row>
    <row r="668" spans="2:5" ht="13">
      <c r="B668" s="148"/>
      <c r="C668" s="148"/>
      <c r="D668" s="148"/>
      <c r="E668" s="148"/>
    </row>
    <row r="669" spans="2:5" ht="13">
      <c r="B669" s="148"/>
      <c r="C669" s="148"/>
      <c r="D669" s="148"/>
      <c r="E669" s="148"/>
    </row>
    <row r="670" spans="2:5" ht="13">
      <c r="B670" s="148"/>
      <c r="C670" s="148"/>
      <c r="D670" s="148"/>
      <c r="E670" s="148"/>
    </row>
    <row r="671" spans="2:5" ht="13">
      <c r="B671" s="148"/>
      <c r="C671" s="148"/>
      <c r="D671" s="148"/>
      <c r="E671" s="148"/>
    </row>
    <row r="672" spans="2:5" ht="13">
      <c r="B672" s="148"/>
      <c r="C672" s="148"/>
      <c r="D672" s="148"/>
      <c r="E672" s="148"/>
    </row>
    <row r="673" spans="2:5" ht="13">
      <c r="B673" s="148"/>
      <c r="C673" s="148"/>
      <c r="D673" s="148"/>
      <c r="E673" s="148"/>
    </row>
    <row r="674" spans="2:5" ht="13">
      <c r="B674" s="148"/>
      <c r="C674" s="148"/>
      <c r="D674" s="148"/>
      <c r="E674" s="148"/>
    </row>
    <row r="675" spans="2:5" ht="13">
      <c r="B675" s="148"/>
      <c r="C675" s="148"/>
      <c r="D675" s="148"/>
      <c r="E675" s="148"/>
    </row>
    <row r="676" spans="2:5" ht="13">
      <c r="B676" s="148"/>
      <c r="C676" s="148"/>
      <c r="D676" s="148"/>
      <c r="E676" s="148"/>
    </row>
    <row r="677" spans="2:5" ht="13">
      <c r="B677" s="148"/>
      <c r="C677" s="148"/>
      <c r="D677" s="148"/>
      <c r="E677" s="148"/>
    </row>
    <row r="678" spans="2:5" ht="13">
      <c r="B678" s="148"/>
      <c r="C678" s="148"/>
      <c r="D678" s="148"/>
      <c r="E678" s="148"/>
    </row>
    <row r="679" spans="2:5" ht="13">
      <c r="B679" s="148"/>
      <c r="C679" s="148"/>
      <c r="D679" s="148"/>
      <c r="E679" s="148"/>
    </row>
    <row r="680" spans="2:5" ht="13">
      <c r="B680" s="148"/>
      <c r="C680" s="148"/>
      <c r="D680" s="148"/>
      <c r="E680" s="148"/>
    </row>
    <row r="681" spans="2:5" ht="13">
      <c r="B681" s="148"/>
      <c r="C681" s="148"/>
      <c r="D681" s="148"/>
      <c r="E681" s="148"/>
    </row>
    <row r="682" spans="2:5" ht="13">
      <c r="B682" s="148"/>
      <c r="C682" s="148"/>
      <c r="D682" s="148"/>
      <c r="E682" s="148"/>
    </row>
    <row r="683" spans="2:5" ht="13">
      <c r="B683" s="148"/>
      <c r="C683" s="148"/>
      <c r="D683" s="148"/>
      <c r="E683" s="148"/>
    </row>
    <row r="684" spans="2:5" ht="13">
      <c r="B684" s="148"/>
      <c r="C684" s="148"/>
      <c r="D684" s="148"/>
      <c r="E684" s="148"/>
    </row>
    <row r="685" spans="2:5" ht="13">
      <c r="B685" s="148"/>
      <c r="C685" s="148"/>
      <c r="D685" s="148"/>
      <c r="E685" s="148"/>
    </row>
    <row r="686" spans="2:5" ht="13">
      <c r="B686" s="148"/>
      <c r="C686" s="148"/>
      <c r="D686" s="148"/>
      <c r="E686" s="148"/>
    </row>
    <row r="687" spans="2:5" ht="13">
      <c r="B687" s="148"/>
      <c r="C687" s="148"/>
      <c r="D687" s="148"/>
      <c r="E687" s="148"/>
    </row>
    <row r="688" spans="2:5" ht="13">
      <c r="B688" s="148"/>
      <c r="C688" s="148"/>
      <c r="D688" s="148"/>
      <c r="E688" s="148"/>
    </row>
    <row r="689" spans="2:5" ht="13">
      <c r="B689" s="148"/>
      <c r="C689" s="148"/>
      <c r="D689" s="148"/>
      <c r="E689" s="148"/>
    </row>
    <row r="690" spans="2:5" ht="13">
      <c r="B690" s="148"/>
      <c r="C690" s="148"/>
      <c r="D690" s="148"/>
      <c r="E690" s="148"/>
    </row>
    <row r="691" spans="2:5" ht="13">
      <c r="B691" s="148"/>
      <c r="C691" s="148"/>
      <c r="D691" s="148"/>
      <c r="E691" s="148"/>
    </row>
    <row r="692" spans="2:5" ht="13">
      <c r="B692" s="148"/>
      <c r="C692" s="148"/>
      <c r="D692" s="148"/>
      <c r="E692" s="148"/>
    </row>
    <row r="693" spans="2:5" ht="13">
      <c r="B693" s="148"/>
      <c r="C693" s="148"/>
      <c r="D693" s="148"/>
      <c r="E693" s="148"/>
    </row>
    <row r="694" spans="2:5" ht="13">
      <c r="B694" s="148"/>
      <c r="C694" s="148"/>
      <c r="D694" s="148"/>
      <c r="E694" s="148"/>
    </row>
    <row r="695" spans="2:5" ht="13">
      <c r="B695" s="148"/>
      <c r="C695" s="148"/>
      <c r="D695" s="148"/>
      <c r="E695" s="148"/>
    </row>
    <row r="696" spans="2:5" ht="13">
      <c r="B696" s="148"/>
      <c r="C696" s="148"/>
      <c r="D696" s="148"/>
      <c r="E696" s="148"/>
    </row>
    <row r="697" spans="2:5" ht="13">
      <c r="B697" s="148"/>
      <c r="C697" s="148"/>
      <c r="D697" s="148"/>
      <c r="E697" s="148"/>
    </row>
    <row r="698" spans="2:5" ht="13">
      <c r="B698" s="148"/>
      <c r="C698" s="148"/>
      <c r="D698" s="148"/>
      <c r="E698" s="148"/>
    </row>
    <row r="699" spans="2:5" ht="13">
      <c r="B699" s="148"/>
      <c r="C699" s="148"/>
      <c r="D699" s="148"/>
      <c r="E699" s="148"/>
    </row>
    <row r="700" spans="2:5" ht="13">
      <c r="B700" s="148"/>
      <c r="C700" s="148"/>
      <c r="D700" s="148"/>
      <c r="E700" s="148"/>
    </row>
    <row r="701" spans="2:5" ht="13">
      <c r="B701" s="148"/>
      <c r="C701" s="148"/>
      <c r="D701" s="148"/>
      <c r="E701" s="148"/>
    </row>
    <row r="702" spans="2:5" ht="13">
      <c r="B702" s="148"/>
      <c r="C702" s="148"/>
      <c r="D702" s="148"/>
      <c r="E702" s="148"/>
    </row>
    <row r="703" spans="2:5" ht="13">
      <c r="B703" s="148"/>
      <c r="C703" s="148"/>
      <c r="D703" s="148"/>
      <c r="E703" s="148"/>
    </row>
    <row r="704" spans="2:5" ht="13">
      <c r="B704" s="148"/>
      <c r="C704" s="148"/>
      <c r="D704" s="148"/>
      <c r="E704" s="148"/>
    </row>
    <row r="705" spans="2:5" ht="13">
      <c r="B705" s="148"/>
      <c r="C705" s="148"/>
      <c r="D705" s="148"/>
      <c r="E705" s="148"/>
    </row>
    <row r="706" spans="2:5" ht="13">
      <c r="B706" s="148"/>
      <c r="C706" s="148"/>
      <c r="D706" s="148"/>
      <c r="E706" s="148"/>
    </row>
    <row r="707" spans="2:5" ht="13">
      <c r="B707" s="148"/>
      <c r="C707" s="148"/>
      <c r="D707" s="148"/>
      <c r="E707" s="148"/>
    </row>
    <row r="708" spans="2:5" ht="13">
      <c r="B708" s="148"/>
      <c r="C708" s="148"/>
      <c r="D708" s="148"/>
      <c r="E708" s="148"/>
    </row>
    <row r="709" spans="2:5" ht="13">
      <c r="B709" s="148"/>
      <c r="C709" s="148"/>
      <c r="D709" s="148"/>
      <c r="E709" s="148"/>
    </row>
    <row r="710" spans="2:5" ht="13">
      <c r="B710" s="148"/>
      <c r="C710" s="148"/>
      <c r="D710" s="148"/>
      <c r="E710" s="148"/>
    </row>
    <row r="711" spans="2:5" ht="13">
      <c r="B711" s="148"/>
      <c r="C711" s="148"/>
      <c r="D711" s="148"/>
      <c r="E711" s="148"/>
    </row>
    <row r="712" spans="2:5" ht="13">
      <c r="B712" s="148"/>
      <c r="C712" s="148"/>
      <c r="D712" s="148"/>
      <c r="E712" s="148"/>
    </row>
    <row r="713" spans="2:5" ht="13">
      <c r="B713" s="148"/>
      <c r="C713" s="148"/>
      <c r="D713" s="148"/>
      <c r="E713" s="148"/>
    </row>
    <row r="714" spans="2:5" ht="13">
      <c r="B714" s="148"/>
      <c r="C714" s="148"/>
      <c r="D714" s="148"/>
      <c r="E714" s="148"/>
    </row>
    <row r="715" spans="2:5" ht="13">
      <c r="B715" s="148"/>
      <c r="C715" s="148"/>
      <c r="D715" s="148"/>
      <c r="E715" s="148"/>
    </row>
    <row r="716" spans="2:5" ht="13">
      <c r="B716" s="148"/>
      <c r="C716" s="148"/>
      <c r="D716" s="148"/>
      <c r="E716" s="148"/>
    </row>
    <row r="717" spans="2:5" ht="13">
      <c r="B717" s="148"/>
      <c r="C717" s="148"/>
      <c r="D717" s="148"/>
      <c r="E717" s="148"/>
    </row>
    <row r="718" spans="2:5" ht="13">
      <c r="B718" s="148"/>
      <c r="C718" s="148"/>
      <c r="D718" s="148"/>
      <c r="E718" s="148"/>
    </row>
    <row r="719" spans="2:5" ht="13">
      <c r="B719" s="148"/>
      <c r="C719" s="148"/>
      <c r="D719" s="148"/>
      <c r="E719" s="148"/>
    </row>
    <row r="720" spans="2:5" ht="13">
      <c r="B720" s="148"/>
      <c r="C720" s="148"/>
      <c r="D720" s="148"/>
      <c r="E720" s="148"/>
    </row>
    <row r="721" spans="2:5" ht="13">
      <c r="B721" s="148"/>
      <c r="C721" s="148"/>
      <c r="D721" s="148"/>
      <c r="E721" s="148"/>
    </row>
    <row r="722" spans="2:5" ht="13">
      <c r="B722" s="148"/>
      <c r="C722" s="148"/>
      <c r="D722" s="148"/>
      <c r="E722" s="148"/>
    </row>
    <row r="723" spans="2:5" ht="13">
      <c r="B723" s="148"/>
      <c r="C723" s="148"/>
      <c r="D723" s="148"/>
      <c r="E723" s="148"/>
    </row>
    <row r="724" spans="2:5" ht="13">
      <c r="B724" s="148"/>
      <c r="C724" s="148"/>
      <c r="D724" s="148"/>
      <c r="E724" s="148"/>
    </row>
    <row r="725" spans="2:5" ht="13">
      <c r="B725" s="148"/>
      <c r="C725" s="148"/>
      <c r="D725" s="148"/>
      <c r="E725" s="148"/>
    </row>
    <row r="726" spans="2:5" ht="13">
      <c r="B726" s="148"/>
      <c r="C726" s="148"/>
      <c r="D726" s="148"/>
      <c r="E726" s="148"/>
    </row>
    <row r="727" spans="2:5" ht="13">
      <c r="B727" s="148"/>
      <c r="C727" s="148"/>
      <c r="D727" s="148"/>
      <c r="E727" s="148"/>
    </row>
    <row r="728" spans="2:5" ht="13">
      <c r="B728" s="148"/>
      <c r="C728" s="148"/>
      <c r="D728" s="148"/>
      <c r="E728" s="148"/>
    </row>
    <row r="729" spans="2:5" ht="13">
      <c r="B729" s="148"/>
      <c r="C729" s="148"/>
      <c r="D729" s="148"/>
      <c r="E729" s="148"/>
    </row>
    <row r="730" spans="2:5" ht="13">
      <c r="B730" s="148"/>
      <c r="C730" s="148"/>
      <c r="D730" s="148"/>
      <c r="E730" s="148"/>
    </row>
    <row r="731" spans="2:5" ht="13">
      <c r="B731" s="148"/>
      <c r="C731" s="148"/>
      <c r="D731" s="148"/>
      <c r="E731" s="148"/>
    </row>
    <row r="732" spans="2:5" ht="13">
      <c r="B732" s="148"/>
      <c r="C732" s="148"/>
      <c r="D732" s="148"/>
      <c r="E732" s="148"/>
    </row>
    <row r="733" spans="2:5" ht="13">
      <c r="B733" s="148"/>
      <c r="C733" s="148"/>
      <c r="D733" s="148"/>
      <c r="E733" s="148"/>
    </row>
    <row r="734" spans="2:5" ht="13">
      <c r="B734" s="148"/>
      <c r="C734" s="148"/>
      <c r="D734" s="148"/>
      <c r="E734" s="148"/>
    </row>
    <row r="735" spans="2:5" ht="13">
      <c r="B735" s="148"/>
      <c r="C735" s="148"/>
      <c r="D735" s="148"/>
      <c r="E735" s="148"/>
    </row>
    <row r="736" spans="2:5" ht="13">
      <c r="B736" s="148"/>
      <c r="C736" s="148"/>
      <c r="D736" s="148"/>
      <c r="E736" s="148"/>
    </row>
    <row r="737" spans="2:5" ht="13">
      <c r="B737" s="148"/>
      <c r="C737" s="148"/>
      <c r="D737" s="148"/>
      <c r="E737" s="148"/>
    </row>
    <row r="738" spans="2:5" ht="13">
      <c r="B738" s="148"/>
      <c r="C738" s="148"/>
      <c r="D738" s="148"/>
      <c r="E738" s="148"/>
    </row>
    <row r="739" spans="2:5" ht="13">
      <c r="B739" s="148"/>
      <c r="C739" s="148"/>
      <c r="D739" s="148"/>
      <c r="E739" s="148"/>
    </row>
    <row r="740" spans="2:5" ht="13">
      <c r="B740" s="148"/>
      <c r="C740" s="148"/>
      <c r="D740" s="148"/>
      <c r="E740" s="148"/>
    </row>
    <row r="741" spans="2:5" ht="13">
      <c r="B741" s="148"/>
      <c r="C741" s="148"/>
      <c r="D741" s="148"/>
      <c r="E741" s="148"/>
    </row>
    <row r="742" spans="2:5" ht="13">
      <c r="B742" s="148"/>
      <c r="C742" s="148"/>
      <c r="D742" s="148"/>
      <c r="E742" s="148"/>
    </row>
    <row r="743" spans="2:5" ht="13">
      <c r="B743" s="148"/>
      <c r="C743" s="148"/>
      <c r="D743" s="148"/>
      <c r="E743" s="148"/>
    </row>
    <row r="744" spans="2:5" ht="13">
      <c r="B744" s="148"/>
      <c r="C744" s="148"/>
      <c r="D744" s="148"/>
      <c r="E744" s="148"/>
    </row>
    <row r="745" spans="2:5" ht="13">
      <c r="B745" s="148"/>
      <c r="C745" s="148"/>
      <c r="D745" s="148"/>
      <c r="E745" s="148"/>
    </row>
    <row r="746" spans="2:5" ht="13">
      <c r="B746" s="148"/>
      <c r="C746" s="148"/>
      <c r="D746" s="148"/>
      <c r="E746" s="148"/>
    </row>
    <row r="747" spans="2:5" ht="13">
      <c r="B747" s="148"/>
      <c r="C747" s="148"/>
      <c r="D747" s="148"/>
      <c r="E747" s="148"/>
    </row>
    <row r="748" spans="2:5" ht="13">
      <c r="B748" s="148"/>
      <c r="C748" s="148"/>
      <c r="D748" s="148"/>
      <c r="E748" s="148"/>
    </row>
    <row r="749" spans="2:5" ht="13">
      <c r="B749" s="148"/>
      <c r="C749" s="148"/>
      <c r="D749" s="148"/>
      <c r="E749" s="148"/>
    </row>
    <row r="750" spans="2:5" ht="13">
      <c r="B750" s="148"/>
      <c r="C750" s="148"/>
      <c r="D750" s="148"/>
      <c r="E750" s="148"/>
    </row>
    <row r="751" spans="2:5" ht="13">
      <c r="B751" s="148"/>
      <c r="C751" s="148"/>
      <c r="D751" s="148"/>
      <c r="E751" s="148"/>
    </row>
    <row r="752" spans="2:5" ht="13">
      <c r="B752" s="148"/>
      <c r="C752" s="148"/>
      <c r="D752" s="148"/>
      <c r="E752" s="148"/>
    </row>
    <row r="753" spans="2:5" ht="13">
      <c r="B753" s="148"/>
      <c r="C753" s="148"/>
      <c r="D753" s="148"/>
      <c r="E753" s="148"/>
    </row>
    <row r="754" spans="2:5" ht="13">
      <c r="B754" s="148"/>
      <c r="C754" s="148"/>
      <c r="D754" s="148"/>
      <c r="E754" s="148"/>
    </row>
    <row r="755" spans="2:5" ht="13">
      <c r="B755" s="148"/>
      <c r="C755" s="148"/>
      <c r="D755" s="148"/>
      <c r="E755" s="148"/>
    </row>
    <row r="756" spans="2:5" ht="13">
      <c r="B756" s="148"/>
      <c r="C756" s="148"/>
      <c r="D756" s="148"/>
      <c r="E756" s="148"/>
    </row>
    <row r="757" spans="2:5" ht="13">
      <c r="B757" s="148"/>
      <c r="C757" s="148"/>
      <c r="D757" s="148"/>
      <c r="E757" s="148"/>
    </row>
    <row r="758" spans="2:5" ht="13">
      <c r="B758" s="148"/>
      <c r="C758" s="148"/>
      <c r="D758" s="148"/>
      <c r="E758" s="148"/>
    </row>
    <row r="759" spans="2:5" ht="13">
      <c r="B759" s="148"/>
      <c r="C759" s="148"/>
      <c r="D759" s="148"/>
      <c r="E759" s="148"/>
    </row>
    <row r="760" spans="2:5" ht="13">
      <c r="B760" s="148"/>
      <c r="C760" s="148"/>
      <c r="D760" s="148"/>
      <c r="E760" s="148"/>
    </row>
    <row r="761" spans="2:5" ht="13">
      <c r="B761" s="148"/>
      <c r="C761" s="148"/>
      <c r="D761" s="148"/>
      <c r="E761" s="148"/>
    </row>
    <row r="762" spans="2:5" ht="13">
      <c r="B762" s="148"/>
      <c r="C762" s="148"/>
      <c r="D762" s="148"/>
      <c r="E762" s="148"/>
    </row>
    <row r="763" spans="2:5" ht="13">
      <c r="B763" s="148"/>
      <c r="C763" s="148"/>
      <c r="D763" s="148"/>
      <c r="E763" s="148"/>
    </row>
    <row r="764" spans="2:5" ht="13">
      <c r="B764" s="148"/>
      <c r="C764" s="148"/>
      <c r="D764" s="148"/>
      <c r="E764" s="148"/>
    </row>
    <row r="765" spans="2:5" ht="13">
      <c r="B765" s="148"/>
      <c r="C765" s="148"/>
      <c r="D765" s="148"/>
      <c r="E765" s="148"/>
    </row>
    <row r="766" spans="2:5" ht="13">
      <c r="B766" s="148"/>
      <c r="C766" s="148"/>
      <c r="D766" s="148"/>
      <c r="E766" s="148"/>
    </row>
    <row r="767" spans="2:5" ht="13">
      <c r="B767" s="148"/>
      <c r="C767" s="148"/>
      <c r="D767" s="148"/>
      <c r="E767" s="148"/>
    </row>
    <row r="768" spans="2:5" ht="13">
      <c r="B768" s="148"/>
      <c r="C768" s="148"/>
      <c r="D768" s="148"/>
      <c r="E768" s="148"/>
    </row>
    <row r="769" spans="2:5" ht="13">
      <c r="B769" s="148"/>
      <c r="C769" s="148"/>
      <c r="D769" s="148"/>
      <c r="E769" s="148"/>
    </row>
    <row r="770" spans="2:5" ht="13">
      <c r="B770" s="148"/>
      <c r="C770" s="148"/>
      <c r="D770" s="148"/>
      <c r="E770" s="148"/>
    </row>
    <row r="771" spans="2:5" ht="13">
      <c r="B771" s="148"/>
      <c r="C771" s="148"/>
      <c r="D771" s="148"/>
      <c r="E771" s="148"/>
    </row>
    <row r="772" spans="2:5" ht="13">
      <c r="B772" s="148"/>
      <c r="C772" s="148"/>
      <c r="D772" s="148"/>
      <c r="E772" s="148"/>
    </row>
    <row r="773" spans="2:5" ht="13">
      <c r="B773" s="148"/>
      <c r="C773" s="148"/>
      <c r="D773" s="148"/>
      <c r="E773" s="148"/>
    </row>
    <row r="774" spans="2:5" ht="13">
      <c r="B774" s="148"/>
      <c r="C774" s="148"/>
      <c r="D774" s="148"/>
      <c r="E774" s="148"/>
    </row>
    <row r="775" spans="2:5" ht="13">
      <c r="B775" s="148"/>
      <c r="C775" s="148"/>
      <c r="D775" s="148"/>
      <c r="E775" s="148"/>
    </row>
    <row r="776" spans="2:5" ht="13">
      <c r="B776" s="148"/>
      <c r="C776" s="148"/>
      <c r="D776" s="148"/>
      <c r="E776" s="148"/>
    </row>
    <row r="777" spans="2:5" ht="13">
      <c r="B777" s="148"/>
      <c r="C777" s="148"/>
      <c r="D777" s="148"/>
      <c r="E777" s="148"/>
    </row>
    <row r="778" spans="2:5" ht="13">
      <c r="B778" s="148"/>
      <c r="C778" s="148"/>
      <c r="D778" s="148"/>
      <c r="E778" s="148"/>
    </row>
    <row r="779" spans="2:5" ht="13">
      <c r="B779" s="148"/>
      <c r="C779" s="148"/>
      <c r="D779" s="148"/>
      <c r="E779" s="148"/>
    </row>
    <row r="780" spans="2:5" ht="13">
      <c r="B780" s="148"/>
      <c r="C780" s="148"/>
      <c r="D780" s="148"/>
      <c r="E780" s="148"/>
    </row>
    <row r="781" spans="2:5" ht="13">
      <c r="B781" s="148"/>
      <c r="C781" s="148"/>
      <c r="D781" s="148"/>
      <c r="E781" s="148"/>
    </row>
    <row r="782" spans="2:5" ht="13">
      <c r="B782" s="148"/>
      <c r="C782" s="148"/>
      <c r="D782" s="148"/>
      <c r="E782" s="148"/>
    </row>
    <row r="783" spans="2:5" ht="13">
      <c r="B783" s="148"/>
      <c r="C783" s="148"/>
      <c r="D783" s="148"/>
      <c r="E783" s="148"/>
    </row>
    <row r="784" spans="2:5" ht="13">
      <c r="B784" s="148"/>
      <c r="C784" s="148"/>
      <c r="D784" s="148"/>
      <c r="E784" s="148"/>
    </row>
    <row r="785" spans="2:5" ht="13">
      <c r="B785" s="148"/>
      <c r="C785" s="148"/>
      <c r="D785" s="148"/>
      <c r="E785" s="148"/>
    </row>
    <row r="786" spans="2:5" ht="13">
      <c r="B786" s="148"/>
      <c r="C786" s="148"/>
      <c r="D786" s="148"/>
      <c r="E786" s="148"/>
    </row>
    <row r="787" spans="2:5" ht="13">
      <c r="B787" s="148"/>
      <c r="C787" s="148"/>
      <c r="D787" s="148"/>
      <c r="E787" s="148"/>
    </row>
    <row r="788" spans="2:5" ht="13">
      <c r="B788" s="148"/>
      <c r="C788" s="148"/>
      <c r="D788" s="148"/>
      <c r="E788" s="148"/>
    </row>
    <row r="789" spans="2:5" ht="13">
      <c r="B789" s="148"/>
      <c r="C789" s="148"/>
      <c r="D789" s="148"/>
      <c r="E789" s="148"/>
    </row>
    <row r="790" spans="2:5" ht="13">
      <c r="B790" s="148"/>
      <c r="C790" s="148"/>
      <c r="D790" s="148"/>
      <c r="E790" s="148"/>
    </row>
    <row r="791" spans="2:5" ht="13">
      <c r="B791" s="148"/>
      <c r="C791" s="148"/>
      <c r="D791" s="148"/>
      <c r="E791" s="148"/>
    </row>
    <row r="792" spans="2:5" ht="13">
      <c r="B792" s="148"/>
      <c r="C792" s="148"/>
      <c r="D792" s="148"/>
      <c r="E792" s="148"/>
    </row>
    <row r="793" spans="2:5" ht="13">
      <c r="B793" s="148"/>
      <c r="C793" s="148"/>
      <c r="D793" s="148"/>
      <c r="E793" s="148"/>
    </row>
    <row r="794" spans="2:5" ht="13">
      <c r="B794" s="148"/>
      <c r="C794" s="148"/>
      <c r="D794" s="148"/>
      <c r="E794" s="148"/>
    </row>
    <row r="795" spans="2:5" ht="13">
      <c r="B795" s="148"/>
      <c r="C795" s="148"/>
      <c r="D795" s="148"/>
      <c r="E795" s="148"/>
    </row>
    <row r="796" spans="2:5" ht="13">
      <c r="B796" s="148"/>
      <c r="C796" s="148"/>
      <c r="D796" s="148"/>
      <c r="E796" s="148"/>
    </row>
    <row r="797" spans="2:5" ht="13">
      <c r="B797" s="148"/>
      <c r="C797" s="148"/>
      <c r="D797" s="148"/>
      <c r="E797" s="148"/>
    </row>
    <row r="798" spans="2:5" ht="13">
      <c r="B798" s="148"/>
      <c r="C798" s="148"/>
      <c r="D798" s="148"/>
      <c r="E798" s="148"/>
    </row>
    <row r="799" spans="2:5" ht="13">
      <c r="B799" s="148"/>
      <c r="C799" s="148"/>
      <c r="D799" s="148"/>
      <c r="E799" s="148"/>
    </row>
    <row r="800" spans="2:5" ht="13">
      <c r="B800" s="148"/>
      <c r="C800" s="148"/>
      <c r="D800" s="148"/>
      <c r="E800" s="148"/>
    </row>
    <row r="801" spans="2:5" ht="13">
      <c r="B801" s="148"/>
      <c r="C801" s="148"/>
      <c r="D801" s="148"/>
      <c r="E801" s="148"/>
    </row>
    <row r="802" spans="2:5" ht="13">
      <c r="B802" s="148"/>
      <c r="C802" s="148"/>
      <c r="D802" s="148"/>
      <c r="E802" s="148"/>
    </row>
    <row r="803" spans="2:5" ht="13">
      <c r="B803" s="148"/>
      <c r="C803" s="148"/>
      <c r="D803" s="148"/>
      <c r="E803" s="148"/>
    </row>
    <row r="804" spans="2:5" ht="13">
      <c r="B804" s="148"/>
      <c r="C804" s="148"/>
      <c r="D804" s="148"/>
      <c r="E804" s="148"/>
    </row>
    <row r="805" spans="2:5" ht="13">
      <c r="B805" s="148"/>
      <c r="C805" s="148"/>
      <c r="D805" s="148"/>
      <c r="E805" s="148"/>
    </row>
    <row r="806" spans="2:5" ht="13">
      <c r="B806" s="148"/>
      <c r="C806" s="148"/>
      <c r="D806" s="148"/>
      <c r="E806" s="148"/>
    </row>
    <row r="807" spans="2:5" ht="13">
      <c r="B807" s="148"/>
      <c r="C807" s="148"/>
      <c r="D807" s="148"/>
      <c r="E807" s="148"/>
    </row>
    <row r="808" spans="2:5" ht="13">
      <c r="B808" s="148"/>
      <c r="C808" s="148"/>
      <c r="D808" s="148"/>
      <c r="E808" s="148"/>
    </row>
    <row r="809" spans="2:5" ht="13">
      <c r="B809" s="148"/>
      <c r="C809" s="148"/>
      <c r="D809" s="148"/>
      <c r="E809" s="148"/>
    </row>
    <row r="810" spans="2:5" ht="13">
      <c r="B810" s="148"/>
      <c r="C810" s="148"/>
      <c r="D810" s="148"/>
      <c r="E810" s="148"/>
    </row>
    <row r="811" spans="2:5" ht="13">
      <c r="B811" s="148"/>
      <c r="C811" s="148"/>
      <c r="D811" s="148"/>
      <c r="E811" s="148"/>
    </row>
    <row r="812" spans="2:5" ht="13">
      <c r="B812" s="148"/>
      <c r="C812" s="148"/>
      <c r="D812" s="148"/>
      <c r="E812" s="148"/>
    </row>
    <row r="813" spans="2:5" ht="13">
      <c r="B813" s="148"/>
      <c r="C813" s="148"/>
      <c r="D813" s="148"/>
      <c r="E813" s="148"/>
    </row>
    <row r="814" spans="2:5" ht="13">
      <c r="B814" s="148"/>
      <c r="C814" s="148"/>
      <c r="D814" s="148"/>
      <c r="E814" s="148"/>
    </row>
    <row r="815" spans="2:5" ht="13">
      <c r="B815" s="148"/>
      <c r="C815" s="148"/>
      <c r="D815" s="148"/>
      <c r="E815" s="148"/>
    </row>
    <row r="816" spans="2:5" ht="13">
      <c r="B816" s="148"/>
      <c r="C816" s="148"/>
      <c r="D816" s="148"/>
      <c r="E816" s="148"/>
    </row>
    <row r="817" spans="2:5" ht="13">
      <c r="B817" s="148"/>
      <c r="C817" s="148"/>
      <c r="D817" s="148"/>
      <c r="E817" s="148"/>
    </row>
    <row r="818" spans="2:5" ht="13">
      <c r="B818" s="148"/>
      <c r="C818" s="148"/>
      <c r="D818" s="148"/>
      <c r="E818" s="148"/>
    </row>
    <row r="819" spans="2:5" ht="13">
      <c r="B819" s="148"/>
      <c r="C819" s="148"/>
      <c r="D819" s="148"/>
      <c r="E819" s="148"/>
    </row>
    <row r="820" spans="2:5" ht="13">
      <c r="B820" s="148"/>
      <c r="C820" s="148"/>
      <c r="D820" s="148"/>
      <c r="E820" s="148"/>
    </row>
    <row r="821" spans="2:5" ht="13">
      <c r="B821" s="148"/>
      <c r="C821" s="148"/>
      <c r="D821" s="148"/>
      <c r="E821" s="148"/>
    </row>
    <row r="822" spans="2:5" ht="13">
      <c r="B822" s="148"/>
      <c r="C822" s="148"/>
      <c r="D822" s="148"/>
      <c r="E822" s="148"/>
    </row>
    <row r="823" spans="2:5" ht="13">
      <c r="B823" s="148"/>
      <c r="C823" s="148"/>
      <c r="D823" s="148"/>
      <c r="E823" s="148"/>
    </row>
    <row r="824" spans="2:5" ht="13">
      <c r="B824" s="148"/>
      <c r="C824" s="148"/>
      <c r="D824" s="148"/>
      <c r="E824" s="148"/>
    </row>
    <row r="825" spans="2:5" ht="13">
      <c r="B825" s="148"/>
      <c r="C825" s="148"/>
      <c r="D825" s="148"/>
      <c r="E825" s="148"/>
    </row>
    <row r="826" spans="2:5" ht="13">
      <c r="B826" s="148"/>
      <c r="C826" s="148"/>
      <c r="D826" s="148"/>
      <c r="E826" s="148"/>
    </row>
    <row r="827" spans="2:5" ht="13">
      <c r="B827" s="148"/>
      <c r="C827" s="148"/>
      <c r="D827" s="148"/>
      <c r="E827" s="148"/>
    </row>
    <row r="828" spans="2:5" ht="13">
      <c r="B828" s="148"/>
      <c r="C828" s="148"/>
      <c r="D828" s="148"/>
      <c r="E828" s="148"/>
    </row>
    <row r="829" spans="2:5" ht="13">
      <c r="B829" s="148"/>
      <c r="C829" s="148"/>
      <c r="D829" s="148"/>
      <c r="E829" s="148"/>
    </row>
    <row r="830" spans="2:5" ht="13">
      <c r="B830" s="148"/>
      <c r="C830" s="148"/>
      <c r="D830" s="148"/>
      <c r="E830" s="148"/>
    </row>
    <row r="831" spans="2:5" ht="13">
      <c r="B831" s="148"/>
      <c r="C831" s="148"/>
      <c r="D831" s="148"/>
      <c r="E831" s="148"/>
    </row>
    <row r="832" spans="2:5" ht="13">
      <c r="B832" s="148"/>
      <c r="C832" s="148"/>
      <c r="D832" s="148"/>
      <c r="E832" s="148"/>
    </row>
    <row r="833" spans="2:5" ht="13">
      <c r="B833" s="148"/>
      <c r="C833" s="148"/>
      <c r="D833" s="148"/>
      <c r="E833" s="148"/>
    </row>
    <row r="834" spans="2:5" ht="13">
      <c r="B834" s="148"/>
      <c r="C834" s="148"/>
      <c r="D834" s="148"/>
      <c r="E834" s="148"/>
    </row>
    <row r="835" spans="2:5" ht="13">
      <c r="B835" s="148"/>
      <c r="C835" s="148"/>
      <c r="D835" s="148"/>
      <c r="E835" s="148"/>
    </row>
    <row r="836" spans="2:5" ht="13">
      <c r="B836" s="148"/>
      <c r="C836" s="148"/>
      <c r="D836" s="148"/>
      <c r="E836" s="148"/>
    </row>
    <row r="837" spans="2:5" ht="13">
      <c r="B837" s="148"/>
      <c r="C837" s="148"/>
      <c r="D837" s="148"/>
      <c r="E837" s="148"/>
    </row>
    <row r="838" spans="2:5" ht="13">
      <c r="B838" s="148"/>
      <c r="C838" s="148"/>
      <c r="D838" s="148"/>
      <c r="E838" s="148"/>
    </row>
    <row r="839" spans="2:5" ht="13">
      <c r="B839" s="148"/>
      <c r="C839" s="148"/>
      <c r="D839" s="148"/>
      <c r="E839" s="148"/>
    </row>
    <row r="840" spans="2:5" ht="13">
      <c r="B840" s="148"/>
      <c r="C840" s="148"/>
      <c r="D840" s="148"/>
      <c r="E840" s="148"/>
    </row>
    <row r="841" spans="2:5" ht="13">
      <c r="B841" s="148"/>
      <c r="C841" s="148"/>
      <c r="D841" s="148"/>
      <c r="E841" s="148"/>
    </row>
    <row r="842" spans="2:5" ht="13">
      <c r="B842" s="148"/>
      <c r="C842" s="148"/>
      <c r="D842" s="148"/>
      <c r="E842" s="148"/>
    </row>
    <row r="843" spans="2:5" ht="13">
      <c r="B843" s="148"/>
      <c r="C843" s="148"/>
      <c r="D843" s="148"/>
      <c r="E843" s="148"/>
    </row>
    <row r="844" spans="2:5" ht="13">
      <c r="B844" s="148"/>
      <c r="C844" s="148"/>
      <c r="D844" s="148"/>
      <c r="E844" s="148"/>
    </row>
    <row r="845" spans="2:5" ht="13">
      <c r="B845" s="148"/>
      <c r="C845" s="148"/>
      <c r="D845" s="148"/>
      <c r="E845" s="148"/>
    </row>
    <row r="846" spans="2:5" ht="13">
      <c r="B846" s="148"/>
      <c r="C846" s="148"/>
      <c r="D846" s="148"/>
      <c r="E846" s="148"/>
    </row>
    <row r="847" spans="2:5" ht="13">
      <c r="B847" s="148"/>
      <c r="C847" s="148"/>
      <c r="D847" s="148"/>
      <c r="E847" s="148"/>
    </row>
    <row r="848" spans="2:5" ht="13">
      <c r="B848" s="148"/>
      <c r="C848" s="148"/>
      <c r="D848" s="148"/>
      <c r="E848" s="148"/>
    </row>
    <row r="849" spans="2:5" ht="13">
      <c r="B849" s="148"/>
      <c r="C849" s="148"/>
      <c r="D849" s="148"/>
      <c r="E849" s="148"/>
    </row>
    <row r="850" spans="2:5" ht="13">
      <c r="B850" s="148"/>
      <c r="C850" s="148"/>
      <c r="D850" s="148"/>
      <c r="E850" s="148"/>
    </row>
    <row r="851" spans="2:5" ht="13">
      <c r="B851" s="148"/>
      <c r="C851" s="148"/>
      <c r="D851" s="148"/>
      <c r="E851" s="148"/>
    </row>
    <row r="852" spans="2:5" ht="13">
      <c r="B852" s="148"/>
      <c r="C852" s="148"/>
      <c r="D852" s="148"/>
      <c r="E852" s="148"/>
    </row>
    <row r="853" spans="2:5" ht="13">
      <c r="B853" s="148"/>
      <c r="C853" s="148"/>
      <c r="D853" s="148"/>
      <c r="E853" s="148"/>
    </row>
    <row r="854" spans="2:5" ht="13">
      <c r="B854" s="148"/>
      <c r="C854" s="148"/>
      <c r="D854" s="148"/>
      <c r="E854" s="148"/>
    </row>
    <row r="855" spans="2:5" ht="13">
      <c r="B855" s="148"/>
      <c r="C855" s="148"/>
      <c r="D855" s="148"/>
      <c r="E855" s="148"/>
    </row>
    <row r="856" spans="2:5" ht="13">
      <c r="B856" s="148"/>
      <c r="C856" s="148"/>
      <c r="D856" s="148"/>
      <c r="E856" s="148"/>
    </row>
    <row r="857" spans="2:5" ht="13">
      <c r="B857" s="148"/>
      <c r="C857" s="148"/>
      <c r="D857" s="148"/>
      <c r="E857" s="148"/>
    </row>
    <row r="858" spans="2:5" ht="13">
      <c r="B858" s="148"/>
      <c r="C858" s="148"/>
      <c r="D858" s="148"/>
      <c r="E858" s="148"/>
    </row>
    <row r="859" spans="2:5" ht="13">
      <c r="B859" s="148"/>
      <c r="C859" s="148"/>
      <c r="D859" s="148"/>
      <c r="E859" s="148"/>
    </row>
    <row r="860" spans="2:5" ht="13">
      <c r="B860" s="148"/>
      <c r="C860" s="148"/>
      <c r="D860" s="148"/>
      <c r="E860" s="148"/>
    </row>
    <row r="861" spans="2:5" ht="13">
      <c r="B861" s="148"/>
      <c r="C861" s="148"/>
      <c r="D861" s="148"/>
      <c r="E861" s="148"/>
    </row>
    <row r="862" spans="2:5" ht="13">
      <c r="B862" s="148"/>
      <c r="C862" s="148"/>
      <c r="D862" s="148"/>
      <c r="E862" s="148"/>
    </row>
    <row r="863" spans="2:5" ht="13">
      <c r="B863" s="148"/>
      <c r="C863" s="148"/>
      <c r="D863" s="148"/>
      <c r="E863" s="148"/>
    </row>
    <row r="864" spans="2:5" ht="13">
      <c r="B864" s="148"/>
      <c r="C864" s="148"/>
      <c r="D864" s="148"/>
      <c r="E864" s="148"/>
    </row>
    <row r="865" spans="2:5" ht="13">
      <c r="B865" s="148"/>
      <c r="C865" s="148"/>
      <c r="D865" s="148"/>
      <c r="E865" s="148"/>
    </row>
    <row r="866" spans="2:5" ht="13">
      <c r="B866" s="148"/>
      <c r="C866" s="148"/>
      <c r="D866" s="148"/>
      <c r="E866" s="148"/>
    </row>
    <row r="867" spans="2:5" ht="13">
      <c r="B867" s="148"/>
      <c r="C867" s="148"/>
      <c r="D867" s="148"/>
      <c r="E867" s="148"/>
    </row>
    <row r="868" spans="2:5" ht="13">
      <c r="B868" s="148"/>
      <c r="C868" s="148"/>
      <c r="D868" s="148"/>
      <c r="E868" s="148"/>
    </row>
    <row r="869" spans="2:5" ht="13">
      <c r="B869" s="148"/>
      <c r="C869" s="148"/>
      <c r="D869" s="148"/>
      <c r="E869" s="148"/>
    </row>
    <row r="870" spans="2:5" ht="13">
      <c r="B870" s="148"/>
      <c r="C870" s="148"/>
      <c r="D870" s="148"/>
      <c r="E870" s="148"/>
    </row>
    <row r="871" spans="2:5" ht="13">
      <c r="B871" s="148"/>
      <c r="C871" s="148"/>
      <c r="D871" s="148"/>
      <c r="E871" s="148"/>
    </row>
    <row r="872" spans="2:5" ht="13">
      <c r="B872" s="148"/>
      <c r="C872" s="148"/>
      <c r="D872" s="148"/>
      <c r="E872" s="148"/>
    </row>
    <row r="873" spans="2:5" ht="13">
      <c r="B873" s="148"/>
      <c r="C873" s="148"/>
      <c r="D873" s="148"/>
      <c r="E873" s="148"/>
    </row>
    <row r="874" spans="2:5" ht="13">
      <c r="B874" s="148"/>
      <c r="C874" s="148"/>
      <c r="D874" s="148"/>
      <c r="E874" s="148"/>
    </row>
    <row r="875" spans="2:5" ht="13">
      <c r="B875" s="148"/>
      <c r="C875" s="148"/>
      <c r="D875" s="148"/>
      <c r="E875" s="148"/>
    </row>
    <row r="876" spans="2:5" ht="13">
      <c r="B876" s="148"/>
      <c r="C876" s="148"/>
      <c r="D876" s="148"/>
      <c r="E876" s="148"/>
    </row>
    <row r="877" spans="2:5" ht="13">
      <c r="B877" s="148"/>
      <c r="C877" s="148"/>
      <c r="D877" s="148"/>
      <c r="E877" s="148"/>
    </row>
    <row r="878" spans="2:5" ht="13">
      <c r="B878" s="148"/>
      <c r="C878" s="148"/>
      <c r="D878" s="148"/>
      <c r="E878" s="148"/>
    </row>
    <row r="879" spans="2:5" ht="13">
      <c r="B879" s="148"/>
      <c r="C879" s="148"/>
      <c r="D879" s="148"/>
      <c r="E879" s="148"/>
    </row>
    <row r="880" spans="2:5" ht="13">
      <c r="B880" s="148"/>
      <c r="C880" s="148"/>
      <c r="D880" s="148"/>
      <c r="E880" s="148"/>
    </row>
    <row r="881" spans="2:5" ht="13">
      <c r="B881" s="148"/>
      <c r="C881" s="148"/>
      <c r="D881" s="148"/>
      <c r="E881" s="148"/>
    </row>
    <row r="882" spans="2:5" ht="13">
      <c r="B882" s="148"/>
      <c r="C882" s="148"/>
      <c r="D882" s="148"/>
      <c r="E882" s="148"/>
    </row>
    <row r="883" spans="2:5" ht="13">
      <c r="B883" s="148"/>
      <c r="C883" s="148"/>
      <c r="D883" s="148"/>
      <c r="E883" s="148"/>
    </row>
    <row r="884" spans="2:5" ht="13">
      <c r="B884" s="148"/>
      <c r="C884" s="148"/>
      <c r="D884" s="148"/>
      <c r="E884" s="148"/>
    </row>
    <row r="885" spans="2:5" ht="13">
      <c r="B885" s="148"/>
      <c r="C885" s="148"/>
      <c r="D885" s="148"/>
      <c r="E885" s="148"/>
    </row>
    <row r="886" spans="2:5" ht="13">
      <c r="B886" s="148"/>
      <c r="C886" s="148"/>
      <c r="D886" s="148"/>
      <c r="E886" s="148"/>
    </row>
    <row r="887" spans="2:5" ht="13">
      <c r="B887" s="148"/>
      <c r="C887" s="148"/>
      <c r="D887" s="148"/>
      <c r="E887" s="148"/>
    </row>
    <row r="888" spans="2:5" ht="13">
      <c r="B888" s="148"/>
      <c r="C888" s="148"/>
      <c r="D888" s="148"/>
      <c r="E888" s="148"/>
    </row>
    <row r="889" spans="2:5" ht="13">
      <c r="B889" s="148"/>
      <c r="C889" s="148"/>
      <c r="D889" s="148"/>
      <c r="E889" s="148"/>
    </row>
    <row r="890" spans="2:5" ht="13">
      <c r="B890" s="148"/>
      <c r="C890" s="148"/>
      <c r="D890" s="148"/>
      <c r="E890" s="148"/>
    </row>
    <row r="891" spans="2:5" ht="13">
      <c r="B891" s="148"/>
      <c r="C891" s="148"/>
      <c r="D891" s="148"/>
      <c r="E891" s="148"/>
    </row>
    <row r="892" spans="2:5" ht="13">
      <c r="B892" s="148"/>
      <c r="C892" s="148"/>
      <c r="D892" s="148"/>
      <c r="E892" s="148"/>
    </row>
    <row r="893" spans="2:5" ht="13">
      <c r="B893" s="148"/>
      <c r="C893" s="148"/>
      <c r="D893" s="148"/>
      <c r="E893" s="148"/>
    </row>
    <row r="894" spans="2:5" ht="13">
      <c r="B894" s="148"/>
      <c r="C894" s="148"/>
      <c r="D894" s="148"/>
      <c r="E894" s="148"/>
    </row>
    <row r="895" spans="2:5" ht="13">
      <c r="B895" s="148"/>
      <c r="C895" s="148"/>
      <c r="D895" s="148"/>
      <c r="E895" s="148"/>
    </row>
    <row r="896" spans="2:5" ht="13">
      <c r="B896" s="148"/>
      <c r="C896" s="148"/>
      <c r="D896" s="148"/>
      <c r="E896" s="148"/>
    </row>
    <row r="897" spans="2:5" ht="13">
      <c r="B897" s="148"/>
      <c r="C897" s="148"/>
      <c r="D897" s="148"/>
      <c r="E897" s="148"/>
    </row>
    <row r="898" spans="2:5" ht="13">
      <c r="B898" s="148"/>
      <c r="C898" s="148"/>
      <c r="D898" s="148"/>
      <c r="E898" s="148"/>
    </row>
    <row r="899" spans="2:5" ht="13">
      <c r="B899" s="148"/>
      <c r="C899" s="148"/>
      <c r="D899" s="148"/>
      <c r="E899" s="148"/>
    </row>
    <row r="900" spans="2:5" ht="13">
      <c r="B900" s="148"/>
      <c r="C900" s="148"/>
      <c r="D900" s="148"/>
      <c r="E900" s="148"/>
    </row>
    <row r="901" spans="2:5" ht="13">
      <c r="B901" s="148"/>
      <c r="C901" s="148"/>
      <c r="D901" s="148"/>
      <c r="E901" s="148"/>
    </row>
    <row r="902" spans="2:5" ht="13">
      <c r="B902" s="148"/>
      <c r="C902" s="148"/>
      <c r="D902" s="148"/>
      <c r="E902" s="148"/>
    </row>
    <row r="903" spans="2:5" ht="13">
      <c r="B903" s="148"/>
      <c r="C903" s="148"/>
      <c r="D903" s="148"/>
      <c r="E903" s="148"/>
    </row>
    <row r="904" spans="2:5" ht="13">
      <c r="B904" s="148"/>
      <c r="C904" s="148"/>
      <c r="D904" s="148"/>
      <c r="E904" s="148"/>
    </row>
    <row r="905" spans="2:5" ht="13">
      <c r="B905" s="148"/>
      <c r="C905" s="148"/>
      <c r="D905" s="148"/>
      <c r="E905" s="148"/>
    </row>
    <row r="906" spans="2:5" ht="13">
      <c r="B906" s="148"/>
      <c r="C906" s="148"/>
      <c r="D906" s="148"/>
      <c r="E906" s="148"/>
    </row>
    <row r="907" spans="2:5" ht="13">
      <c r="B907" s="148"/>
      <c r="C907" s="148"/>
      <c r="D907" s="148"/>
      <c r="E907" s="148"/>
    </row>
    <row r="908" spans="2:5" ht="13">
      <c r="B908" s="148"/>
      <c r="C908" s="148"/>
      <c r="D908" s="148"/>
      <c r="E908" s="148"/>
    </row>
    <row r="909" spans="2:5" ht="13">
      <c r="B909" s="148"/>
      <c r="C909" s="148"/>
      <c r="D909" s="148"/>
      <c r="E909" s="148"/>
    </row>
    <row r="910" spans="2:5" ht="13">
      <c r="B910" s="148"/>
      <c r="C910" s="148"/>
      <c r="D910" s="148"/>
      <c r="E910" s="148"/>
    </row>
    <row r="911" spans="2:5" ht="13">
      <c r="B911" s="148"/>
      <c r="C911" s="148"/>
      <c r="D911" s="148"/>
      <c r="E911" s="148"/>
    </row>
    <row r="912" spans="2:5" ht="13">
      <c r="B912" s="148"/>
      <c r="C912" s="148"/>
      <c r="D912" s="148"/>
      <c r="E912" s="148"/>
    </row>
    <row r="913" spans="2:5" ht="13">
      <c r="B913" s="148"/>
      <c r="C913" s="148"/>
      <c r="D913" s="148"/>
      <c r="E913" s="148"/>
    </row>
    <row r="914" spans="2:5" ht="13">
      <c r="B914" s="148"/>
      <c r="C914" s="148"/>
      <c r="D914" s="148"/>
      <c r="E914" s="148"/>
    </row>
    <row r="915" spans="2:5" ht="13">
      <c r="B915" s="148"/>
      <c r="C915" s="148"/>
      <c r="D915" s="148"/>
      <c r="E915" s="148"/>
    </row>
    <row r="916" spans="2:5" ht="13">
      <c r="B916" s="148"/>
      <c r="C916" s="148"/>
      <c r="D916" s="148"/>
      <c r="E916" s="148"/>
    </row>
    <row r="917" spans="2:5" ht="13">
      <c r="B917" s="148"/>
      <c r="C917" s="148"/>
      <c r="D917" s="148"/>
      <c r="E917" s="148"/>
    </row>
    <row r="918" spans="2:5" ht="13">
      <c r="B918" s="148"/>
      <c r="C918" s="148"/>
      <c r="D918" s="148"/>
      <c r="E918" s="148"/>
    </row>
    <row r="919" spans="2:5" ht="13">
      <c r="B919" s="148"/>
      <c r="C919" s="148"/>
      <c r="D919" s="148"/>
      <c r="E919" s="148"/>
    </row>
    <row r="920" spans="2:5" ht="13">
      <c r="B920" s="148"/>
      <c r="C920" s="148"/>
      <c r="D920" s="148"/>
      <c r="E920" s="148"/>
    </row>
    <row r="921" spans="2:5" ht="13">
      <c r="B921" s="148"/>
      <c r="C921" s="148"/>
      <c r="D921" s="148"/>
      <c r="E921" s="148"/>
    </row>
    <row r="922" spans="2:5" ht="13">
      <c r="B922" s="148"/>
      <c r="C922" s="148"/>
      <c r="D922" s="148"/>
      <c r="E922" s="148"/>
    </row>
    <row r="923" spans="2:5" ht="13">
      <c r="B923" s="148"/>
      <c r="C923" s="148"/>
      <c r="D923" s="148"/>
      <c r="E923" s="148"/>
    </row>
    <row r="924" spans="2:5" ht="13">
      <c r="B924" s="148"/>
      <c r="C924" s="148"/>
      <c r="D924" s="148"/>
      <c r="E924" s="148"/>
    </row>
    <row r="925" spans="2:5" ht="13">
      <c r="B925" s="148"/>
      <c r="C925" s="148"/>
      <c r="D925" s="148"/>
      <c r="E925" s="148"/>
    </row>
    <row r="926" spans="2:5" ht="13">
      <c r="B926" s="148"/>
      <c r="C926" s="148"/>
      <c r="D926" s="148"/>
      <c r="E926" s="148"/>
    </row>
    <row r="927" spans="2:5" ht="13">
      <c r="B927" s="148"/>
      <c r="C927" s="148"/>
      <c r="D927" s="148"/>
      <c r="E927" s="148"/>
    </row>
    <row r="928" spans="2:5" ht="13">
      <c r="B928" s="148"/>
      <c r="C928" s="148"/>
      <c r="D928" s="148"/>
      <c r="E928" s="148"/>
    </row>
    <row r="929" spans="2:5" ht="13">
      <c r="B929" s="148"/>
      <c r="C929" s="148"/>
      <c r="D929" s="148"/>
      <c r="E929" s="148"/>
    </row>
    <row r="930" spans="2:5" ht="13">
      <c r="B930" s="148"/>
      <c r="C930" s="148"/>
      <c r="D930" s="148"/>
      <c r="E930" s="148"/>
    </row>
    <row r="931" spans="2:5" ht="13">
      <c r="B931" s="148"/>
      <c r="C931" s="148"/>
      <c r="D931" s="148"/>
      <c r="E931" s="148"/>
    </row>
    <row r="932" spans="2:5" ht="13">
      <c r="B932" s="148"/>
      <c r="C932" s="148"/>
      <c r="D932" s="148"/>
      <c r="E932" s="148"/>
    </row>
    <row r="933" spans="2:5" ht="13">
      <c r="B933" s="148"/>
      <c r="C933" s="148"/>
      <c r="D933" s="148"/>
      <c r="E933" s="148"/>
    </row>
    <row r="934" spans="2:5" ht="13">
      <c r="B934" s="148"/>
      <c r="C934" s="148"/>
      <c r="D934" s="148"/>
      <c r="E934" s="148"/>
    </row>
    <row r="935" spans="2:5" ht="13">
      <c r="B935" s="148"/>
      <c r="C935" s="148"/>
      <c r="D935" s="148"/>
      <c r="E935" s="148"/>
    </row>
    <row r="936" spans="2:5" ht="13">
      <c r="B936" s="148"/>
      <c r="C936" s="148"/>
      <c r="D936" s="148"/>
      <c r="E936" s="148"/>
    </row>
    <row r="937" spans="2:5" ht="13">
      <c r="B937" s="148"/>
      <c r="C937" s="148"/>
      <c r="D937" s="148"/>
      <c r="E937" s="148"/>
    </row>
    <row r="938" spans="2:5" ht="13">
      <c r="B938" s="148"/>
      <c r="C938" s="148"/>
      <c r="D938" s="148"/>
      <c r="E938" s="148"/>
    </row>
    <row r="939" spans="2:5" ht="13">
      <c r="B939" s="148"/>
      <c r="C939" s="148"/>
      <c r="D939" s="148"/>
      <c r="E939" s="148"/>
    </row>
    <row r="940" spans="2:5" ht="13">
      <c r="B940" s="148"/>
      <c r="C940" s="148"/>
      <c r="D940" s="148"/>
      <c r="E940" s="148"/>
    </row>
    <row r="941" spans="2:5" ht="13">
      <c r="B941" s="148"/>
      <c r="C941" s="148"/>
      <c r="D941" s="148"/>
      <c r="E941" s="148"/>
    </row>
    <row r="942" spans="2:5" ht="13">
      <c r="B942" s="148"/>
      <c r="C942" s="148"/>
      <c r="D942" s="148"/>
      <c r="E942" s="148"/>
    </row>
    <row r="943" spans="2:5" ht="13">
      <c r="B943" s="148"/>
      <c r="C943" s="148"/>
      <c r="D943" s="148"/>
      <c r="E943" s="148"/>
    </row>
    <row r="944" spans="2:5" ht="13">
      <c r="B944" s="148"/>
      <c r="C944" s="148"/>
      <c r="D944" s="148"/>
      <c r="E944" s="148"/>
    </row>
    <row r="945" spans="2:5" ht="13">
      <c r="B945" s="148"/>
      <c r="C945" s="148"/>
      <c r="D945" s="148"/>
      <c r="E945" s="148"/>
    </row>
    <row r="946" spans="2:5" ht="13">
      <c r="B946" s="148"/>
      <c r="C946" s="148"/>
      <c r="D946" s="148"/>
      <c r="E946" s="148"/>
    </row>
    <row r="947" spans="2:5" ht="13">
      <c r="B947" s="148"/>
      <c r="C947" s="148"/>
      <c r="D947" s="148"/>
      <c r="E947" s="148"/>
    </row>
    <row r="948" spans="2:5" ht="13">
      <c r="B948" s="148"/>
      <c r="C948" s="148"/>
      <c r="D948" s="148"/>
      <c r="E948" s="148"/>
    </row>
    <row r="949" spans="2:5" ht="13">
      <c r="B949" s="148"/>
      <c r="C949" s="148"/>
      <c r="D949" s="148"/>
      <c r="E949" s="148"/>
    </row>
    <row r="950" spans="2:5" ht="13">
      <c r="B950" s="148"/>
      <c r="C950" s="148"/>
      <c r="D950" s="148"/>
      <c r="E950" s="148"/>
    </row>
    <row r="951" spans="2:5" ht="13">
      <c r="B951" s="148"/>
      <c r="C951" s="148"/>
      <c r="D951" s="148"/>
      <c r="E951" s="148"/>
    </row>
    <row r="952" spans="2:5" ht="13">
      <c r="B952" s="148"/>
      <c r="C952" s="148"/>
      <c r="D952" s="148"/>
      <c r="E952" s="148"/>
    </row>
    <row r="953" spans="2:5" ht="13">
      <c r="B953" s="148"/>
      <c r="C953" s="148"/>
      <c r="D953" s="148"/>
      <c r="E953" s="148"/>
    </row>
    <row r="954" spans="2:5" ht="13">
      <c r="B954" s="148"/>
      <c r="C954" s="148"/>
      <c r="D954" s="148"/>
      <c r="E954" s="148"/>
    </row>
    <row r="955" spans="2:5" ht="13">
      <c r="B955" s="148"/>
      <c r="C955" s="148"/>
      <c r="D955" s="148"/>
      <c r="E955" s="148"/>
    </row>
    <row r="956" spans="2:5" ht="13">
      <c r="B956" s="148"/>
      <c r="C956" s="148"/>
      <c r="D956" s="148"/>
      <c r="E956" s="148"/>
    </row>
    <row r="957" spans="2:5" ht="13">
      <c r="B957" s="148"/>
      <c r="C957" s="148"/>
      <c r="D957" s="148"/>
      <c r="E957" s="148"/>
    </row>
    <row r="958" spans="2:5" ht="13">
      <c r="B958" s="148"/>
      <c r="C958" s="148"/>
      <c r="D958" s="148"/>
      <c r="E958" s="148"/>
    </row>
    <row r="959" spans="2:5" ht="13">
      <c r="B959" s="148"/>
      <c r="C959" s="148"/>
      <c r="D959" s="148"/>
      <c r="E959" s="148"/>
    </row>
    <row r="960" spans="2:5" ht="13">
      <c r="B960" s="148"/>
      <c r="C960" s="148"/>
      <c r="D960" s="148"/>
      <c r="E960" s="148"/>
    </row>
    <row r="961" spans="2:5" ht="13">
      <c r="B961" s="148"/>
      <c r="C961" s="148"/>
      <c r="D961" s="148"/>
      <c r="E961" s="148"/>
    </row>
    <row r="962" spans="2:5" ht="13">
      <c r="B962" s="148"/>
      <c r="C962" s="148"/>
      <c r="D962" s="148"/>
      <c r="E962" s="148"/>
    </row>
    <row r="963" spans="2:5" ht="13">
      <c r="B963" s="148"/>
      <c r="C963" s="148"/>
      <c r="D963" s="148"/>
      <c r="E963" s="148"/>
    </row>
    <row r="964" spans="2:5" ht="13">
      <c r="B964" s="148"/>
      <c r="C964" s="148"/>
      <c r="D964" s="148"/>
      <c r="E964" s="148"/>
    </row>
    <row r="965" spans="2:5" ht="13">
      <c r="B965" s="148"/>
      <c r="C965" s="148"/>
      <c r="D965" s="148"/>
      <c r="E965" s="148"/>
    </row>
    <row r="966" spans="2:5" ht="13">
      <c r="B966" s="148"/>
      <c r="C966" s="148"/>
      <c r="D966" s="148"/>
      <c r="E966" s="148"/>
    </row>
    <row r="967" spans="2:5" ht="13">
      <c r="B967" s="148"/>
      <c r="C967" s="148"/>
      <c r="D967" s="148"/>
      <c r="E967" s="148"/>
    </row>
    <row r="968" spans="2:5" ht="13">
      <c r="B968" s="148"/>
      <c r="C968" s="148"/>
      <c r="D968" s="148"/>
      <c r="E968" s="148"/>
    </row>
    <row r="969" spans="2:5" ht="13">
      <c r="B969" s="148"/>
      <c r="C969" s="148"/>
      <c r="D969" s="148"/>
      <c r="E969" s="148"/>
    </row>
    <row r="970" spans="2:5" ht="13">
      <c r="B970" s="148"/>
      <c r="C970" s="148"/>
      <c r="D970" s="148"/>
      <c r="E970" s="148"/>
    </row>
    <row r="971" spans="2:5" ht="13">
      <c r="B971" s="148"/>
      <c r="C971" s="148"/>
      <c r="D971" s="148"/>
      <c r="E971" s="148"/>
    </row>
    <row r="972" spans="2:5" ht="13">
      <c r="B972" s="148"/>
      <c r="C972" s="148"/>
      <c r="D972" s="148"/>
      <c r="E972" s="148"/>
    </row>
    <row r="973" spans="2:5" ht="13">
      <c r="B973" s="148"/>
      <c r="C973" s="148"/>
      <c r="D973" s="148"/>
      <c r="E973" s="148"/>
    </row>
    <row r="974" spans="2:5" ht="13">
      <c r="B974" s="148"/>
      <c r="C974" s="148"/>
      <c r="D974" s="148"/>
      <c r="E974" s="148"/>
    </row>
    <row r="975" spans="2:5" ht="13">
      <c r="B975" s="148"/>
      <c r="C975" s="148"/>
      <c r="D975" s="148"/>
      <c r="E975" s="148"/>
    </row>
    <row r="976" spans="2:5" ht="13">
      <c r="B976" s="148"/>
      <c r="C976" s="148"/>
      <c r="D976" s="148"/>
      <c r="E976" s="148"/>
    </row>
    <row r="977" spans="2:5" ht="13">
      <c r="B977" s="148"/>
      <c r="C977" s="148"/>
      <c r="D977" s="148"/>
      <c r="E977" s="148"/>
    </row>
    <row r="978" spans="2:5" ht="13">
      <c r="B978" s="148"/>
      <c r="C978" s="148"/>
      <c r="D978" s="148"/>
      <c r="E978" s="148"/>
    </row>
    <row r="979" spans="2:5" ht="13">
      <c r="B979" s="148"/>
      <c r="C979" s="148"/>
      <c r="D979" s="148"/>
      <c r="E979" s="148"/>
    </row>
    <row r="980" spans="2:5" ht="13">
      <c r="B980" s="148"/>
      <c r="C980" s="148"/>
      <c r="D980" s="148"/>
      <c r="E980" s="148"/>
    </row>
    <row r="981" spans="2:5" ht="13">
      <c r="B981" s="148"/>
      <c r="C981" s="148"/>
      <c r="D981" s="148"/>
      <c r="E981" s="148"/>
    </row>
    <row r="982" spans="2:5" ht="13">
      <c r="B982" s="148"/>
      <c r="C982" s="148"/>
      <c r="D982" s="148"/>
      <c r="E982" s="148"/>
    </row>
    <row r="983" spans="2:5" ht="13">
      <c r="B983" s="148"/>
      <c r="C983" s="148"/>
      <c r="D983" s="148"/>
      <c r="E983" s="148"/>
    </row>
    <row r="984" spans="2:5" ht="13">
      <c r="B984" s="148"/>
      <c r="C984" s="148"/>
      <c r="D984" s="148"/>
      <c r="E984" s="148"/>
    </row>
    <row r="985" spans="2:5" ht="13">
      <c r="B985" s="148"/>
      <c r="C985" s="148"/>
      <c r="D985" s="148"/>
      <c r="E985" s="148"/>
    </row>
    <row r="986" spans="2:5" ht="13">
      <c r="B986" s="148"/>
      <c r="C986" s="148"/>
      <c r="D986" s="148"/>
      <c r="E986" s="148"/>
    </row>
    <row r="987" spans="2:5" ht="13">
      <c r="B987" s="148"/>
      <c r="C987" s="148"/>
      <c r="D987" s="148"/>
      <c r="E987" s="148"/>
    </row>
    <row r="988" spans="2:5" ht="13">
      <c r="B988" s="148"/>
      <c r="C988" s="148"/>
      <c r="D988" s="148"/>
      <c r="E988" s="148"/>
    </row>
    <row r="989" spans="2:5" ht="13">
      <c r="B989" s="148"/>
      <c r="C989" s="148"/>
      <c r="D989" s="148"/>
      <c r="E989" s="148"/>
    </row>
    <row r="990" spans="2:5" ht="13">
      <c r="B990" s="148"/>
      <c r="C990" s="148"/>
      <c r="D990" s="148"/>
      <c r="E990" s="148"/>
    </row>
    <row r="991" spans="2:5" ht="13">
      <c r="B991" s="148"/>
      <c r="C991" s="148"/>
      <c r="D991" s="148"/>
      <c r="E991" s="148"/>
    </row>
    <row r="992" spans="2:5" ht="13">
      <c r="B992" s="148"/>
      <c r="C992" s="148"/>
      <c r="D992" s="148"/>
      <c r="E992" s="148"/>
    </row>
    <row r="993" spans="2:5" ht="13">
      <c r="B993" s="148"/>
      <c r="C993" s="148"/>
      <c r="D993" s="148"/>
      <c r="E993" s="148"/>
    </row>
    <row r="994" spans="2:5" ht="13">
      <c r="B994" s="148"/>
      <c r="C994" s="148"/>
      <c r="D994" s="148"/>
      <c r="E994" s="148"/>
    </row>
    <row r="995" spans="2:5" ht="13">
      <c r="B995" s="148"/>
      <c r="C995" s="148"/>
      <c r="D995" s="148"/>
      <c r="E995" s="148"/>
    </row>
    <row r="996" spans="2:5" ht="13">
      <c r="B996" s="148"/>
      <c r="C996" s="148"/>
      <c r="D996" s="148"/>
      <c r="E996" s="148"/>
    </row>
    <row r="997" spans="2:5" ht="13">
      <c r="B997" s="148"/>
      <c r="C997" s="148"/>
      <c r="D997" s="148"/>
      <c r="E997" s="148"/>
    </row>
    <row r="998" spans="2:5" ht="13">
      <c r="B998" s="148"/>
      <c r="C998" s="148"/>
      <c r="D998" s="148"/>
      <c r="E998" s="148"/>
    </row>
    <row r="999" spans="2:5" ht="13">
      <c r="B999" s="148"/>
      <c r="C999" s="148"/>
      <c r="D999" s="148"/>
      <c r="E999" s="148"/>
    </row>
    <row r="1000" spans="2:5" ht="13">
      <c r="B1000" s="148"/>
      <c r="C1000" s="148"/>
      <c r="D1000" s="148"/>
      <c r="E1000" s="148"/>
    </row>
    <row r="1001" spans="2:5" ht="13">
      <c r="B1001" s="148"/>
      <c r="C1001" s="148"/>
      <c r="D1001" s="148"/>
      <c r="E1001" s="148"/>
    </row>
    <row r="1002" spans="2:5" ht="13">
      <c r="B1002" s="148"/>
      <c r="C1002" s="148"/>
      <c r="D1002" s="148"/>
      <c r="E1002" s="148"/>
    </row>
    <row r="1003" spans="2:5" ht="13">
      <c r="B1003" s="148"/>
      <c r="C1003" s="148"/>
      <c r="D1003" s="148"/>
      <c r="E1003" s="148"/>
    </row>
    <row r="1004" spans="2:5" ht="13">
      <c r="B1004" s="148"/>
      <c r="C1004" s="148"/>
      <c r="D1004" s="148"/>
      <c r="E1004" s="148"/>
    </row>
    <row r="1005" spans="2:5" ht="13">
      <c r="B1005" s="148"/>
      <c r="C1005" s="148"/>
      <c r="D1005" s="148"/>
      <c r="E1005" s="148"/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983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10" ht="15.75" customHeight="1">
      <c r="A1" s="202"/>
      <c r="B1" s="148"/>
      <c r="C1" s="148"/>
      <c r="D1" s="148"/>
      <c r="E1" s="148"/>
      <c r="F1" s="149"/>
      <c r="G1" s="149"/>
      <c r="H1" s="149"/>
      <c r="I1" s="148"/>
    </row>
    <row r="2" spans="1:10" ht="15.75" customHeight="1">
      <c r="A2" s="203" t="s">
        <v>194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  <c r="J2" s="59"/>
    </row>
    <row r="3" spans="1:10" ht="15.75" customHeight="1">
      <c r="A3" s="73" t="s">
        <v>199</v>
      </c>
      <c r="B3" s="83">
        <f>'Исходные данные'!D12</f>
        <v>402</v>
      </c>
      <c r="C3" s="108">
        <f>'Исходные данные'!G31</f>
        <v>9</v>
      </c>
      <c r="D3" s="108"/>
      <c r="E3" s="206">
        <v>637618</v>
      </c>
      <c r="F3" s="207">
        <v>12</v>
      </c>
      <c r="G3" s="200"/>
      <c r="H3" s="201">
        <f t="shared" ref="H3:H12" si="0">E3/F3</f>
        <v>53134.833333333336</v>
      </c>
      <c r="I3" s="208">
        <f t="shared" ref="I3:I5" si="1">H3/B3*C3</f>
        <v>1189.5858208955224</v>
      </c>
      <c r="J3" s="59"/>
    </row>
    <row r="4" spans="1:10" ht="15.75" customHeight="1">
      <c r="A4" s="73" t="s">
        <v>200</v>
      </c>
      <c r="B4" s="83">
        <f>'Исходные данные'!D10</f>
        <v>276</v>
      </c>
      <c r="C4" s="108">
        <f>'Исходные данные'!E31</f>
        <v>5</v>
      </c>
      <c r="D4" s="108"/>
      <c r="E4" s="60">
        <v>402810</v>
      </c>
      <c r="F4" s="207">
        <v>12</v>
      </c>
      <c r="G4" s="200"/>
      <c r="H4" s="201">
        <f t="shared" si="0"/>
        <v>33567.5</v>
      </c>
      <c r="I4" s="208">
        <f t="shared" si="1"/>
        <v>608.106884057971</v>
      </c>
      <c r="J4" s="59"/>
    </row>
    <row r="5" spans="1:10" ht="15.75" customHeight="1">
      <c r="A5" s="73" t="s">
        <v>201</v>
      </c>
      <c r="B5" s="83">
        <f>'Исходные данные'!E13</f>
        <v>30</v>
      </c>
      <c r="C5" s="108">
        <f>'Исходные данные'!H31</f>
        <v>8</v>
      </c>
      <c r="D5" s="108"/>
      <c r="E5" s="147">
        <v>305868</v>
      </c>
      <c r="F5" s="207">
        <v>12</v>
      </c>
      <c r="G5" s="200"/>
      <c r="H5" s="201">
        <f t="shared" si="0"/>
        <v>25489</v>
      </c>
      <c r="I5" s="208">
        <f t="shared" si="1"/>
        <v>6797.0666666666666</v>
      </c>
      <c r="J5" s="59"/>
    </row>
    <row r="6" spans="1:10" ht="15.75" customHeight="1">
      <c r="A6" s="73" t="s">
        <v>154</v>
      </c>
      <c r="B6" s="108"/>
      <c r="C6" s="108"/>
      <c r="D6" s="108"/>
      <c r="E6" s="108">
        <v>10100</v>
      </c>
      <c r="F6" s="207">
        <v>12</v>
      </c>
      <c r="G6" s="200"/>
      <c r="H6" s="201">
        <f t="shared" si="0"/>
        <v>841.66666666666663</v>
      </c>
      <c r="I6" s="208">
        <f t="shared" ref="I6:I13" si="2">H6</f>
        <v>841.66666666666663</v>
      </c>
      <c r="J6" s="59"/>
    </row>
    <row r="7" spans="1:10" ht="15.75" customHeight="1">
      <c r="A7" s="73" t="s">
        <v>202</v>
      </c>
      <c r="B7" s="108"/>
      <c r="C7" s="108"/>
      <c r="D7" s="108"/>
      <c r="E7" s="108">
        <f>1500+28127</f>
        <v>29627</v>
      </c>
      <c r="F7" s="207">
        <v>12</v>
      </c>
      <c r="G7" s="200"/>
      <c r="H7" s="201">
        <f t="shared" si="0"/>
        <v>2468.9166666666665</v>
      </c>
      <c r="I7" s="208">
        <f t="shared" si="2"/>
        <v>2468.9166666666665</v>
      </c>
      <c r="J7" s="59"/>
    </row>
    <row r="8" spans="1:10" ht="15.75" customHeight="1">
      <c r="A8" s="73" t="s">
        <v>148</v>
      </c>
      <c r="B8" s="63"/>
      <c r="C8" s="63"/>
      <c r="D8" s="63"/>
      <c r="E8" s="147">
        <v>21923</v>
      </c>
      <c r="F8" s="207">
        <v>12</v>
      </c>
      <c r="G8" s="200"/>
      <c r="H8" s="201">
        <f t="shared" si="0"/>
        <v>1826.9166666666667</v>
      </c>
      <c r="I8" s="208">
        <f t="shared" si="2"/>
        <v>1826.9166666666667</v>
      </c>
      <c r="J8" s="59"/>
    </row>
    <row r="9" spans="1:10" ht="15.75" customHeight="1">
      <c r="A9" s="73" t="s">
        <v>150</v>
      </c>
      <c r="B9" s="63"/>
      <c r="C9" s="63"/>
      <c r="D9" s="63"/>
      <c r="E9" s="147">
        <v>480636</v>
      </c>
      <c r="F9" s="207">
        <v>12</v>
      </c>
      <c r="G9" s="200"/>
      <c r="H9" s="201">
        <f t="shared" si="0"/>
        <v>40053</v>
      </c>
      <c r="I9" s="208">
        <f t="shared" si="2"/>
        <v>40053</v>
      </c>
      <c r="J9" s="59"/>
    </row>
    <row r="10" spans="1:10" ht="15.75" customHeight="1">
      <c r="A10" s="73" t="s">
        <v>149</v>
      </c>
      <c r="B10" s="63"/>
      <c r="C10" s="63"/>
      <c r="D10" s="63"/>
      <c r="E10" s="147">
        <v>0</v>
      </c>
      <c r="F10" s="207">
        <v>12</v>
      </c>
      <c r="G10" s="200"/>
      <c r="H10" s="201">
        <f t="shared" si="0"/>
        <v>0</v>
      </c>
      <c r="I10" s="208">
        <f t="shared" si="2"/>
        <v>0</v>
      </c>
      <c r="J10" s="59"/>
    </row>
    <row r="11" spans="1:10" ht="15.75" customHeight="1">
      <c r="A11" s="73" t="s">
        <v>203</v>
      </c>
      <c r="B11" s="63"/>
      <c r="C11" s="63"/>
      <c r="D11" s="63"/>
      <c r="E11" s="147">
        <f>794+460+2805.08</f>
        <v>4059.08</v>
      </c>
      <c r="F11" s="207">
        <v>12</v>
      </c>
      <c r="G11" s="200"/>
      <c r="H11" s="201">
        <f t="shared" si="0"/>
        <v>338.25666666666666</v>
      </c>
      <c r="I11" s="208">
        <f t="shared" si="2"/>
        <v>338.25666666666666</v>
      </c>
      <c r="J11" s="59"/>
    </row>
    <row r="12" spans="1:10" ht="15.75" customHeight="1">
      <c r="A12" s="73" t="s">
        <v>204</v>
      </c>
      <c r="B12" s="63"/>
      <c r="C12" s="63"/>
      <c r="D12" s="63"/>
      <c r="E12" s="147">
        <f>793+1222</f>
        <v>2015</v>
      </c>
      <c r="F12" s="207">
        <v>12</v>
      </c>
      <c r="G12" s="200"/>
      <c r="H12" s="201">
        <f t="shared" si="0"/>
        <v>167.91666666666666</v>
      </c>
      <c r="I12" s="208">
        <f t="shared" si="2"/>
        <v>167.91666666666666</v>
      </c>
      <c r="J12" s="59"/>
    </row>
    <row r="13" spans="1:10" ht="15.75" customHeight="1">
      <c r="A13" s="58" t="s">
        <v>155</v>
      </c>
      <c r="B13" s="61"/>
      <c r="C13" s="61"/>
      <c r="D13" s="61"/>
      <c r="E13" s="61"/>
      <c r="F13" s="200"/>
      <c r="G13" s="209"/>
      <c r="H13" s="201">
        <f>D30</f>
        <v>49421.666666666664</v>
      </c>
      <c r="I13" s="208">
        <f t="shared" si="2"/>
        <v>49421.666666666664</v>
      </c>
      <c r="J13" s="59"/>
    </row>
    <row r="14" spans="1:10" ht="15.75" customHeight="1">
      <c r="A14" s="58" t="s">
        <v>152</v>
      </c>
      <c r="B14" s="61"/>
      <c r="C14" s="61"/>
      <c r="D14" s="210">
        <f>B19+B20</f>
        <v>2386</v>
      </c>
      <c r="E14" s="61"/>
      <c r="F14" s="200"/>
      <c r="G14" s="209">
        <f>'Общие расходы ГЭ'!G16</f>
        <v>9.1731976502919679</v>
      </c>
      <c r="H14" s="200"/>
      <c r="I14" s="208">
        <f t="shared" ref="I14:I16" si="3">D14*G14</f>
        <v>21887.249593596636</v>
      </c>
      <c r="J14" s="59"/>
    </row>
    <row r="15" spans="1:10" ht="15.75" customHeight="1">
      <c r="A15" s="58" t="s">
        <v>153</v>
      </c>
      <c r="B15" s="61"/>
      <c r="C15" s="61"/>
      <c r="D15" s="210">
        <f>B19+B20</f>
        <v>2386</v>
      </c>
      <c r="E15" s="61"/>
      <c r="F15" s="200"/>
      <c r="G15" s="209">
        <f>'Общие расходы г. Тюмень'!F4</f>
        <v>0.27439332347868928</v>
      </c>
      <c r="H15" s="200"/>
      <c r="I15" s="208">
        <f t="shared" si="3"/>
        <v>654.7024698201526</v>
      </c>
      <c r="J15" s="59"/>
    </row>
    <row r="16" spans="1:10" ht="15.75" customHeight="1">
      <c r="A16" s="58" t="s">
        <v>156</v>
      </c>
      <c r="B16" s="61"/>
      <c r="C16" s="61"/>
      <c r="D16" s="210">
        <f>B19+B20</f>
        <v>2386</v>
      </c>
      <c r="E16" s="61"/>
      <c r="F16" s="200"/>
      <c r="G16" s="201">
        <f>'Общие расходы г. Тюмень'!F30</f>
        <v>0.74801393423739049</v>
      </c>
      <c r="H16" s="200"/>
      <c r="I16" s="211">
        <f t="shared" si="3"/>
        <v>1784.7612470904137</v>
      </c>
      <c r="J16" s="59"/>
    </row>
    <row r="17" spans="1:9" ht="15.75" customHeight="1">
      <c r="A17" s="331" t="s">
        <v>62</v>
      </c>
      <c r="B17" s="332"/>
      <c r="C17" s="332"/>
      <c r="D17" s="332"/>
      <c r="E17" s="332"/>
      <c r="F17" s="332"/>
      <c r="G17" s="321"/>
      <c r="H17" s="212"/>
      <c r="I17" s="211">
        <f>SUM(I3:I16)</f>
        <v>128039.81268212738</v>
      </c>
    </row>
    <row r="18" spans="1:9" ht="15.75" customHeight="1">
      <c r="A18" s="202"/>
      <c r="B18" s="148"/>
      <c r="C18" s="148"/>
      <c r="D18" s="148"/>
      <c r="E18" s="148"/>
      <c r="F18" s="149"/>
      <c r="G18" s="149"/>
      <c r="H18" s="149"/>
      <c r="I18" s="148"/>
    </row>
    <row r="19" spans="1:9" ht="15.75" customHeight="1">
      <c r="A19" s="58" t="s">
        <v>205</v>
      </c>
      <c r="B19" s="213">
        <f>'Исходные данные'!B31</f>
        <v>1237</v>
      </c>
      <c r="C19" s="148"/>
      <c r="D19" s="148"/>
      <c r="E19" s="148"/>
      <c r="F19" s="149"/>
      <c r="G19" s="149"/>
      <c r="H19" s="149"/>
      <c r="I19" s="148"/>
    </row>
    <row r="20" spans="1:9" ht="15.75" customHeight="1">
      <c r="A20" s="58" t="s">
        <v>206</v>
      </c>
      <c r="B20" s="213">
        <f>'Исходные данные'!C31</f>
        <v>1149</v>
      </c>
      <c r="C20" s="148"/>
      <c r="D20" s="148"/>
      <c r="E20" s="148"/>
      <c r="F20" s="149"/>
      <c r="G20" s="149"/>
      <c r="H20" s="149"/>
      <c r="I20" s="148"/>
    </row>
    <row r="21" spans="1:9" ht="15.75" customHeight="1">
      <c r="A21" s="58" t="s">
        <v>207</v>
      </c>
      <c r="B21" s="213">
        <f>'Исходные данные'!D25</f>
        <v>0</v>
      </c>
      <c r="C21" s="148"/>
      <c r="D21" s="148"/>
      <c r="E21" s="148"/>
      <c r="F21" s="149"/>
      <c r="G21" s="149"/>
      <c r="H21" s="149"/>
      <c r="I21" s="148"/>
    </row>
    <row r="22" spans="1:9" ht="15.75" customHeight="1">
      <c r="A22" s="202"/>
      <c r="B22" s="148"/>
      <c r="C22" s="148"/>
      <c r="D22" s="148"/>
      <c r="E22" s="148"/>
      <c r="F22" s="149"/>
      <c r="G22" s="149"/>
      <c r="H22" s="149"/>
      <c r="I22" s="62"/>
    </row>
    <row r="23" spans="1:9" ht="15.75" customHeight="1">
      <c r="A23" s="333" t="s">
        <v>208</v>
      </c>
      <c r="B23" s="332"/>
      <c r="C23" s="332"/>
      <c r="D23" s="321"/>
      <c r="E23" s="214"/>
      <c r="F23" s="59"/>
      <c r="G23" s="59"/>
      <c r="H23" s="59"/>
      <c r="I23" s="59"/>
    </row>
    <row r="24" spans="1:9" ht="15.75" customHeight="1">
      <c r="A24" s="215" t="s">
        <v>209</v>
      </c>
      <c r="B24" s="216" t="s">
        <v>210</v>
      </c>
      <c r="C24" s="78" t="s">
        <v>5</v>
      </c>
      <c r="D24" s="216" t="s">
        <v>211</v>
      </c>
      <c r="E24" s="217"/>
    </row>
    <row r="25" spans="1:9" ht="15.75" customHeight="1">
      <c r="A25" s="73" t="s">
        <v>212</v>
      </c>
      <c r="B25" s="218">
        <f>104500+218500+41500+24000+85500+77000</f>
        <v>551000</v>
      </c>
      <c r="C25" s="108">
        <v>12</v>
      </c>
      <c r="D25" s="218">
        <f t="shared" ref="D25:D27" si="4">B25/C25</f>
        <v>45916.666666666664</v>
      </c>
      <c r="E25" s="62"/>
    </row>
    <row r="26" spans="1:9" ht="15.75" customHeight="1">
      <c r="A26" s="73" t="s">
        <v>213</v>
      </c>
      <c r="B26" s="218">
        <v>31240</v>
      </c>
      <c r="C26" s="108">
        <v>12</v>
      </c>
      <c r="D26" s="218">
        <f t="shared" si="4"/>
        <v>2603.3333333333335</v>
      </c>
      <c r="E26" s="62"/>
    </row>
    <row r="27" spans="1:9" ht="15.75" customHeight="1">
      <c r="A27" s="219" t="s">
        <v>214</v>
      </c>
      <c r="B27" s="218">
        <v>10820</v>
      </c>
      <c r="C27" s="108">
        <v>12</v>
      </c>
      <c r="D27" s="218">
        <f t="shared" si="4"/>
        <v>901.66666666666663</v>
      </c>
      <c r="E27" s="62"/>
    </row>
    <row r="28" spans="1:9" ht="15.75" customHeight="1">
      <c r="A28" s="219"/>
      <c r="B28" s="218"/>
      <c r="C28" s="108"/>
      <c r="D28" s="218"/>
      <c r="E28" s="62"/>
    </row>
    <row r="29" spans="1:9" ht="15.75" customHeight="1">
      <c r="A29" s="219"/>
      <c r="B29" s="218"/>
      <c r="C29" s="108"/>
      <c r="D29" s="218"/>
      <c r="E29" s="62"/>
    </row>
    <row r="30" spans="1:9" ht="15.75" customHeight="1">
      <c r="A30" s="220"/>
      <c r="B30" s="221">
        <f>SUM(B25:B29)</f>
        <v>593060</v>
      </c>
      <c r="C30" s="222">
        <v>12</v>
      </c>
      <c r="D30" s="221">
        <f>B30/C30</f>
        <v>49421.666666666664</v>
      </c>
      <c r="E30" s="139"/>
      <c r="F30" s="140"/>
      <c r="G30" s="139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</sheetData>
  <mergeCells count="2">
    <mergeCell ref="A17:G17"/>
    <mergeCell ref="A23:D23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981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10" ht="15.75" customHeight="1">
      <c r="A1" s="202"/>
      <c r="B1" s="148"/>
      <c r="C1" s="148"/>
      <c r="D1" s="148"/>
      <c r="E1" s="148"/>
      <c r="F1" s="149"/>
      <c r="G1" s="149"/>
      <c r="H1" s="149"/>
      <c r="I1" s="148"/>
    </row>
    <row r="2" spans="1:10" ht="15.75" customHeight="1">
      <c r="A2" s="203" t="s">
        <v>215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  <c r="J2" s="59"/>
    </row>
    <row r="3" spans="1:10" ht="15.75" customHeight="1">
      <c r="A3" s="73" t="s">
        <v>216</v>
      </c>
      <c r="B3" s="83">
        <f>'Исходные данные'!D11</f>
        <v>214</v>
      </c>
      <c r="C3" s="108">
        <f>'Исходные данные'!F33</f>
        <v>8</v>
      </c>
      <c r="D3" s="108"/>
      <c r="E3" s="108">
        <v>480420</v>
      </c>
      <c r="F3" s="207">
        <v>12</v>
      </c>
      <c r="G3" s="200"/>
      <c r="H3" s="201">
        <f t="shared" ref="H3:H10" si="0">E3/F3</f>
        <v>40035</v>
      </c>
      <c r="I3" s="208">
        <f>H3/B3*C3</f>
        <v>1496.6355140186915</v>
      </c>
      <c r="J3" s="59"/>
    </row>
    <row r="4" spans="1:10" ht="15.75" customHeight="1">
      <c r="A4" s="73" t="s">
        <v>154</v>
      </c>
      <c r="B4" s="108"/>
      <c r="C4" s="108"/>
      <c r="D4" s="108"/>
      <c r="E4" s="108"/>
      <c r="F4" s="207">
        <v>12</v>
      </c>
      <c r="G4" s="200"/>
      <c r="H4" s="201">
        <f t="shared" si="0"/>
        <v>0</v>
      </c>
      <c r="I4" s="208">
        <f t="shared" ref="I4:I11" si="1">H4</f>
        <v>0</v>
      </c>
      <c r="J4" s="59"/>
    </row>
    <row r="5" spans="1:10" ht="15.75" customHeight="1">
      <c r="A5" s="73" t="s">
        <v>202</v>
      </c>
      <c r="B5" s="108"/>
      <c r="C5" s="108"/>
      <c r="D5" s="108"/>
      <c r="E5" s="108"/>
      <c r="F5" s="207">
        <v>12</v>
      </c>
      <c r="G5" s="200"/>
      <c r="H5" s="201">
        <f t="shared" si="0"/>
        <v>0</v>
      </c>
      <c r="I5" s="208">
        <f t="shared" si="1"/>
        <v>0</v>
      </c>
      <c r="J5" s="59"/>
    </row>
    <row r="6" spans="1:10" ht="15.75" customHeight="1">
      <c r="A6" s="73" t="s">
        <v>148</v>
      </c>
      <c r="B6" s="63"/>
      <c r="C6" s="63"/>
      <c r="D6" s="63"/>
      <c r="E6" s="147">
        <v>1535</v>
      </c>
      <c r="F6" s="207">
        <v>12</v>
      </c>
      <c r="G6" s="200"/>
      <c r="H6" s="201">
        <f t="shared" si="0"/>
        <v>127.91666666666667</v>
      </c>
      <c r="I6" s="208">
        <f t="shared" si="1"/>
        <v>127.91666666666667</v>
      </c>
      <c r="J6" s="59"/>
    </row>
    <row r="7" spans="1:10" ht="15.75" customHeight="1">
      <c r="A7" s="73" t="s">
        <v>150</v>
      </c>
      <c r="B7" s="63"/>
      <c r="C7" s="63"/>
      <c r="D7" s="63"/>
      <c r="E7" s="147">
        <v>0</v>
      </c>
      <c r="F7" s="207">
        <v>12</v>
      </c>
      <c r="G7" s="200"/>
      <c r="H7" s="201">
        <f t="shared" si="0"/>
        <v>0</v>
      </c>
      <c r="I7" s="208">
        <f t="shared" si="1"/>
        <v>0</v>
      </c>
      <c r="J7" s="59"/>
    </row>
    <row r="8" spans="1:10" ht="15.75" customHeight="1">
      <c r="A8" s="73" t="s">
        <v>149</v>
      </c>
      <c r="B8" s="63"/>
      <c r="C8" s="63"/>
      <c r="D8" s="63"/>
      <c r="E8" s="147">
        <v>0</v>
      </c>
      <c r="F8" s="207">
        <v>12</v>
      </c>
      <c r="G8" s="200"/>
      <c r="H8" s="201">
        <f t="shared" si="0"/>
        <v>0</v>
      </c>
      <c r="I8" s="208">
        <f t="shared" si="1"/>
        <v>0</v>
      </c>
      <c r="J8" s="59"/>
    </row>
    <row r="9" spans="1:10" ht="15.75" customHeight="1">
      <c r="A9" s="73" t="s">
        <v>203</v>
      </c>
      <c r="B9" s="63"/>
      <c r="C9" s="63"/>
      <c r="D9" s="63"/>
      <c r="E9" s="147"/>
      <c r="F9" s="207">
        <v>12</v>
      </c>
      <c r="G9" s="200"/>
      <c r="H9" s="201">
        <f t="shared" si="0"/>
        <v>0</v>
      </c>
      <c r="I9" s="208">
        <f t="shared" si="1"/>
        <v>0</v>
      </c>
      <c r="J9" s="59"/>
    </row>
    <row r="10" spans="1:10" ht="15.75" customHeight="1">
      <c r="A10" s="73" t="s">
        <v>204</v>
      </c>
      <c r="B10" s="63"/>
      <c r="C10" s="63"/>
      <c r="D10" s="63"/>
      <c r="E10" s="147"/>
      <c r="F10" s="207">
        <v>12</v>
      </c>
      <c r="G10" s="200"/>
      <c r="H10" s="201">
        <f t="shared" si="0"/>
        <v>0</v>
      </c>
      <c r="I10" s="208">
        <f t="shared" si="1"/>
        <v>0</v>
      </c>
      <c r="J10" s="59"/>
    </row>
    <row r="11" spans="1:10" ht="15.75" customHeight="1">
      <c r="A11" s="58" t="s">
        <v>155</v>
      </c>
      <c r="B11" s="61"/>
      <c r="C11" s="61"/>
      <c r="D11" s="61"/>
      <c r="E11" s="61"/>
      <c r="F11" s="200"/>
      <c r="G11" s="209"/>
      <c r="H11" s="201">
        <f>D28</f>
        <v>0</v>
      </c>
      <c r="I11" s="208">
        <f t="shared" si="1"/>
        <v>0</v>
      </c>
      <c r="J11" s="59"/>
    </row>
    <row r="12" spans="1:10" ht="15.75" customHeight="1">
      <c r="A12" s="58" t="s">
        <v>152</v>
      </c>
      <c r="B12" s="61"/>
      <c r="C12" s="61"/>
      <c r="D12" s="210">
        <f>B17+B18</f>
        <v>288</v>
      </c>
      <c r="E12" s="61"/>
      <c r="F12" s="200"/>
      <c r="G12" s="209">
        <f>'Общие расходы ГЭ'!G16</f>
        <v>9.1731976502919679</v>
      </c>
      <c r="H12" s="200"/>
      <c r="I12" s="208">
        <f t="shared" ref="I12:I14" si="2">D12*G12</f>
        <v>2641.8809232840867</v>
      </c>
      <c r="J12" s="59"/>
    </row>
    <row r="13" spans="1:10" ht="15.75" customHeight="1">
      <c r="A13" s="58" t="s">
        <v>153</v>
      </c>
      <c r="B13" s="61"/>
      <c r="C13" s="61"/>
      <c r="D13" s="210">
        <f>B17+B18</f>
        <v>288</v>
      </c>
      <c r="E13" s="61"/>
      <c r="F13" s="200"/>
      <c r="G13" s="209">
        <f>'Общие расходы г. Тюмень'!F4</f>
        <v>0.27439332347868928</v>
      </c>
      <c r="H13" s="200"/>
      <c r="I13" s="208">
        <f t="shared" si="2"/>
        <v>79.025277161862505</v>
      </c>
      <c r="J13" s="59"/>
    </row>
    <row r="14" spans="1:10" ht="15.75" customHeight="1">
      <c r="A14" s="58" t="s">
        <v>156</v>
      </c>
      <c r="B14" s="61"/>
      <c r="C14" s="61"/>
      <c r="D14" s="210">
        <f>B17+B18</f>
        <v>288</v>
      </c>
      <c r="E14" s="61"/>
      <c r="F14" s="200"/>
      <c r="G14" s="201">
        <f>'Общие расходы г. Тюмень'!F30</f>
        <v>0.74801393423739049</v>
      </c>
      <c r="H14" s="200"/>
      <c r="I14" s="211">
        <f t="shared" si="2"/>
        <v>215.42801306036847</v>
      </c>
      <c r="J14" s="59"/>
    </row>
    <row r="15" spans="1:10" ht="15.75" customHeight="1">
      <c r="A15" s="331" t="s">
        <v>62</v>
      </c>
      <c r="B15" s="332"/>
      <c r="C15" s="332"/>
      <c r="D15" s="332"/>
      <c r="E15" s="332"/>
      <c r="F15" s="332"/>
      <c r="G15" s="321"/>
      <c r="H15" s="212"/>
      <c r="I15" s="211">
        <f>SUM(I3:I14)</f>
        <v>4560.8863941916761</v>
      </c>
    </row>
    <row r="16" spans="1:10" ht="15.75" customHeight="1">
      <c r="A16" s="202"/>
      <c r="B16" s="148"/>
      <c r="C16" s="148"/>
      <c r="D16" s="148"/>
      <c r="E16" s="148"/>
      <c r="F16" s="149"/>
      <c r="G16" s="149"/>
      <c r="H16" s="149"/>
      <c r="I16" s="148"/>
    </row>
    <row r="17" spans="1:9" ht="15.75" customHeight="1">
      <c r="A17" s="58" t="s">
        <v>205</v>
      </c>
      <c r="B17" s="213">
        <f>'Исходные данные'!B33</f>
        <v>288</v>
      </c>
      <c r="C17" s="148"/>
      <c r="D17" s="148"/>
      <c r="E17" s="148"/>
      <c r="F17" s="149"/>
      <c r="G17" s="149"/>
      <c r="H17" s="149"/>
      <c r="I17" s="148"/>
    </row>
    <row r="18" spans="1:9" ht="15.75" customHeight="1">
      <c r="A18" s="58" t="s">
        <v>206</v>
      </c>
      <c r="B18" s="213">
        <f>'Исходные данные'!C33</f>
        <v>0</v>
      </c>
      <c r="C18" s="148"/>
      <c r="D18" s="148"/>
      <c r="E18" s="148"/>
      <c r="F18" s="149"/>
      <c r="G18" s="149"/>
      <c r="H18" s="149"/>
      <c r="I18" s="148"/>
    </row>
    <row r="19" spans="1:9" ht="15.75" customHeight="1">
      <c r="A19" s="58" t="s">
        <v>207</v>
      </c>
      <c r="B19" s="213">
        <f>'Исходные данные'!D25</f>
        <v>0</v>
      </c>
      <c r="C19" s="148"/>
      <c r="D19" s="148"/>
      <c r="E19" s="148"/>
      <c r="F19" s="149"/>
      <c r="G19" s="149"/>
      <c r="H19" s="149"/>
      <c r="I19" s="148"/>
    </row>
    <row r="20" spans="1:9" ht="15.75" customHeight="1">
      <c r="A20" s="202"/>
      <c r="B20" s="148"/>
      <c r="C20" s="148"/>
      <c r="D20" s="148"/>
      <c r="E20" s="148"/>
      <c r="F20" s="149"/>
      <c r="G20" s="149"/>
      <c r="H20" s="149"/>
      <c r="I20" s="62"/>
    </row>
    <row r="21" spans="1:9" ht="15.75" customHeight="1">
      <c r="A21" s="333" t="s">
        <v>208</v>
      </c>
      <c r="B21" s="332"/>
      <c r="C21" s="332"/>
      <c r="D21" s="321"/>
      <c r="E21" s="214"/>
      <c r="F21" s="59"/>
      <c r="G21" s="59"/>
      <c r="H21" s="59"/>
      <c r="I21" s="59"/>
    </row>
    <row r="22" spans="1:9" ht="15.75" customHeight="1">
      <c r="A22" s="215" t="s">
        <v>209</v>
      </c>
      <c r="B22" s="216" t="s">
        <v>210</v>
      </c>
      <c r="C22" s="78" t="s">
        <v>5</v>
      </c>
      <c r="D22" s="216" t="s">
        <v>211</v>
      </c>
      <c r="E22" s="217"/>
    </row>
    <row r="23" spans="1:9" ht="15.75" customHeight="1">
      <c r="A23" s="219" t="s">
        <v>212</v>
      </c>
      <c r="B23" s="218"/>
      <c r="C23" s="108">
        <v>12</v>
      </c>
      <c r="D23" s="218">
        <f t="shared" ref="D23:D24" si="3">B23/C23</f>
        <v>0</v>
      </c>
      <c r="E23" s="62"/>
    </row>
    <row r="24" spans="1:9" ht="15.75" customHeight="1">
      <c r="A24" s="219" t="s">
        <v>217</v>
      </c>
      <c r="B24" s="218"/>
      <c r="C24" s="108">
        <v>12</v>
      </c>
      <c r="D24" s="218">
        <f t="shared" si="3"/>
        <v>0</v>
      </c>
      <c r="E24" s="62"/>
    </row>
    <row r="25" spans="1:9" ht="15.75" customHeight="1">
      <c r="A25" s="219"/>
      <c r="B25" s="218"/>
      <c r="C25" s="108"/>
      <c r="D25" s="218"/>
      <c r="E25" s="62"/>
    </row>
    <row r="26" spans="1:9" ht="15.75" customHeight="1">
      <c r="A26" s="219"/>
      <c r="B26" s="218"/>
      <c r="C26" s="108"/>
      <c r="D26" s="218"/>
      <c r="E26" s="62"/>
    </row>
    <row r="27" spans="1:9" ht="15.75" customHeight="1">
      <c r="A27" s="219"/>
      <c r="B27" s="218"/>
      <c r="C27" s="108"/>
      <c r="D27" s="218"/>
      <c r="E27" s="62"/>
    </row>
    <row r="28" spans="1:9" ht="15.75" customHeight="1">
      <c r="A28" s="220"/>
      <c r="B28" s="221">
        <f>SUM(B23:B27)</f>
        <v>0</v>
      </c>
      <c r="C28" s="222">
        <v>12</v>
      </c>
      <c r="D28" s="221">
        <f>B28/C28</f>
        <v>0</v>
      </c>
      <c r="E28" s="139"/>
      <c r="F28" s="140"/>
      <c r="G28" s="139"/>
    </row>
    <row r="29" spans="1:9" ht="15.75" customHeight="1">
      <c r="A29" s="202"/>
    </row>
    <row r="30" spans="1:9" ht="15.75" customHeight="1">
      <c r="A30" s="202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</sheetData>
  <mergeCells count="2">
    <mergeCell ref="A15:G15"/>
    <mergeCell ref="A21:D2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982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10" ht="15.75" customHeight="1">
      <c r="A1" s="202"/>
      <c r="B1" s="148"/>
      <c r="C1" s="148"/>
      <c r="D1" s="148"/>
      <c r="E1" s="148"/>
      <c r="F1" s="149"/>
      <c r="G1" s="149"/>
      <c r="H1" s="149"/>
      <c r="I1" s="148"/>
    </row>
    <row r="2" spans="1:10" ht="15.75" customHeight="1">
      <c r="A2" s="203" t="s">
        <v>121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  <c r="J2" s="59"/>
    </row>
    <row r="3" spans="1:10" ht="15.75" customHeight="1">
      <c r="A3" s="73" t="s">
        <v>216</v>
      </c>
      <c r="B3" s="83">
        <f>'Исходные данные'!D11</f>
        <v>214</v>
      </c>
      <c r="C3" s="108">
        <f>'Исходные данные'!F32</f>
        <v>8</v>
      </c>
      <c r="D3" s="108"/>
      <c r="E3" s="108">
        <v>480420</v>
      </c>
      <c r="F3" s="207">
        <v>12</v>
      </c>
      <c r="G3" s="200"/>
      <c r="H3" s="201">
        <f t="shared" ref="H3:H11" si="0">E3/F3</f>
        <v>40035</v>
      </c>
      <c r="I3" s="208">
        <f t="shared" ref="I3:I4" si="1">H3/B3*C3</f>
        <v>1496.6355140186915</v>
      </c>
      <c r="J3" s="59"/>
    </row>
    <row r="4" spans="1:10" ht="15.75" customHeight="1">
      <c r="A4" s="73" t="s">
        <v>201</v>
      </c>
      <c r="B4" s="83">
        <f>'Исходные данные'!E13</f>
        <v>30</v>
      </c>
      <c r="C4" s="108">
        <f>'Исходные данные'!H32</f>
        <v>1</v>
      </c>
      <c r="D4" s="108"/>
      <c r="E4" s="147">
        <v>305868</v>
      </c>
      <c r="F4" s="207">
        <v>12</v>
      </c>
      <c r="G4" s="200"/>
      <c r="H4" s="201">
        <f t="shared" si="0"/>
        <v>25489</v>
      </c>
      <c r="I4" s="208">
        <f t="shared" si="1"/>
        <v>849.63333333333333</v>
      </c>
      <c r="J4" s="59"/>
    </row>
    <row r="5" spans="1:10" ht="15.75" customHeight="1">
      <c r="A5" s="73" t="s">
        <v>154</v>
      </c>
      <c r="B5" s="108"/>
      <c r="C5" s="108"/>
      <c r="D5" s="108"/>
      <c r="E5" s="108"/>
      <c r="F5" s="207">
        <v>12</v>
      </c>
      <c r="G5" s="200"/>
      <c r="H5" s="201">
        <f t="shared" si="0"/>
        <v>0</v>
      </c>
      <c r="I5" s="208">
        <f t="shared" ref="I5:I12" si="2">H5</f>
        <v>0</v>
      </c>
      <c r="J5" s="59"/>
    </row>
    <row r="6" spans="1:10" ht="15.75" customHeight="1">
      <c r="A6" s="73" t="s">
        <v>202</v>
      </c>
      <c r="B6" s="108"/>
      <c r="C6" s="108"/>
      <c r="D6" s="108"/>
      <c r="E6" s="108"/>
      <c r="F6" s="207">
        <v>12</v>
      </c>
      <c r="G6" s="200"/>
      <c r="H6" s="201">
        <f t="shared" si="0"/>
        <v>0</v>
      </c>
      <c r="I6" s="208">
        <f t="shared" si="2"/>
        <v>0</v>
      </c>
      <c r="J6" s="59"/>
    </row>
    <row r="7" spans="1:10" ht="15.75" customHeight="1">
      <c r="A7" s="73" t="s">
        <v>148</v>
      </c>
      <c r="B7" s="63"/>
      <c r="C7" s="63"/>
      <c r="D7" s="63"/>
      <c r="E7" s="147">
        <v>2190</v>
      </c>
      <c r="F7" s="207">
        <v>12</v>
      </c>
      <c r="G7" s="200"/>
      <c r="H7" s="201">
        <f t="shared" si="0"/>
        <v>182.5</v>
      </c>
      <c r="I7" s="208">
        <f t="shared" si="2"/>
        <v>182.5</v>
      </c>
      <c r="J7" s="59"/>
    </row>
    <row r="8" spans="1:10" ht="15.75" customHeight="1">
      <c r="A8" s="73" t="s">
        <v>150</v>
      </c>
      <c r="B8" s="63"/>
      <c r="C8" s="63"/>
      <c r="D8" s="63"/>
      <c r="E8" s="147">
        <v>0</v>
      </c>
      <c r="F8" s="207">
        <v>12</v>
      </c>
      <c r="G8" s="200"/>
      <c r="H8" s="201">
        <f t="shared" si="0"/>
        <v>0</v>
      </c>
      <c r="I8" s="208">
        <f t="shared" si="2"/>
        <v>0</v>
      </c>
      <c r="J8" s="59"/>
    </row>
    <row r="9" spans="1:10" ht="15.75" customHeight="1">
      <c r="A9" s="73" t="s">
        <v>149</v>
      </c>
      <c r="B9" s="63"/>
      <c r="C9" s="63"/>
      <c r="D9" s="63"/>
      <c r="E9" s="147">
        <v>0</v>
      </c>
      <c r="F9" s="207">
        <v>12</v>
      </c>
      <c r="G9" s="200"/>
      <c r="H9" s="201">
        <f t="shared" si="0"/>
        <v>0</v>
      </c>
      <c r="I9" s="208">
        <f t="shared" si="2"/>
        <v>0</v>
      </c>
      <c r="J9" s="59"/>
    </row>
    <row r="10" spans="1:10" ht="15.75" customHeight="1">
      <c r="A10" s="73" t="s">
        <v>203</v>
      </c>
      <c r="B10" s="63"/>
      <c r="C10" s="63"/>
      <c r="D10" s="63"/>
      <c r="E10" s="147"/>
      <c r="F10" s="207">
        <v>12</v>
      </c>
      <c r="G10" s="200"/>
      <c r="H10" s="201">
        <f t="shared" si="0"/>
        <v>0</v>
      </c>
      <c r="I10" s="208">
        <f t="shared" si="2"/>
        <v>0</v>
      </c>
      <c r="J10" s="59"/>
    </row>
    <row r="11" spans="1:10" ht="15.75" customHeight="1">
      <c r="A11" s="73" t="s">
        <v>204</v>
      </c>
      <c r="B11" s="63"/>
      <c r="C11" s="63"/>
      <c r="D11" s="63"/>
      <c r="E11" s="147"/>
      <c r="F11" s="207">
        <v>12</v>
      </c>
      <c r="G11" s="200"/>
      <c r="H11" s="201">
        <f t="shared" si="0"/>
        <v>0</v>
      </c>
      <c r="I11" s="208">
        <f t="shared" si="2"/>
        <v>0</v>
      </c>
      <c r="J11" s="59"/>
    </row>
    <row r="12" spans="1:10" ht="15.75" customHeight="1">
      <c r="A12" s="58" t="s">
        <v>155</v>
      </c>
      <c r="B12" s="61"/>
      <c r="C12" s="61"/>
      <c r="D12" s="61"/>
      <c r="E12" s="61"/>
      <c r="F12" s="200"/>
      <c r="G12" s="209"/>
      <c r="H12" s="201">
        <f>D29</f>
        <v>0</v>
      </c>
      <c r="I12" s="208">
        <f t="shared" si="2"/>
        <v>0</v>
      </c>
      <c r="J12" s="59"/>
    </row>
    <row r="13" spans="1:10" ht="15.75" customHeight="1">
      <c r="A13" s="58" t="s">
        <v>152</v>
      </c>
      <c r="B13" s="61"/>
      <c r="C13" s="61"/>
      <c r="D13" s="210">
        <f>B18+B19</f>
        <v>176</v>
      </c>
      <c r="E13" s="61"/>
      <c r="F13" s="200"/>
      <c r="G13" s="209">
        <f>'Общие расходы ГЭ'!G16</f>
        <v>9.1731976502919679</v>
      </c>
      <c r="H13" s="200"/>
      <c r="I13" s="208">
        <f t="shared" ref="I13:I15" si="3">D13*G13</f>
        <v>1614.4827864513863</v>
      </c>
      <c r="J13" s="59"/>
    </row>
    <row r="14" spans="1:10" ht="15.75" customHeight="1">
      <c r="A14" s="58" t="s">
        <v>153</v>
      </c>
      <c r="B14" s="61"/>
      <c r="C14" s="61"/>
      <c r="D14" s="210">
        <f>B18+B19</f>
        <v>176</v>
      </c>
      <c r="E14" s="61"/>
      <c r="F14" s="200"/>
      <c r="G14" s="209">
        <f>'Общие расходы г. Тюмень'!F4</f>
        <v>0.27439332347868928</v>
      </c>
      <c r="H14" s="200"/>
      <c r="I14" s="208">
        <f t="shared" si="3"/>
        <v>48.293224932249316</v>
      </c>
      <c r="J14" s="59"/>
    </row>
    <row r="15" spans="1:10" ht="15.75" customHeight="1">
      <c r="A15" s="58" t="s">
        <v>156</v>
      </c>
      <c r="B15" s="61"/>
      <c r="C15" s="61"/>
      <c r="D15" s="210">
        <f>B18+B19</f>
        <v>176</v>
      </c>
      <c r="E15" s="61"/>
      <c r="F15" s="200"/>
      <c r="G15" s="201">
        <f>'Общие расходы г. Тюмень'!F30</f>
        <v>0.74801393423739049</v>
      </c>
      <c r="H15" s="200"/>
      <c r="I15" s="211">
        <f t="shared" si="3"/>
        <v>131.65045242578071</v>
      </c>
      <c r="J15" s="59"/>
    </row>
    <row r="16" spans="1:10" ht="15.75" customHeight="1">
      <c r="A16" s="331" t="s">
        <v>62</v>
      </c>
      <c r="B16" s="332"/>
      <c r="C16" s="332"/>
      <c r="D16" s="332"/>
      <c r="E16" s="332"/>
      <c r="F16" s="332"/>
      <c r="G16" s="321"/>
      <c r="H16" s="212"/>
      <c r="I16" s="211">
        <f>SUM(I3:I15)</f>
        <v>4323.1953111614412</v>
      </c>
    </row>
    <row r="17" spans="1:9" ht="15.75" customHeight="1">
      <c r="A17" s="202"/>
      <c r="B17" s="148"/>
      <c r="C17" s="148"/>
      <c r="D17" s="148"/>
      <c r="E17" s="148"/>
      <c r="F17" s="149"/>
      <c r="G17" s="149"/>
      <c r="H17" s="149"/>
      <c r="I17" s="148"/>
    </row>
    <row r="18" spans="1:9" ht="15.75" customHeight="1">
      <c r="A18" s="58" t="s">
        <v>205</v>
      </c>
      <c r="B18" s="213">
        <f>'Исходные данные'!B32</f>
        <v>88</v>
      </c>
      <c r="C18" s="148"/>
      <c r="D18" s="148"/>
      <c r="E18" s="148"/>
      <c r="F18" s="149"/>
      <c r="G18" s="149"/>
      <c r="H18" s="149"/>
      <c r="I18" s="148"/>
    </row>
    <row r="19" spans="1:9" ht="15.75" customHeight="1">
      <c r="A19" s="58" t="s">
        <v>206</v>
      </c>
      <c r="B19" s="213">
        <f>'Исходные данные'!C32</f>
        <v>88</v>
      </c>
      <c r="C19" s="148"/>
      <c r="D19" s="148"/>
      <c r="E19" s="148"/>
      <c r="F19" s="149"/>
      <c r="G19" s="149"/>
      <c r="H19" s="149"/>
      <c r="I19" s="148"/>
    </row>
    <row r="20" spans="1:9" ht="15.75" customHeight="1">
      <c r="A20" s="58" t="s">
        <v>207</v>
      </c>
      <c r="B20" s="213">
        <f>'Исходные данные'!D25</f>
        <v>0</v>
      </c>
      <c r="C20" s="148"/>
      <c r="D20" s="148"/>
      <c r="E20" s="148"/>
      <c r="F20" s="149"/>
      <c r="G20" s="149"/>
      <c r="H20" s="149"/>
      <c r="I20" s="148"/>
    </row>
    <row r="21" spans="1:9" ht="15.75" customHeight="1">
      <c r="A21" s="202"/>
      <c r="B21" s="148"/>
      <c r="C21" s="148"/>
      <c r="D21" s="148"/>
      <c r="E21" s="148"/>
      <c r="F21" s="149"/>
      <c r="G21" s="149"/>
      <c r="H21" s="149"/>
      <c r="I21" s="62"/>
    </row>
    <row r="22" spans="1:9" ht="15.75" customHeight="1">
      <c r="A22" s="333" t="s">
        <v>208</v>
      </c>
      <c r="B22" s="332"/>
      <c r="C22" s="332"/>
      <c r="D22" s="321"/>
      <c r="E22" s="214"/>
      <c r="F22" s="59"/>
      <c r="G22" s="59"/>
      <c r="H22" s="59"/>
      <c r="I22" s="59"/>
    </row>
    <row r="23" spans="1:9" ht="15.75" customHeight="1">
      <c r="A23" s="215" t="s">
        <v>209</v>
      </c>
      <c r="B23" s="216" t="s">
        <v>210</v>
      </c>
      <c r="C23" s="78" t="s">
        <v>5</v>
      </c>
      <c r="D23" s="216" t="s">
        <v>211</v>
      </c>
      <c r="E23" s="217"/>
    </row>
    <row r="24" spans="1:9" ht="15.75" customHeight="1">
      <c r="A24" s="219" t="s">
        <v>212</v>
      </c>
      <c r="B24" s="218"/>
      <c r="C24" s="108">
        <v>12</v>
      </c>
      <c r="D24" s="218">
        <f t="shared" ref="D24:D25" si="4">B24/C24</f>
        <v>0</v>
      </c>
      <c r="E24" s="62"/>
    </row>
    <row r="25" spans="1:9" ht="15.75" customHeight="1">
      <c r="A25" s="219" t="s">
        <v>217</v>
      </c>
      <c r="B25" s="218"/>
      <c r="C25" s="108">
        <v>12</v>
      </c>
      <c r="D25" s="218">
        <f t="shared" si="4"/>
        <v>0</v>
      </c>
      <c r="E25" s="62"/>
    </row>
    <row r="26" spans="1:9" ht="15.75" customHeight="1">
      <c r="A26" s="219"/>
      <c r="B26" s="218"/>
      <c r="C26" s="108"/>
      <c r="D26" s="218"/>
      <c r="E26" s="62"/>
    </row>
    <row r="27" spans="1:9" ht="15.75" customHeight="1">
      <c r="A27" s="219"/>
      <c r="B27" s="218"/>
      <c r="C27" s="108"/>
      <c r="D27" s="218"/>
      <c r="E27" s="62"/>
    </row>
    <row r="28" spans="1:9" ht="15.75" customHeight="1">
      <c r="A28" s="219"/>
      <c r="B28" s="218"/>
      <c r="C28" s="108"/>
      <c r="D28" s="218"/>
      <c r="E28" s="62"/>
    </row>
    <row r="29" spans="1:9" ht="15.75" customHeight="1">
      <c r="A29" s="220"/>
      <c r="B29" s="221">
        <f>SUM(B24:B28)</f>
        <v>0</v>
      </c>
      <c r="C29" s="222">
        <v>12</v>
      </c>
      <c r="D29" s="221">
        <f>B29/C29</f>
        <v>0</v>
      </c>
      <c r="E29" s="139"/>
      <c r="F29" s="140"/>
      <c r="G29" s="139"/>
    </row>
    <row r="30" spans="1:9" ht="15.75" customHeight="1">
      <c r="A30" s="202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</sheetData>
  <mergeCells count="2">
    <mergeCell ref="A16:G16"/>
    <mergeCell ref="A22:D22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981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10" ht="15.75" customHeight="1">
      <c r="A1" s="202"/>
      <c r="B1" s="148"/>
      <c r="C1" s="148"/>
      <c r="D1" s="148"/>
      <c r="E1" s="148"/>
      <c r="F1" s="149"/>
      <c r="G1" s="149"/>
      <c r="H1" s="149"/>
      <c r="I1" s="148"/>
    </row>
    <row r="2" spans="1:10" ht="15.75" customHeight="1">
      <c r="A2" s="203" t="s">
        <v>218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  <c r="J2" s="59"/>
    </row>
    <row r="3" spans="1:10" ht="15.75" customHeight="1">
      <c r="A3" s="73" t="s">
        <v>199</v>
      </c>
      <c r="B3" s="83">
        <f>'Исходные данные'!D12</f>
        <v>402</v>
      </c>
      <c r="C3" s="108">
        <f>'Исходные данные'!G34</f>
        <v>33</v>
      </c>
      <c r="D3" s="108"/>
      <c r="E3" s="108">
        <v>637618</v>
      </c>
      <c r="F3" s="207">
        <v>12</v>
      </c>
      <c r="G3" s="200"/>
      <c r="H3" s="201">
        <f t="shared" ref="H3:H10" si="0">E3/F3</f>
        <v>53134.833333333336</v>
      </c>
      <c r="I3" s="208">
        <f>H3/B3*C3</f>
        <v>4361.8146766169148</v>
      </c>
      <c r="J3" s="59"/>
    </row>
    <row r="4" spans="1:10" ht="15.75" customHeight="1">
      <c r="A4" s="73" t="s">
        <v>219</v>
      </c>
      <c r="B4" s="108"/>
      <c r="C4" s="108"/>
      <c r="D4" s="108"/>
      <c r="E4" s="147">
        <f>10500+9000</f>
        <v>19500</v>
      </c>
      <c r="F4" s="207">
        <v>12</v>
      </c>
      <c r="G4" s="200"/>
      <c r="H4" s="201">
        <f t="shared" si="0"/>
        <v>1625</v>
      </c>
      <c r="I4" s="208">
        <f t="shared" ref="I4:I11" si="1">H4</f>
        <v>1625</v>
      </c>
      <c r="J4" s="59"/>
    </row>
    <row r="5" spans="1:10" ht="15.75" customHeight="1">
      <c r="A5" s="73" t="s">
        <v>202</v>
      </c>
      <c r="B5" s="108"/>
      <c r="C5" s="108"/>
      <c r="D5" s="108"/>
      <c r="E5" s="108">
        <f>4750+1900</f>
        <v>6650</v>
      </c>
      <c r="F5" s="207">
        <v>12</v>
      </c>
      <c r="G5" s="200"/>
      <c r="H5" s="201">
        <f t="shared" si="0"/>
        <v>554.16666666666663</v>
      </c>
      <c r="I5" s="208">
        <f t="shared" si="1"/>
        <v>554.16666666666663</v>
      </c>
      <c r="J5" s="59"/>
    </row>
    <row r="6" spans="1:10" ht="15.75" customHeight="1">
      <c r="A6" s="73" t="s">
        <v>148</v>
      </c>
      <c r="B6" s="63"/>
      <c r="C6" s="63"/>
      <c r="D6" s="63"/>
      <c r="E6" s="147">
        <v>1727</v>
      </c>
      <c r="F6" s="207">
        <v>12</v>
      </c>
      <c r="G6" s="200"/>
      <c r="H6" s="201">
        <f t="shared" si="0"/>
        <v>143.91666666666666</v>
      </c>
      <c r="I6" s="208">
        <f t="shared" si="1"/>
        <v>143.91666666666666</v>
      </c>
      <c r="J6" s="59"/>
    </row>
    <row r="7" spans="1:10" ht="15.75" customHeight="1">
      <c r="A7" s="73" t="s">
        <v>150</v>
      </c>
      <c r="B7" s="63"/>
      <c r="C7" s="63"/>
      <c r="D7" s="63"/>
      <c r="E7" s="147"/>
      <c r="F7" s="207">
        <v>12</v>
      </c>
      <c r="G7" s="200"/>
      <c r="H7" s="201">
        <f t="shared" si="0"/>
        <v>0</v>
      </c>
      <c r="I7" s="208">
        <f t="shared" si="1"/>
        <v>0</v>
      </c>
      <c r="J7" s="59"/>
    </row>
    <row r="8" spans="1:10" ht="15.75" customHeight="1">
      <c r="A8" s="73" t="s">
        <v>149</v>
      </c>
      <c r="B8" s="63"/>
      <c r="C8" s="63"/>
      <c r="D8" s="63"/>
      <c r="E8" s="147">
        <v>13287</v>
      </c>
      <c r="F8" s="207">
        <v>12</v>
      </c>
      <c r="G8" s="200"/>
      <c r="H8" s="201">
        <f t="shared" si="0"/>
        <v>1107.25</v>
      </c>
      <c r="I8" s="208">
        <f t="shared" si="1"/>
        <v>1107.25</v>
      </c>
      <c r="J8" s="59"/>
    </row>
    <row r="9" spans="1:10" ht="15.75" customHeight="1">
      <c r="A9" s="73" t="s">
        <v>203</v>
      </c>
      <c r="B9" s="63"/>
      <c r="C9" s="63"/>
      <c r="D9" s="63"/>
      <c r="E9" s="147"/>
      <c r="F9" s="207">
        <v>12</v>
      </c>
      <c r="G9" s="200"/>
      <c r="H9" s="201">
        <f t="shared" si="0"/>
        <v>0</v>
      </c>
      <c r="I9" s="208">
        <f t="shared" si="1"/>
        <v>0</v>
      </c>
      <c r="J9" s="59"/>
    </row>
    <row r="10" spans="1:10" ht="15.75" customHeight="1">
      <c r="A10" s="73" t="s">
        <v>204</v>
      </c>
      <c r="B10" s="63"/>
      <c r="C10" s="63"/>
      <c r="D10" s="63"/>
      <c r="E10" s="147">
        <v>1169</v>
      </c>
      <c r="F10" s="207">
        <v>12</v>
      </c>
      <c r="G10" s="200"/>
      <c r="H10" s="201">
        <f t="shared" si="0"/>
        <v>97.416666666666671</v>
      </c>
      <c r="I10" s="208">
        <f t="shared" si="1"/>
        <v>97.416666666666671</v>
      </c>
      <c r="J10" s="59"/>
    </row>
    <row r="11" spans="1:10" ht="15.75" customHeight="1">
      <c r="A11" s="58" t="s">
        <v>155</v>
      </c>
      <c r="B11" s="61"/>
      <c r="C11" s="61"/>
      <c r="D11" s="61"/>
      <c r="E11" s="61"/>
      <c r="F11" s="200"/>
      <c r="G11" s="209"/>
      <c r="H11" s="201">
        <f>D28</f>
        <v>0</v>
      </c>
      <c r="I11" s="208">
        <f t="shared" si="1"/>
        <v>0</v>
      </c>
      <c r="J11" s="59"/>
    </row>
    <row r="12" spans="1:10" ht="15.75" customHeight="1">
      <c r="A12" s="58" t="s">
        <v>152</v>
      </c>
      <c r="B12" s="61"/>
      <c r="C12" s="61"/>
      <c r="D12" s="210">
        <f>B17+B18</f>
        <v>554</v>
      </c>
      <c r="E12" s="61"/>
      <c r="F12" s="200"/>
      <c r="G12" s="209">
        <f>'Общие расходы ГЭ'!G16</f>
        <v>9.1731976502919679</v>
      </c>
      <c r="H12" s="200"/>
      <c r="I12" s="208">
        <f t="shared" ref="I12:I14" si="2">D12*G12</f>
        <v>5081.9514982617502</v>
      </c>
      <c r="J12" s="59"/>
    </row>
    <row r="13" spans="1:10" ht="15.75" customHeight="1">
      <c r="A13" s="58" t="s">
        <v>153</v>
      </c>
      <c r="B13" s="61"/>
      <c r="C13" s="61"/>
      <c r="D13" s="210">
        <f>B17+B18</f>
        <v>554</v>
      </c>
      <c r="E13" s="61"/>
      <c r="F13" s="200"/>
      <c r="G13" s="209">
        <f>'Общие расходы г. Тюмень'!F4</f>
        <v>0.27439332347868928</v>
      </c>
      <c r="H13" s="200"/>
      <c r="I13" s="208">
        <f t="shared" si="2"/>
        <v>152.01390120719387</v>
      </c>
      <c r="J13" s="59"/>
    </row>
    <row r="14" spans="1:10" ht="15.75" customHeight="1">
      <c r="A14" s="58" t="s">
        <v>156</v>
      </c>
      <c r="B14" s="61"/>
      <c r="C14" s="61"/>
      <c r="D14" s="210">
        <f>B17+B18</f>
        <v>554</v>
      </c>
      <c r="E14" s="61"/>
      <c r="F14" s="200"/>
      <c r="G14" s="201">
        <f>'Общие расходы г. Тюмень'!F30</f>
        <v>0.74801393423739049</v>
      </c>
      <c r="H14" s="200"/>
      <c r="I14" s="211">
        <f t="shared" si="2"/>
        <v>414.39971956751435</v>
      </c>
      <c r="J14" s="59"/>
    </row>
    <row r="15" spans="1:10" ht="15.75" customHeight="1">
      <c r="A15" s="331" t="s">
        <v>62</v>
      </c>
      <c r="B15" s="332"/>
      <c r="C15" s="332"/>
      <c r="D15" s="332"/>
      <c r="E15" s="332"/>
      <c r="F15" s="332"/>
      <c r="G15" s="321"/>
      <c r="H15" s="212"/>
      <c r="I15" s="211">
        <f>SUM(I3:I14)</f>
        <v>13537.929795653376</v>
      </c>
    </row>
    <row r="16" spans="1:10" ht="15.75" customHeight="1">
      <c r="A16" s="202"/>
      <c r="B16" s="148"/>
      <c r="C16" s="148"/>
      <c r="D16" s="148"/>
      <c r="E16" s="148"/>
      <c r="F16" s="149"/>
      <c r="G16" s="149"/>
      <c r="H16" s="149"/>
      <c r="I16" s="148"/>
    </row>
    <row r="17" spans="1:9" ht="15.75" customHeight="1">
      <c r="A17" s="58" t="s">
        <v>205</v>
      </c>
      <c r="B17" s="213">
        <f>'Исходные данные'!B34</f>
        <v>554</v>
      </c>
      <c r="C17" s="148"/>
      <c r="D17" s="148"/>
      <c r="E17" s="148"/>
      <c r="F17" s="149"/>
      <c r="G17" s="149"/>
      <c r="H17" s="149"/>
      <c r="I17" s="148"/>
    </row>
    <row r="18" spans="1:9" ht="15.75" customHeight="1">
      <c r="A18" s="58" t="s">
        <v>206</v>
      </c>
      <c r="B18" s="213">
        <f>'Исходные данные'!C34</f>
        <v>0</v>
      </c>
      <c r="C18" s="148"/>
      <c r="D18" s="148"/>
      <c r="E18" s="148"/>
      <c r="F18" s="149"/>
      <c r="G18" s="149"/>
      <c r="H18" s="149"/>
      <c r="I18" s="148"/>
    </row>
    <row r="19" spans="1:9" ht="15.75" customHeight="1">
      <c r="A19" s="58" t="s">
        <v>207</v>
      </c>
      <c r="B19" s="213">
        <f>'Исходные данные'!D25</f>
        <v>0</v>
      </c>
      <c r="C19" s="148"/>
      <c r="D19" s="148"/>
      <c r="E19" s="148"/>
      <c r="F19" s="149"/>
      <c r="G19" s="149"/>
      <c r="H19" s="149"/>
      <c r="I19" s="148"/>
    </row>
    <row r="20" spans="1:9" ht="15.75" customHeight="1">
      <c r="A20" s="202"/>
      <c r="B20" s="148"/>
      <c r="C20" s="148"/>
      <c r="D20" s="148"/>
      <c r="E20" s="148"/>
      <c r="F20" s="149"/>
      <c r="G20" s="149"/>
      <c r="H20" s="149"/>
      <c r="I20" s="62"/>
    </row>
    <row r="21" spans="1:9" ht="15.75" customHeight="1">
      <c r="A21" s="333" t="s">
        <v>208</v>
      </c>
      <c r="B21" s="332"/>
      <c r="C21" s="332"/>
      <c r="D21" s="321"/>
      <c r="E21" s="214"/>
      <c r="F21" s="59"/>
      <c r="G21" s="59"/>
      <c r="H21" s="59"/>
      <c r="I21" s="59"/>
    </row>
    <row r="22" spans="1:9" ht="15.75" customHeight="1">
      <c r="A22" s="215" t="s">
        <v>209</v>
      </c>
      <c r="B22" s="216" t="s">
        <v>210</v>
      </c>
      <c r="C22" s="78" t="s">
        <v>5</v>
      </c>
      <c r="D22" s="216" t="s">
        <v>211</v>
      </c>
      <c r="E22" s="217"/>
    </row>
    <row r="23" spans="1:9" ht="15.75" customHeight="1">
      <c r="A23" s="219" t="s">
        <v>212</v>
      </c>
      <c r="B23" s="218"/>
      <c r="C23" s="108">
        <v>12</v>
      </c>
      <c r="D23" s="218">
        <f t="shared" ref="D23:D24" si="3">B23/C23</f>
        <v>0</v>
      </c>
      <c r="E23" s="62"/>
    </row>
    <row r="24" spans="1:9" ht="15.75" customHeight="1">
      <c r="A24" s="219" t="s">
        <v>220</v>
      </c>
      <c r="B24" s="218"/>
      <c r="C24" s="108">
        <v>12</v>
      </c>
      <c r="D24" s="218">
        <f t="shared" si="3"/>
        <v>0</v>
      </c>
      <c r="E24" s="62"/>
    </row>
    <row r="25" spans="1:9" ht="15.75" customHeight="1">
      <c r="A25" s="219"/>
      <c r="B25" s="218"/>
      <c r="C25" s="108"/>
      <c r="D25" s="218"/>
      <c r="E25" s="62"/>
    </row>
    <row r="26" spans="1:9" ht="15.75" customHeight="1">
      <c r="A26" s="219"/>
      <c r="B26" s="218"/>
      <c r="C26" s="108"/>
      <c r="D26" s="218"/>
      <c r="E26" s="62"/>
    </row>
    <row r="27" spans="1:9" ht="15.75" customHeight="1">
      <c r="A27" s="219"/>
      <c r="B27" s="218"/>
      <c r="C27" s="108"/>
      <c r="D27" s="218"/>
      <c r="E27" s="62"/>
    </row>
    <row r="28" spans="1:9" ht="15.75" customHeight="1">
      <c r="A28" s="220"/>
      <c r="B28" s="221">
        <f>SUM(B23:B27)</f>
        <v>0</v>
      </c>
      <c r="C28" s="222">
        <v>12</v>
      </c>
      <c r="D28" s="221">
        <f>B28/C28</f>
        <v>0</v>
      </c>
      <c r="E28" s="139"/>
      <c r="F28" s="140"/>
      <c r="G28" s="139"/>
    </row>
    <row r="29" spans="1:9" ht="15.75" customHeight="1">
      <c r="A29" s="202"/>
    </row>
    <row r="30" spans="1:9" ht="15.75" customHeight="1">
      <c r="A30" s="202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</sheetData>
  <mergeCells count="2">
    <mergeCell ref="A15:G15"/>
    <mergeCell ref="A21:D21"/>
  </mergeCell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982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10" ht="15.75" customHeight="1">
      <c r="A1" s="202"/>
      <c r="B1" s="148"/>
      <c r="C1" s="148"/>
      <c r="D1" s="148"/>
      <c r="E1" s="148"/>
      <c r="F1" s="149"/>
      <c r="G1" s="149"/>
      <c r="H1" s="149"/>
      <c r="I1" s="148"/>
    </row>
    <row r="2" spans="1:10" ht="15.75" customHeight="1">
      <c r="A2" s="203" t="s">
        <v>221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  <c r="J2" s="59"/>
    </row>
    <row r="3" spans="1:10" ht="15.75" customHeight="1">
      <c r="A3" s="73" t="s">
        <v>216</v>
      </c>
      <c r="B3" s="83">
        <f>'Исходные данные'!D11</f>
        <v>214</v>
      </c>
      <c r="C3" s="108">
        <v>0</v>
      </c>
      <c r="D3" s="108"/>
      <c r="E3" s="108">
        <v>480420</v>
      </c>
      <c r="F3" s="207">
        <v>12</v>
      </c>
      <c r="G3" s="200"/>
      <c r="H3" s="201">
        <f t="shared" ref="H3:H11" si="0">E3/F3</f>
        <v>40035</v>
      </c>
      <c r="I3" s="208">
        <f t="shared" ref="I3:I4" si="1">H3/B3*C3</f>
        <v>0</v>
      </c>
      <c r="J3" s="59"/>
    </row>
    <row r="4" spans="1:10" ht="15.75" customHeight="1">
      <c r="A4" s="73" t="s">
        <v>201</v>
      </c>
      <c r="B4" s="83">
        <f>'Исходные данные'!E13</f>
        <v>30</v>
      </c>
      <c r="C4" s="108">
        <f>'Исходные данные'!H35</f>
        <v>1</v>
      </c>
      <c r="D4" s="108"/>
      <c r="E4" s="147">
        <v>305868</v>
      </c>
      <c r="F4" s="207">
        <v>12</v>
      </c>
      <c r="G4" s="200"/>
      <c r="H4" s="201">
        <f t="shared" si="0"/>
        <v>25489</v>
      </c>
      <c r="I4" s="208">
        <f t="shared" si="1"/>
        <v>849.63333333333333</v>
      </c>
      <c r="J4" s="59"/>
    </row>
    <row r="5" spans="1:10" ht="15.75" customHeight="1">
      <c r="A5" s="73" t="s">
        <v>154</v>
      </c>
      <c r="B5" s="108"/>
      <c r="C5" s="108"/>
      <c r="D5" s="108"/>
      <c r="E5" s="108"/>
      <c r="F5" s="207">
        <v>12</v>
      </c>
      <c r="G5" s="200"/>
      <c r="H5" s="201">
        <f t="shared" si="0"/>
        <v>0</v>
      </c>
      <c r="I5" s="208">
        <f t="shared" ref="I5:I12" si="2">H5</f>
        <v>0</v>
      </c>
      <c r="J5" s="59"/>
    </row>
    <row r="6" spans="1:10" ht="15.75" customHeight="1">
      <c r="A6" s="73" t="s">
        <v>202</v>
      </c>
      <c r="B6" s="108"/>
      <c r="C6" s="108"/>
      <c r="D6" s="108"/>
      <c r="E6" s="108">
        <f>1050+100</f>
        <v>1150</v>
      </c>
      <c r="F6" s="207">
        <v>12</v>
      </c>
      <c r="G6" s="200"/>
      <c r="H6" s="201">
        <f t="shared" si="0"/>
        <v>95.833333333333329</v>
      </c>
      <c r="I6" s="208">
        <f t="shared" si="2"/>
        <v>95.833333333333329</v>
      </c>
      <c r="J6" s="59"/>
    </row>
    <row r="7" spans="1:10" ht="15.75" customHeight="1">
      <c r="A7" s="73" t="s">
        <v>148</v>
      </c>
      <c r="B7" s="63"/>
      <c r="C7" s="63"/>
      <c r="D7" s="63"/>
      <c r="E7" s="147">
        <v>554</v>
      </c>
      <c r="F7" s="207">
        <v>12</v>
      </c>
      <c r="G7" s="200"/>
      <c r="H7" s="201">
        <f t="shared" si="0"/>
        <v>46.166666666666664</v>
      </c>
      <c r="I7" s="208">
        <f t="shared" si="2"/>
        <v>46.166666666666664</v>
      </c>
      <c r="J7" s="59"/>
    </row>
    <row r="8" spans="1:10" ht="15.75" customHeight="1">
      <c r="A8" s="73" t="s">
        <v>150</v>
      </c>
      <c r="B8" s="63"/>
      <c r="C8" s="63"/>
      <c r="D8" s="63"/>
      <c r="E8" s="147">
        <v>177833</v>
      </c>
      <c r="F8" s="207">
        <v>12</v>
      </c>
      <c r="G8" s="200"/>
      <c r="H8" s="201">
        <f t="shared" si="0"/>
        <v>14819.416666666666</v>
      </c>
      <c r="I8" s="208">
        <f t="shared" si="2"/>
        <v>14819.416666666666</v>
      </c>
      <c r="J8" s="59"/>
    </row>
    <row r="9" spans="1:10" ht="15.75" customHeight="1">
      <c r="A9" s="73" t="s">
        <v>149</v>
      </c>
      <c r="B9" s="63"/>
      <c r="C9" s="63"/>
      <c r="D9" s="63"/>
      <c r="E9" s="147">
        <v>0</v>
      </c>
      <c r="F9" s="207">
        <v>12</v>
      </c>
      <c r="G9" s="200"/>
      <c r="H9" s="201">
        <f t="shared" si="0"/>
        <v>0</v>
      </c>
      <c r="I9" s="208">
        <f t="shared" si="2"/>
        <v>0</v>
      </c>
      <c r="J9" s="59"/>
    </row>
    <row r="10" spans="1:10" ht="15.75" customHeight="1">
      <c r="A10" s="73" t="s">
        <v>203</v>
      </c>
      <c r="B10" s="63"/>
      <c r="C10" s="63"/>
      <c r="D10" s="63"/>
      <c r="E10" s="147"/>
      <c r="F10" s="207">
        <v>12</v>
      </c>
      <c r="G10" s="200"/>
      <c r="H10" s="201">
        <f t="shared" si="0"/>
        <v>0</v>
      </c>
      <c r="I10" s="208">
        <f t="shared" si="2"/>
        <v>0</v>
      </c>
      <c r="J10" s="59"/>
    </row>
    <row r="11" spans="1:10" ht="15.75" customHeight="1">
      <c r="A11" s="73" t="s">
        <v>204</v>
      </c>
      <c r="B11" s="63"/>
      <c r="C11" s="63"/>
      <c r="D11" s="63"/>
      <c r="E11" s="147"/>
      <c r="F11" s="207">
        <v>12</v>
      </c>
      <c r="G11" s="200"/>
      <c r="H11" s="201">
        <f t="shared" si="0"/>
        <v>0</v>
      </c>
      <c r="I11" s="208">
        <f t="shared" si="2"/>
        <v>0</v>
      </c>
      <c r="J11" s="59"/>
    </row>
    <row r="12" spans="1:10" ht="15.75" customHeight="1">
      <c r="A12" s="58" t="s">
        <v>155</v>
      </c>
      <c r="B12" s="61"/>
      <c r="C12" s="61"/>
      <c r="D12" s="61"/>
      <c r="E12" s="61"/>
      <c r="F12" s="200"/>
      <c r="G12" s="209"/>
      <c r="H12" s="201">
        <f>D29</f>
        <v>12360.333333333334</v>
      </c>
      <c r="I12" s="208">
        <f t="shared" si="2"/>
        <v>12360.333333333334</v>
      </c>
      <c r="J12" s="59"/>
    </row>
    <row r="13" spans="1:10" ht="15.75" customHeight="1">
      <c r="A13" s="58" t="s">
        <v>152</v>
      </c>
      <c r="B13" s="61"/>
      <c r="C13" s="61"/>
      <c r="D13" s="210">
        <f>B18+B19</f>
        <v>564</v>
      </c>
      <c r="E13" s="61"/>
      <c r="F13" s="200"/>
      <c r="G13" s="209">
        <f>'Общие расходы ГЭ'!G16</f>
        <v>9.1731976502919679</v>
      </c>
      <c r="H13" s="200"/>
      <c r="I13" s="208">
        <f t="shared" ref="I13:I15" si="3">D13*G13</f>
        <v>5173.6834747646699</v>
      </c>
      <c r="J13" s="59"/>
    </row>
    <row r="14" spans="1:10" ht="15.75" customHeight="1">
      <c r="A14" s="58" t="s">
        <v>153</v>
      </c>
      <c r="B14" s="61"/>
      <c r="C14" s="61"/>
      <c r="D14" s="210">
        <f>B18+B19</f>
        <v>564</v>
      </c>
      <c r="E14" s="61"/>
      <c r="F14" s="200"/>
      <c r="G14" s="209">
        <f>'Общие расходы г. Тюмень'!F4</f>
        <v>0.27439332347868928</v>
      </c>
      <c r="H14" s="200"/>
      <c r="I14" s="208">
        <f t="shared" si="3"/>
        <v>154.75783444198075</v>
      </c>
      <c r="J14" s="59"/>
    </row>
    <row r="15" spans="1:10" ht="15.75" customHeight="1">
      <c r="A15" s="58" t="s">
        <v>156</v>
      </c>
      <c r="B15" s="61"/>
      <c r="C15" s="61"/>
      <c r="D15" s="210">
        <f>B18+B19</f>
        <v>564</v>
      </c>
      <c r="E15" s="61"/>
      <c r="F15" s="200"/>
      <c r="G15" s="201">
        <f>'Общие расходы г. Тюмень'!F30</f>
        <v>0.74801393423739049</v>
      </c>
      <c r="H15" s="200"/>
      <c r="I15" s="211">
        <f t="shared" si="3"/>
        <v>421.87985890988824</v>
      </c>
      <c r="J15" s="59"/>
    </row>
    <row r="16" spans="1:10" ht="15.75" customHeight="1">
      <c r="A16" s="331" t="s">
        <v>62</v>
      </c>
      <c r="B16" s="332"/>
      <c r="C16" s="332"/>
      <c r="D16" s="332"/>
      <c r="E16" s="332"/>
      <c r="F16" s="332"/>
      <c r="G16" s="321"/>
      <c r="H16" s="212"/>
      <c r="I16" s="211">
        <f>SUM(I3:I15)</f>
        <v>33921.704501449873</v>
      </c>
    </row>
    <row r="17" spans="1:9" ht="15.75" customHeight="1">
      <c r="A17" s="202"/>
      <c r="B17" s="148"/>
      <c r="C17" s="148"/>
      <c r="D17" s="148"/>
      <c r="E17" s="148"/>
      <c r="F17" s="149"/>
      <c r="G17" s="149"/>
      <c r="H17" s="149"/>
      <c r="I17" s="148"/>
    </row>
    <row r="18" spans="1:9" ht="15.75" customHeight="1">
      <c r="A18" s="58" t="s">
        <v>205</v>
      </c>
      <c r="B18" s="213">
        <f>'Исходные данные'!B35</f>
        <v>282</v>
      </c>
      <c r="C18" s="148"/>
      <c r="D18" s="148"/>
      <c r="E18" s="148"/>
      <c r="F18" s="149"/>
      <c r="G18" s="149"/>
      <c r="H18" s="149"/>
      <c r="I18" s="148"/>
    </row>
    <row r="19" spans="1:9" ht="15.75" customHeight="1">
      <c r="A19" s="58" t="s">
        <v>206</v>
      </c>
      <c r="B19" s="213">
        <f>'Исходные данные'!C35</f>
        <v>282</v>
      </c>
      <c r="C19" s="148"/>
      <c r="D19" s="148"/>
      <c r="E19" s="148"/>
      <c r="F19" s="149"/>
      <c r="G19" s="149"/>
      <c r="H19" s="149"/>
      <c r="I19" s="148"/>
    </row>
    <row r="20" spans="1:9" ht="15.75" customHeight="1">
      <c r="A20" s="58" t="s">
        <v>207</v>
      </c>
      <c r="B20" s="213">
        <f>'Исходные данные'!D25</f>
        <v>0</v>
      </c>
      <c r="C20" s="148"/>
      <c r="D20" s="148"/>
      <c r="E20" s="148"/>
      <c r="F20" s="149"/>
      <c r="G20" s="149"/>
      <c r="H20" s="149"/>
      <c r="I20" s="148"/>
    </row>
    <row r="21" spans="1:9" ht="15.75" customHeight="1">
      <c r="A21" s="202"/>
      <c r="B21" s="148"/>
      <c r="C21" s="148"/>
      <c r="D21" s="148"/>
      <c r="E21" s="148"/>
      <c r="F21" s="149"/>
      <c r="G21" s="149"/>
      <c r="H21" s="149"/>
      <c r="I21" s="62"/>
    </row>
    <row r="22" spans="1:9" ht="15.75" customHeight="1">
      <c r="A22" s="333" t="s">
        <v>208</v>
      </c>
      <c r="B22" s="332"/>
      <c r="C22" s="332"/>
      <c r="D22" s="321"/>
      <c r="E22" s="214"/>
      <c r="F22" s="59"/>
      <c r="G22" s="59"/>
      <c r="H22" s="59"/>
      <c r="I22" s="59"/>
    </row>
    <row r="23" spans="1:9" ht="15.75" customHeight="1">
      <c r="A23" s="215" t="s">
        <v>209</v>
      </c>
      <c r="B23" s="216" t="s">
        <v>210</v>
      </c>
      <c r="C23" s="78" t="s">
        <v>5</v>
      </c>
      <c r="D23" s="216" t="s">
        <v>211</v>
      </c>
      <c r="E23" s="217"/>
    </row>
    <row r="24" spans="1:9" ht="15.75" customHeight="1">
      <c r="A24" s="73" t="s">
        <v>212</v>
      </c>
      <c r="B24" s="218">
        <v>139000</v>
      </c>
      <c r="C24" s="108">
        <v>12</v>
      </c>
      <c r="D24" s="218">
        <f t="shared" ref="D24:D26" si="4">B24/C24</f>
        <v>11583.333333333334</v>
      </c>
      <c r="E24" s="62"/>
    </row>
    <row r="25" spans="1:9" ht="15.75" customHeight="1">
      <c r="A25" s="73" t="s">
        <v>222</v>
      </c>
      <c r="B25" s="218">
        <v>5000</v>
      </c>
      <c r="C25" s="108">
        <v>12</v>
      </c>
      <c r="D25" s="218">
        <f t="shared" si="4"/>
        <v>416.66666666666669</v>
      </c>
      <c r="E25" s="62"/>
    </row>
    <row r="26" spans="1:9" ht="15.75" customHeight="1">
      <c r="A26" s="73" t="s">
        <v>13</v>
      </c>
      <c r="B26" s="218">
        <v>4324</v>
      </c>
      <c r="C26" s="108">
        <v>12</v>
      </c>
      <c r="D26" s="218">
        <f t="shared" si="4"/>
        <v>360.33333333333331</v>
      </c>
      <c r="E26" s="62"/>
    </row>
    <row r="27" spans="1:9" ht="15.75" customHeight="1">
      <c r="A27" s="219"/>
      <c r="B27" s="218"/>
      <c r="C27" s="108"/>
      <c r="D27" s="218"/>
      <c r="E27" s="62"/>
    </row>
    <row r="28" spans="1:9" ht="15.75" customHeight="1">
      <c r="A28" s="219"/>
      <c r="B28" s="218"/>
      <c r="C28" s="108"/>
      <c r="D28" s="218"/>
      <c r="E28" s="62"/>
    </row>
    <row r="29" spans="1:9" ht="15.75" customHeight="1">
      <c r="A29" s="220"/>
      <c r="B29" s="221">
        <f>SUM(B24:B28)</f>
        <v>148324</v>
      </c>
      <c r="C29" s="222">
        <v>12</v>
      </c>
      <c r="D29" s="221">
        <f>B29/C29</f>
        <v>12360.333333333334</v>
      </c>
      <c r="E29" s="139"/>
      <c r="F29" s="140"/>
      <c r="G29" s="139"/>
    </row>
    <row r="30" spans="1:9" ht="15.75" customHeight="1">
      <c r="A30" s="202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</sheetData>
  <mergeCells count="2">
    <mergeCell ref="A16:G16"/>
    <mergeCell ref="A22:D22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J986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10" ht="15.75" customHeight="1">
      <c r="A1" s="202"/>
      <c r="B1" s="148"/>
      <c r="C1" s="148"/>
      <c r="D1" s="148"/>
      <c r="E1" s="148"/>
      <c r="F1" s="149"/>
      <c r="G1" s="149"/>
      <c r="H1" s="149"/>
      <c r="I1" s="148"/>
    </row>
    <row r="2" spans="1:10" ht="15.75" customHeight="1">
      <c r="A2" s="203" t="s">
        <v>223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  <c r="J2" s="59"/>
    </row>
    <row r="3" spans="1:10" ht="15.75" customHeight="1">
      <c r="A3" s="73" t="s">
        <v>199</v>
      </c>
      <c r="B3" s="83">
        <f>'Исходные данные'!D12</f>
        <v>402</v>
      </c>
      <c r="C3" s="108">
        <f>'Исходные данные'!G25</f>
        <v>181</v>
      </c>
      <c r="D3" s="108"/>
      <c r="E3" s="206">
        <f>637618+40000</f>
        <v>677618</v>
      </c>
      <c r="F3" s="207">
        <v>12</v>
      </c>
      <c r="G3" s="200"/>
      <c r="H3" s="201">
        <f t="shared" ref="H3:H15" si="0">E3/F3</f>
        <v>56468.166666666664</v>
      </c>
      <c r="I3" s="208">
        <f t="shared" ref="I3:I5" si="1">H3/B3*C3</f>
        <v>25424.721807628524</v>
      </c>
      <c r="J3" s="59"/>
    </row>
    <row r="4" spans="1:10" ht="15.75" customHeight="1">
      <c r="A4" s="73" t="s">
        <v>216</v>
      </c>
      <c r="B4" s="83">
        <f>'Исходные данные'!D11</f>
        <v>214</v>
      </c>
      <c r="C4" s="108">
        <f>'Исходные данные'!F25</f>
        <v>184</v>
      </c>
      <c r="D4" s="108"/>
      <c r="E4" s="108">
        <v>480420</v>
      </c>
      <c r="F4" s="207">
        <v>12</v>
      </c>
      <c r="G4" s="200"/>
      <c r="H4" s="201">
        <f t="shared" si="0"/>
        <v>40035</v>
      </c>
      <c r="I4" s="208">
        <f t="shared" si="1"/>
        <v>34422.616822429904</v>
      </c>
      <c r="J4" s="59"/>
    </row>
    <row r="5" spans="1:10" ht="15.75" customHeight="1">
      <c r="A5" s="73" t="s">
        <v>201</v>
      </c>
      <c r="B5" s="83">
        <f>'Исходные данные'!E13</f>
        <v>30</v>
      </c>
      <c r="C5" s="108">
        <f>'Исходные данные'!H25</f>
        <v>8</v>
      </c>
      <c r="D5" s="108"/>
      <c r="E5" s="147">
        <f>305868+22000</f>
        <v>327868</v>
      </c>
      <c r="F5" s="207">
        <v>12</v>
      </c>
      <c r="G5" s="200"/>
      <c r="H5" s="201">
        <f t="shared" si="0"/>
        <v>27322.333333333332</v>
      </c>
      <c r="I5" s="208">
        <f t="shared" si="1"/>
        <v>7285.9555555555553</v>
      </c>
      <c r="J5" s="59"/>
    </row>
    <row r="6" spans="1:10" ht="15.75" customHeight="1">
      <c r="A6" s="73" t="s">
        <v>154</v>
      </c>
      <c r="B6" s="108"/>
      <c r="C6" s="108"/>
      <c r="D6" s="108"/>
      <c r="E6" s="108">
        <v>862850</v>
      </c>
      <c r="F6" s="207">
        <v>12</v>
      </c>
      <c r="G6" s="200"/>
      <c r="H6" s="201">
        <f t="shared" si="0"/>
        <v>71904.166666666672</v>
      </c>
      <c r="I6" s="208">
        <f t="shared" ref="I6:I13" si="2">H6</f>
        <v>71904.166666666672</v>
      </c>
      <c r="J6" s="59"/>
    </row>
    <row r="7" spans="1:10" ht="15.75" customHeight="1">
      <c r="A7" s="73" t="s">
        <v>224</v>
      </c>
      <c r="B7" s="108"/>
      <c r="C7" s="108"/>
      <c r="D7" s="108"/>
      <c r="E7" s="108">
        <v>152554.26999999999</v>
      </c>
      <c r="F7" s="207">
        <v>12</v>
      </c>
      <c r="G7" s="200"/>
      <c r="H7" s="201">
        <f t="shared" si="0"/>
        <v>12712.855833333333</v>
      </c>
      <c r="I7" s="208">
        <f t="shared" si="2"/>
        <v>12712.855833333333</v>
      </c>
      <c r="J7" s="59"/>
    </row>
    <row r="8" spans="1:10" ht="15.75" customHeight="1">
      <c r="A8" s="73" t="s">
        <v>202</v>
      </c>
      <c r="B8" s="108"/>
      <c r="C8" s="108"/>
      <c r="D8" s="108"/>
      <c r="E8" s="108">
        <f>187779.93+1600</f>
        <v>189379.93</v>
      </c>
      <c r="F8" s="207">
        <v>12</v>
      </c>
      <c r="G8" s="200"/>
      <c r="H8" s="201">
        <f t="shared" si="0"/>
        <v>15781.660833333333</v>
      </c>
      <c r="I8" s="208">
        <f t="shared" si="2"/>
        <v>15781.660833333333</v>
      </c>
      <c r="J8" s="59"/>
    </row>
    <row r="9" spans="1:10" ht="15.75" customHeight="1">
      <c r="A9" s="73" t="s">
        <v>148</v>
      </c>
      <c r="B9" s="63"/>
      <c r="C9" s="63"/>
      <c r="D9" s="63"/>
      <c r="E9" s="147">
        <f>200591+357+3000</f>
        <v>203948</v>
      </c>
      <c r="F9" s="207">
        <v>12</v>
      </c>
      <c r="G9" s="200"/>
      <c r="H9" s="201">
        <f t="shared" si="0"/>
        <v>16995.666666666668</v>
      </c>
      <c r="I9" s="208">
        <f t="shared" si="2"/>
        <v>16995.666666666668</v>
      </c>
      <c r="J9" s="59"/>
    </row>
    <row r="10" spans="1:10" ht="15.75" customHeight="1">
      <c r="A10" s="73" t="s">
        <v>150</v>
      </c>
      <c r="B10" s="63"/>
      <c r="C10" s="63"/>
      <c r="D10" s="63"/>
      <c r="E10" s="147">
        <v>133245</v>
      </c>
      <c r="F10" s="207">
        <v>12</v>
      </c>
      <c r="G10" s="200"/>
      <c r="H10" s="201">
        <f t="shared" si="0"/>
        <v>11103.75</v>
      </c>
      <c r="I10" s="208">
        <f t="shared" si="2"/>
        <v>11103.75</v>
      </c>
      <c r="J10" s="59"/>
    </row>
    <row r="11" spans="1:10" ht="15.75" customHeight="1">
      <c r="A11" s="73" t="s">
        <v>149</v>
      </c>
      <c r="B11" s="63"/>
      <c r="C11" s="63"/>
      <c r="D11" s="63"/>
      <c r="E11" s="147">
        <v>0</v>
      </c>
      <c r="F11" s="207">
        <v>12</v>
      </c>
      <c r="G11" s="200"/>
      <c r="H11" s="201">
        <f t="shared" si="0"/>
        <v>0</v>
      </c>
      <c r="I11" s="208">
        <f t="shared" si="2"/>
        <v>0</v>
      </c>
      <c r="J11" s="59"/>
    </row>
    <row r="12" spans="1:10" ht="15.75" customHeight="1">
      <c r="A12" s="73" t="s">
        <v>225</v>
      </c>
      <c r="B12" s="63"/>
      <c r="C12" s="63"/>
      <c r="D12" s="63"/>
      <c r="E12" s="147">
        <f>1500+6600</f>
        <v>8100</v>
      </c>
      <c r="F12" s="207">
        <v>12</v>
      </c>
      <c r="G12" s="200"/>
      <c r="H12" s="201">
        <f t="shared" si="0"/>
        <v>675</v>
      </c>
      <c r="I12" s="208">
        <f t="shared" si="2"/>
        <v>675</v>
      </c>
      <c r="J12" s="59"/>
    </row>
    <row r="13" spans="1:10" ht="15.75" customHeight="1">
      <c r="A13" s="73" t="s">
        <v>13</v>
      </c>
      <c r="B13" s="63"/>
      <c r="C13" s="63"/>
      <c r="D13" s="63"/>
      <c r="E13" s="147"/>
      <c r="F13" s="207">
        <v>12</v>
      </c>
      <c r="G13" s="200"/>
      <c r="H13" s="201">
        <f t="shared" si="0"/>
        <v>0</v>
      </c>
      <c r="I13" s="208">
        <f t="shared" si="2"/>
        <v>0</v>
      </c>
      <c r="J13" s="59"/>
    </row>
    <row r="14" spans="1:10" ht="15.75" customHeight="1">
      <c r="A14" s="73" t="s">
        <v>226</v>
      </c>
      <c r="B14" s="63"/>
      <c r="C14" s="63"/>
      <c r="D14" s="63"/>
      <c r="E14" s="147"/>
      <c r="F14" s="207">
        <v>12</v>
      </c>
      <c r="G14" s="200"/>
      <c r="H14" s="201">
        <f t="shared" si="0"/>
        <v>0</v>
      </c>
      <c r="I14" s="208"/>
      <c r="J14" s="59"/>
    </row>
    <row r="15" spans="1:10" ht="15.75" customHeight="1">
      <c r="A15" s="73" t="s">
        <v>227</v>
      </c>
      <c r="B15" s="63"/>
      <c r="C15" s="63"/>
      <c r="D15" s="63"/>
      <c r="E15" s="147">
        <v>509</v>
      </c>
      <c r="F15" s="207">
        <v>12</v>
      </c>
      <c r="G15" s="200"/>
      <c r="H15" s="201">
        <f t="shared" si="0"/>
        <v>42.416666666666664</v>
      </c>
      <c r="I15" s="208">
        <f t="shared" ref="I15:I16" si="3">H15</f>
        <v>42.416666666666664</v>
      </c>
      <c r="J15" s="59"/>
    </row>
    <row r="16" spans="1:10" ht="15.75" customHeight="1">
      <c r="A16" s="58" t="s">
        <v>155</v>
      </c>
      <c r="B16" s="61"/>
      <c r="C16" s="61"/>
      <c r="D16" s="61"/>
      <c r="E16" s="61"/>
      <c r="F16" s="200"/>
      <c r="G16" s="209"/>
      <c r="H16" s="201">
        <f>D33</f>
        <v>17035.416666666668</v>
      </c>
      <c r="I16" s="208">
        <f t="shared" si="3"/>
        <v>17035.416666666668</v>
      </c>
      <c r="J16" s="59"/>
    </row>
    <row r="17" spans="1:10" ht="15.75" customHeight="1">
      <c r="A17" s="58" t="s">
        <v>152</v>
      </c>
      <c r="B17" s="61"/>
      <c r="C17" s="61"/>
      <c r="D17" s="210">
        <f>B22+B23</f>
        <v>7406</v>
      </c>
      <c r="E17" s="61"/>
      <c r="F17" s="200"/>
      <c r="G17" s="209">
        <f>'Общие расходы ГЭ'!G16</f>
        <v>9.1731976502919679</v>
      </c>
      <c r="H17" s="200"/>
      <c r="I17" s="208">
        <f t="shared" ref="I17:I19" si="4">D17*G17</f>
        <v>67936.70179806232</v>
      </c>
      <c r="J17" s="59"/>
    </row>
    <row r="18" spans="1:10" ht="15.75" customHeight="1">
      <c r="A18" s="58" t="s">
        <v>153</v>
      </c>
      <c r="B18" s="61"/>
      <c r="C18" s="61"/>
      <c r="D18" s="210">
        <f>B22+B23</f>
        <v>7406</v>
      </c>
      <c r="E18" s="61"/>
      <c r="F18" s="200"/>
      <c r="G18" s="209">
        <f>'Общие расходы г. Тюмень'!F4</f>
        <v>0.27439332347868928</v>
      </c>
      <c r="H18" s="200"/>
      <c r="I18" s="208">
        <f t="shared" si="4"/>
        <v>2032.1569536831728</v>
      </c>
      <c r="J18" s="59"/>
    </row>
    <row r="19" spans="1:10" ht="15.75" customHeight="1">
      <c r="A19" s="58" t="s">
        <v>156</v>
      </c>
      <c r="B19" s="61"/>
      <c r="C19" s="61"/>
      <c r="D19" s="210">
        <f>B22+B23</f>
        <v>7406</v>
      </c>
      <c r="E19" s="61"/>
      <c r="F19" s="200"/>
      <c r="G19" s="201">
        <f>'Общие расходы г. Тюмень'!F30</f>
        <v>0.74801393423739049</v>
      </c>
      <c r="H19" s="200"/>
      <c r="I19" s="211">
        <f t="shared" si="4"/>
        <v>5539.7911969621136</v>
      </c>
      <c r="J19" s="59"/>
    </row>
    <row r="20" spans="1:10" ht="15.75" customHeight="1">
      <c r="A20" s="331" t="s">
        <v>62</v>
      </c>
      <c r="B20" s="332"/>
      <c r="C20" s="332"/>
      <c r="D20" s="332"/>
      <c r="E20" s="332"/>
      <c r="F20" s="332"/>
      <c r="G20" s="321"/>
      <c r="H20" s="212"/>
      <c r="I20" s="211">
        <f>SUM(I3:I19)</f>
        <v>288892.87746765494</v>
      </c>
    </row>
    <row r="21" spans="1:10" ht="15.75" customHeight="1">
      <c r="A21" s="202"/>
      <c r="B21" s="148"/>
      <c r="C21" s="148"/>
      <c r="D21" s="148"/>
      <c r="E21" s="148"/>
      <c r="F21" s="149"/>
      <c r="G21" s="149"/>
      <c r="H21" s="149"/>
      <c r="I21" s="148"/>
    </row>
    <row r="22" spans="1:10" ht="15.75" customHeight="1">
      <c r="A22" s="58" t="s">
        <v>205</v>
      </c>
      <c r="B22" s="213">
        <f>'Исходные данные'!B25</f>
        <v>6652</v>
      </c>
      <c r="C22" s="148"/>
      <c r="D22" s="148"/>
      <c r="E22" s="148"/>
      <c r="F22" s="149"/>
      <c r="G22" s="149"/>
      <c r="H22" s="149"/>
      <c r="I22" s="148"/>
    </row>
    <row r="23" spans="1:10" ht="15.75" customHeight="1">
      <c r="A23" s="58" t="s">
        <v>206</v>
      </c>
      <c r="B23" s="213">
        <f>'Исходные данные'!C25</f>
        <v>754</v>
      </c>
      <c r="C23" s="148"/>
      <c r="D23" s="148"/>
      <c r="E23" s="148"/>
      <c r="F23" s="149"/>
      <c r="G23" s="149"/>
      <c r="H23" s="149"/>
      <c r="I23" s="148"/>
    </row>
    <row r="24" spans="1:10" ht="15.75" customHeight="1">
      <c r="A24" s="58" t="s">
        <v>207</v>
      </c>
      <c r="B24" s="213">
        <f>'Исходные данные'!D25</f>
        <v>0</v>
      </c>
      <c r="C24" s="148"/>
      <c r="D24" s="148"/>
      <c r="E24" s="148"/>
      <c r="F24" s="149"/>
      <c r="G24" s="149"/>
      <c r="H24" s="149"/>
      <c r="I24" s="148"/>
    </row>
    <row r="25" spans="1:10" ht="15.75" customHeight="1">
      <c r="A25" s="202"/>
      <c r="B25" s="148"/>
      <c r="C25" s="148"/>
      <c r="D25" s="148"/>
      <c r="E25" s="148"/>
      <c r="F25" s="149"/>
      <c r="G25" s="149"/>
      <c r="H25" s="149"/>
      <c r="I25" s="62"/>
    </row>
    <row r="26" spans="1:10" ht="15.75" customHeight="1">
      <c r="A26" s="333" t="s">
        <v>208</v>
      </c>
      <c r="B26" s="332"/>
      <c r="C26" s="332"/>
      <c r="D26" s="321"/>
      <c r="E26" s="214"/>
      <c r="F26" s="59"/>
      <c r="G26" s="59"/>
      <c r="H26" s="59"/>
      <c r="I26" s="59"/>
    </row>
    <row r="27" spans="1:10" ht="15.75" customHeight="1">
      <c r="A27" s="215" t="s">
        <v>209</v>
      </c>
      <c r="B27" s="216" t="s">
        <v>210</v>
      </c>
      <c r="C27" s="78" t="s">
        <v>5</v>
      </c>
      <c r="D27" s="216" t="s">
        <v>211</v>
      </c>
      <c r="E27" s="217"/>
    </row>
    <row r="28" spans="1:10" ht="15.75" customHeight="1">
      <c r="A28" s="58" t="s">
        <v>212</v>
      </c>
      <c r="B28" s="218">
        <f>18000+85000+8000+16500</f>
        <v>127500</v>
      </c>
      <c r="C28" s="108">
        <v>12</v>
      </c>
      <c r="D28" s="218">
        <f t="shared" ref="D28:D31" si="5">B28/C28</f>
        <v>10625</v>
      </c>
      <c r="E28" s="62"/>
    </row>
    <row r="29" spans="1:10" ht="15.75" customHeight="1">
      <c r="A29" s="58" t="s">
        <v>228</v>
      </c>
      <c r="B29" s="218">
        <v>8000</v>
      </c>
      <c r="C29" s="108">
        <v>12</v>
      </c>
      <c r="D29" s="218">
        <f t="shared" si="5"/>
        <v>666.66666666666663</v>
      </c>
      <c r="E29" s="62"/>
    </row>
    <row r="30" spans="1:10" ht="15.75" customHeight="1">
      <c r="A30" s="58" t="s">
        <v>213</v>
      </c>
      <c r="B30" s="218">
        <v>40000</v>
      </c>
      <c r="C30" s="108">
        <v>12</v>
      </c>
      <c r="D30" s="218">
        <f t="shared" si="5"/>
        <v>3333.3333333333335</v>
      </c>
      <c r="E30" s="62"/>
    </row>
    <row r="31" spans="1:10" ht="15.75" customHeight="1">
      <c r="A31" s="58" t="s">
        <v>229</v>
      </c>
      <c r="B31" s="218">
        <v>28925</v>
      </c>
      <c r="C31" s="108">
        <v>12</v>
      </c>
      <c r="D31" s="218">
        <f t="shared" si="5"/>
        <v>2410.4166666666665</v>
      </c>
      <c r="E31" s="62"/>
    </row>
    <row r="32" spans="1:10" ht="15.75" customHeight="1">
      <c r="A32" s="219"/>
      <c r="B32" s="218"/>
      <c r="C32" s="108"/>
      <c r="D32" s="218"/>
      <c r="E32" s="62"/>
    </row>
    <row r="33" spans="1:7" ht="15.75" customHeight="1">
      <c r="A33" s="220"/>
      <c r="B33" s="221">
        <f>SUM(B28:B32)</f>
        <v>204425</v>
      </c>
      <c r="C33" s="222">
        <v>12</v>
      </c>
      <c r="D33" s="221">
        <f>B33/C33</f>
        <v>17035.416666666668</v>
      </c>
      <c r="E33" s="139"/>
      <c r="F33" s="140"/>
      <c r="G33" s="139"/>
    </row>
    <row r="34" spans="1:7" ht="15.75" customHeight="1">
      <c r="A34" s="202"/>
    </row>
    <row r="35" spans="1:7" ht="15.75" customHeight="1">
      <c r="A35" s="202"/>
    </row>
    <row r="36" spans="1:7" ht="15.75" customHeight="1">
      <c r="A36" s="202"/>
    </row>
    <row r="37" spans="1:7" ht="15.75" customHeight="1">
      <c r="A37" s="202"/>
    </row>
    <row r="38" spans="1:7" ht="15.75" customHeight="1">
      <c r="A38" s="202"/>
    </row>
    <row r="39" spans="1:7" ht="15.75" customHeight="1">
      <c r="A39" s="202"/>
    </row>
    <row r="40" spans="1:7" ht="15.75" customHeight="1">
      <c r="A40" s="202"/>
    </row>
    <row r="41" spans="1:7" ht="15.75" customHeight="1">
      <c r="A41" s="202"/>
    </row>
    <row r="42" spans="1:7" ht="15.75" customHeight="1">
      <c r="A42" s="202"/>
    </row>
    <row r="43" spans="1:7" ht="15.75" customHeight="1">
      <c r="A43" s="202"/>
    </row>
    <row r="44" spans="1:7" ht="15.75" customHeight="1">
      <c r="A44" s="202"/>
    </row>
    <row r="45" spans="1:7" ht="15.75" customHeight="1">
      <c r="A45" s="202"/>
    </row>
    <row r="46" spans="1:7" ht="15.75" customHeight="1">
      <c r="A46" s="202"/>
    </row>
    <row r="47" spans="1:7" ht="13">
      <c r="A47" s="202"/>
    </row>
    <row r="48" spans="1:7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  <row r="984" spans="1:1" ht="13">
      <c r="A984" s="202"/>
    </row>
    <row r="985" spans="1:1" ht="13">
      <c r="A985" s="202"/>
    </row>
    <row r="986" spans="1:1" ht="13">
      <c r="A986" s="202"/>
    </row>
  </sheetData>
  <mergeCells count="2">
    <mergeCell ref="A20:G20"/>
    <mergeCell ref="A26:D26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J981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10" ht="15.75" customHeight="1">
      <c r="A1" s="202"/>
      <c r="B1" s="148"/>
      <c r="C1" s="148"/>
      <c r="D1" s="148"/>
      <c r="E1" s="148"/>
      <c r="F1" s="149"/>
      <c r="G1" s="149"/>
      <c r="H1" s="149"/>
      <c r="I1" s="148"/>
    </row>
    <row r="2" spans="1:10" ht="15.75" customHeight="1">
      <c r="A2" s="203" t="s">
        <v>230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  <c r="J2" s="59"/>
    </row>
    <row r="3" spans="1:10" ht="15.75" customHeight="1">
      <c r="A3" s="73" t="s">
        <v>201</v>
      </c>
      <c r="B3" s="83">
        <v>1</v>
      </c>
      <c r="C3" s="108"/>
      <c r="D3" s="108"/>
      <c r="E3" s="147">
        <v>0</v>
      </c>
      <c r="F3" s="207">
        <v>12</v>
      </c>
      <c r="G3" s="200"/>
      <c r="H3" s="201">
        <f t="shared" ref="H3:H10" si="0">E3/F3</f>
        <v>0</v>
      </c>
      <c r="I3" s="208">
        <f>H3/B3*C3</f>
        <v>0</v>
      </c>
      <c r="J3" s="59"/>
    </row>
    <row r="4" spans="1:10" ht="15.75" customHeight="1">
      <c r="A4" s="73" t="s">
        <v>154</v>
      </c>
      <c r="B4" s="108"/>
      <c r="C4" s="108"/>
      <c r="D4" s="108"/>
      <c r="E4" s="108"/>
      <c r="F4" s="207">
        <v>12</v>
      </c>
      <c r="G4" s="200"/>
      <c r="H4" s="201">
        <f t="shared" si="0"/>
        <v>0</v>
      </c>
      <c r="I4" s="208">
        <f t="shared" ref="I4:I11" si="1">H4</f>
        <v>0</v>
      </c>
      <c r="J4" s="59"/>
    </row>
    <row r="5" spans="1:10" ht="15.75" customHeight="1">
      <c r="A5" s="73" t="s">
        <v>202</v>
      </c>
      <c r="B5" s="108"/>
      <c r="C5" s="108"/>
      <c r="D5" s="108"/>
      <c r="E5" s="108">
        <v>3240</v>
      </c>
      <c r="F5" s="207">
        <v>12</v>
      </c>
      <c r="G5" s="200"/>
      <c r="H5" s="201">
        <f t="shared" si="0"/>
        <v>270</v>
      </c>
      <c r="I5" s="208">
        <f t="shared" si="1"/>
        <v>270</v>
      </c>
      <c r="J5" s="59"/>
    </row>
    <row r="6" spans="1:10" ht="15.75" customHeight="1">
      <c r="A6" s="73" t="s">
        <v>148</v>
      </c>
      <c r="B6" s="63"/>
      <c r="C6" s="63"/>
      <c r="D6" s="63"/>
      <c r="E6" s="147">
        <v>0</v>
      </c>
      <c r="F6" s="207">
        <v>12</v>
      </c>
      <c r="G6" s="200"/>
      <c r="H6" s="201">
        <f t="shared" si="0"/>
        <v>0</v>
      </c>
      <c r="I6" s="208">
        <f t="shared" si="1"/>
        <v>0</v>
      </c>
      <c r="J6" s="59"/>
    </row>
    <row r="7" spans="1:10" ht="15.75" customHeight="1">
      <c r="A7" s="73" t="s">
        <v>150</v>
      </c>
      <c r="B7" s="63"/>
      <c r="C7" s="63"/>
      <c r="D7" s="63"/>
      <c r="E7" s="147">
        <v>0</v>
      </c>
      <c r="F7" s="207">
        <v>12</v>
      </c>
      <c r="G7" s="200"/>
      <c r="H7" s="201">
        <f t="shared" si="0"/>
        <v>0</v>
      </c>
      <c r="I7" s="208">
        <f t="shared" si="1"/>
        <v>0</v>
      </c>
      <c r="J7" s="59"/>
    </row>
    <row r="8" spans="1:10" ht="15.75" customHeight="1">
      <c r="A8" s="73" t="s">
        <v>149</v>
      </c>
      <c r="B8" s="63"/>
      <c r="C8" s="63"/>
      <c r="D8" s="63"/>
      <c r="E8" s="147">
        <v>0</v>
      </c>
      <c r="F8" s="207">
        <v>12</v>
      </c>
      <c r="G8" s="200"/>
      <c r="H8" s="201">
        <f t="shared" si="0"/>
        <v>0</v>
      </c>
      <c r="I8" s="208">
        <f t="shared" si="1"/>
        <v>0</v>
      </c>
      <c r="J8" s="59"/>
    </row>
    <row r="9" spans="1:10" ht="15.75" customHeight="1">
      <c r="A9" s="73" t="s">
        <v>203</v>
      </c>
      <c r="B9" s="63"/>
      <c r="C9" s="63"/>
      <c r="D9" s="63"/>
      <c r="E9" s="147"/>
      <c r="F9" s="207">
        <v>12</v>
      </c>
      <c r="G9" s="200"/>
      <c r="H9" s="201">
        <f t="shared" si="0"/>
        <v>0</v>
      </c>
      <c r="I9" s="208">
        <f t="shared" si="1"/>
        <v>0</v>
      </c>
      <c r="J9" s="59"/>
    </row>
    <row r="10" spans="1:10" ht="15.75" customHeight="1">
      <c r="A10" s="73" t="s">
        <v>204</v>
      </c>
      <c r="B10" s="63"/>
      <c r="C10" s="63"/>
      <c r="D10" s="63"/>
      <c r="E10" s="147"/>
      <c r="F10" s="207">
        <v>12</v>
      </c>
      <c r="G10" s="200"/>
      <c r="H10" s="201">
        <f t="shared" si="0"/>
        <v>0</v>
      </c>
      <c r="I10" s="208">
        <f t="shared" si="1"/>
        <v>0</v>
      </c>
      <c r="J10" s="59"/>
    </row>
    <row r="11" spans="1:10" ht="15.75" customHeight="1">
      <c r="A11" s="58" t="s">
        <v>155</v>
      </c>
      <c r="B11" s="61"/>
      <c r="C11" s="61"/>
      <c r="D11" s="61"/>
      <c r="E11" s="61"/>
      <c r="F11" s="200"/>
      <c r="G11" s="209"/>
      <c r="H11" s="201">
        <f>D28</f>
        <v>2375</v>
      </c>
      <c r="I11" s="208">
        <f t="shared" si="1"/>
        <v>2375</v>
      </c>
      <c r="J11" s="59"/>
    </row>
    <row r="12" spans="1:10" ht="15.75" customHeight="1">
      <c r="A12" s="58" t="s">
        <v>152</v>
      </c>
      <c r="B12" s="61"/>
      <c r="C12" s="61"/>
      <c r="D12" s="210">
        <f>B17+B18</f>
        <v>54</v>
      </c>
      <c r="E12" s="61"/>
      <c r="F12" s="200"/>
      <c r="G12" s="209">
        <f>'Общие расходы ГЭ'!G16</f>
        <v>9.1731976502919679</v>
      </c>
      <c r="H12" s="200"/>
      <c r="I12" s="208">
        <f t="shared" ref="I12:I14" si="2">D12*G12</f>
        <v>495.35267311576627</v>
      </c>
      <c r="J12" s="59"/>
    </row>
    <row r="13" spans="1:10" ht="15.75" customHeight="1">
      <c r="A13" s="58" t="s">
        <v>153</v>
      </c>
      <c r="B13" s="61"/>
      <c r="C13" s="61"/>
      <c r="D13" s="210">
        <f>B17+B18</f>
        <v>54</v>
      </c>
      <c r="E13" s="61"/>
      <c r="F13" s="200"/>
      <c r="G13" s="209">
        <f>'Общие расходы г. Тюмень'!F4</f>
        <v>0.27439332347868928</v>
      </c>
      <c r="H13" s="200"/>
      <c r="I13" s="208">
        <f t="shared" si="2"/>
        <v>14.817239467849221</v>
      </c>
      <c r="J13" s="59"/>
    </row>
    <row r="14" spans="1:10" ht="15.75" customHeight="1">
      <c r="A14" s="58" t="s">
        <v>156</v>
      </c>
      <c r="B14" s="61"/>
      <c r="C14" s="61"/>
      <c r="D14" s="210">
        <f>B17+B18</f>
        <v>54</v>
      </c>
      <c r="E14" s="61"/>
      <c r="F14" s="200"/>
      <c r="G14" s="201">
        <f>'Общие расходы г. Тюмень'!F30</f>
        <v>0.74801393423739049</v>
      </c>
      <c r="H14" s="200"/>
      <c r="I14" s="211">
        <f t="shared" si="2"/>
        <v>40.392752448819088</v>
      </c>
      <c r="J14" s="59"/>
    </row>
    <row r="15" spans="1:10" ht="15.75" customHeight="1">
      <c r="A15" s="331" t="s">
        <v>62</v>
      </c>
      <c r="B15" s="332"/>
      <c r="C15" s="332"/>
      <c r="D15" s="332"/>
      <c r="E15" s="332"/>
      <c r="F15" s="332"/>
      <c r="G15" s="321"/>
      <c r="H15" s="212"/>
      <c r="I15" s="211">
        <f>SUM(I3:I14)</f>
        <v>3195.5626650324343</v>
      </c>
    </row>
    <row r="16" spans="1:10" ht="15.75" customHeight="1">
      <c r="A16" s="202"/>
      <c r="B16" s="148"/>
      <c r="C16" s="148"/>
      <c r="D16" s="148"/>
      <c r="E16" s="148"/>
      <c r="F16" s="149"/>
      <c r="G16" s="149"/>
      <c r="H16" s="149"/>
      <c r="I16" s="148"/>
    </row>
    <row r="17" spans="1:9" ht="15.75" customHeight="1">
      <c r="A17" s="58" t="s">
        <v>205</v>
      </c>
      <c r="B17" s="213">
        <f>'Исходные данные'!B36</f>
        <v>0</v>
      </c>
      <c r="C17" s="148"/>
      <c r="D17" s="148"/>
      <c r="E17" s="148"/>
      <c r="F17" s="149"/>
      <c r="G17" s="149"/>
      <c r="H17" s="149"/>
      <c r="I17" s="148"/>
    </row>
    <row r="18" spans="1:9" ht="15.75" customHeight="1">
      <c r="A18" s="58" t="s">
        <v>206</v>
      </c>
      <c r="B18" s="213">
        <f>'Исходные данные'!C36</f>
        <v>54</v>
      </c>
      <c r="C18" s="148"/>
      <c r="D18" s="148"/>
      <c r="E18" s="148"/>
      <c r="F18" s="149"/>
      <c r="G18" s="149"/>
      <c r="H18" s="149"/>
      <c r="I18" s="148"/>
    </row>
    <row r="19" spans="1:9" ht="15.75" customHeight="1">
      <c r="A19" s="58" t="s">
        <v>207</v>
      </c>
      <c r="B19" s="213">
        <f>'Исходные данные'!D25</f>
        <v>0</v>
      </c>
      <c r="C19" s="148"/>
      <c r="D19" s="148"/>
      <c r="E19" s="148"/>
      <c r="F19" s="149"/>
      <c r="G19" s="149"/>
      <c r="H19" s="149"/>
      <c r="I19" s="148"/>
    </row>
    <row r="20" spans="1:9" ht="15.75" customHeight="1">
      <c r="A20" s="202"/>
      <c r="B20" s="148"/>
      <c r="C20" s="148"/>
      <c r="D20" s="148"/>
      <c r="E20" s="148"/>
      <c r="F20" s="149"/>
      <c r="G20" s="149"/>
      <c r="H20" s="149"/>
      <c r="I20" s="62"/>
    </row>
    <row r="21" spans="1:9" ht="15.75" customHeight="1">
      <c r="A21" s="333" t="s">
        <v>208</v>
      </c>
      <c r="B21" s="332"/>
      <c r="C21" s="332"/>
      <c r="D21" s="321"/>
      <c r="E21" s="214"/>
      <c r="F21" s="59"/>
      <c r="G21" s="59"/>
      <c r="H21" s="59"/>
      <c r="I21" s="59"/>
    </row>
    <row r="22" spans="1:9" ht="15.75" customHeight="1">
      <c r="A22" s="215" t="s">
        <v>209</v>
      </c>
      <c r="B22" s="216" t="s">
        <v>210</v>
      </c>
      <c r="C22" s="78" t="s">
        <v>5</v>
      </c>
      <c r="D22" s="216" t="s">
        <v>211</v>
      </c>
      <c r="E22" s="217"/>
    </row>
    <row r="23" spans="1:9" ht="15.75" customHeight="1">
      <c r="A23" s="73" t="s">
        <v>212</v>
      </c>
      <c r="B23" s="218">
        <v>20000</v>
      </c>
      <c r="C23" s="108">
        <v>12</v>
      </c>
      <c r="D23" s="218">
        <f t="shared" ref="D23:D25" si="3">B23/C23</f>
        <v>1666.6666666666667</v>
      </c>
      <c r="E23" s="62"/>
    </row>
    <row r="24" spans="1:9" ht="15.75" customHeight="1">
      <c r="A24" s="73" t="s">
        <v>231</v>
      </c>
      <c r="B24" s="218">
        <v>7500</v>
      </c>
      <c r="C24" s="108">
        <v>12</v>
      </c>
      <c r="D24" s="218">
        <f t="shared" si="3"/>
        <v>625</v>
      </c>
      <c r="E24" s="62"/>
    </row>
    <row r="25" spans="1:9" ht="15.75" customHeight="1">
      <c r="A25" s="73" t="s">
        <v>214</v>
      </c>
      <c r="B25" s="218">
        <v>1000</v>
      </c>
      <c r="C25" s="108">
        <v>12</v>
      </c>
      <c r="D25" s="218">
        <f t="shared" si="3"/>
        <v>83.333333333333329</v>
      </c>
      <c r="E25" s="62"/>
    </row>
    <row r="26" spans="1:9" ht="15.75" customHeight="1">
      <c r="A26" s="219"/>
      <c r="B26" s="218"/>
      <c r="C26" s="108"/>
      <c r="D26" s="218"/>
      <c r="E26" s="62"/>
    </row>
    <row r="27" spans="1:9" ht="15.75" customHeight="1">
      <c r="A27" s="219"/>
      <c r="B27" s="218"/>
      <c r="C27" s="108"/>
      <c r="D27" s="218"/>
      <c r="E27" s="62"/>
    </row>
    <row r="28" spans="1:9" ht="15.75" customHeight="1">
      <c r="A28" s="220"/>
      <c r="B28" s="221">
        <f>SUM(B23:B27)</f>
        <v>28500</v>
      </c>
      <c r="C28" s="222">
        <v>12</v>
      </c>
      <c r="D28" s="221">
        <f>B28/C28</f>
        <v>2375</v>
      </c>
      <c r="E28" s="139"/>
      <c r="F28" s="140"/>
      <c r="G28" s="139"/>
    </row>
    <row r="29" spans="1:9" ht="15.75" customHeight="1">
      <c r="A29" s="202"/>
    </row>
    <row r="30" spans="1:9" ht="15.75" customHeight="1">
      <c r="A30" s="202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</sheetData>
  <mergeCells count="2">
    <mergeCell ref="A15:G15"/>
    <mergeCell ref="A21:D2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976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10" ht="15.75" customHeight="1">
      <c r="A1" s="202"/>
      <c r="B1" s="148"/>
      <c r="C1" s="148"/>
      <c r="D1" s="148"/>
      <c r="E1" s="148"/>
      <c r="F1" s="149"/>
      <c r="G1" s="149"/>
      <c r="H1" s="149"/>
      <c r="I1" s="223"/>
      <c r="J1" s="59"/>
    </row>
    <row r="2" spans="1:10" ht="15.75" customHeight="1">
      <c r="A2" s="203" t="s">
        <v>223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  <c r="J2" s="59"/>
    </row>
    <row r="3" spans="1:10" ht="15.75" customHeight="1">
      <c r="A3" s="73" t="s">
        <v>232</v>
      </c>
      <c r="B3" s="87">
        <f>'Исходные данные'!D10</f>
        <v>276</v>
      </c>
      <c r="C3" s="61">
        <f>'Исходные данные'!E26</f>
        <v>1</v>
      </c>
      <c r="D3" s="61"/>
      <c r="E3" s="60">
        <v>402810</v>
      </c>
      <c r="F3" s="200">
        <v>12</v>
      </c>
      <c r="G3" s="200"/>
      <c r="H3" s="201">
        <f t="shared" ref="H3:H9" si="0">E3/F3</f>
        <v>33567.5</v>
      </c>
      <c r="I3" s="208">
        <f t="shared" ref="I3:I4" si="1">H3/B3*C3</f>
        <v>121.6213768115942</v>
      </c>
      <c r="J3" s="59"/>
    </row>
    <row r="4" spans="1:10" ht="15.75" customHeight="1">
      <c r="A4" s="73" t="s">
        <v>233</v>
      </c>
      <c r="B4" s="87">
        <f>'Исходные данные'!E13</f>
        <v>30</v>
      </c>
      <c r="C4" s="61">
        <f>'Исходные данные'!H26</f>
        <v>2</v>
      </c>
      <c r="D4" s="61"/>
      <c r="E4" s="147">
        <v>305868</v>
      </c>
      <c r="F4" s="200">
        <v>12</v>
      </c>
      <c r="G4" s="200"/>
      <c r="H4" s="201">
        <f t="shared" si="0"/>
        <v>25489</v>
      </c>
      <c r="I4" s="208">
        <f t="shared" si="1"/>
        <v>1699.2666666666667</v>
      </c>
      <c r="J4" s="59"/>
    </row>
    <row r="5" spans="1:10" ht="15.75" customHeight="1">
      <c r="A5" s="73" t="s">
        <v>151</v>
      </c>
      <c r="B5" s="83"/>
      <c r="C5" s="108"/>
      <c r="D5" s="108"/>
      <c r="E5" s="108">
        <v>8475</v>
      </c>
      <c r="F5" s="207">
        <v>12</v>
      </c>
      <c r="G5" s="200"/>
      <c r="H5" s="201">
        <f t="shared" si="0"/>
        <v>706.25</v>
      </c>
      <c r="I5" s="208">
        <f t="shared" ref="I5:I9" si="2">H5</f>
        <v>706.25</v>
      </c>
      <c r="J5" s="59"/>
    </row>
    <row r="6" spans="1:10" ht="15.75" customHeight="1">
      <c r="A6" s="73" t="s">
        <v>148</v>
      </c>
      <c r="B6" s="61"/>
      <c r="C6" s="61"/>
      <c r="D6" s="61"/>
      <c r="E6" s="61">
        <v>4000</v>
      </c>
      <c r="F6" s="200">
        <v>12</v>
      </c>
      <c r="G6" s="209"/>
      <c r="H6" s="201">
        <f t="shared" si="0"/>
        <v>333.33333333333331</v>
      </c>
      <c r="I6" s="208">
        <f t="shared" si="2"/>
        <v>333.33333333333331</v>
      </c>
      <c r="J6" s="59"/>
    </row>
    <row r="7" spans="1:10" ht="15.75" customHeight="1">
      <c r="A7" s="73" t="s">
        <v>150</v>
      </c>
      <c r="B7" s="61"/>
      <c r="C7" s="61"/>
      <c r="D7" s="61"/>
      <c r="E7" s="61">
        <v>0</v>
      </c>
      <c r="F7" s="200">
        <v>12</v>
      </c>
      <c r="G7" s="209"/>
      <c r="H7" s="201">
        <f t="shared" si="0"/>
        <v>0</v>
      </c>
      <c r="I7" s="208">
        <f t="shared" si="2"/>
        <v>0</v>
      </c>
      <c r="J7" s="59"/>
    </row>
    <row r="8" spans="1:10" ht="15.75" customHeight="1">
      <c r="A8" s="73" t="s">
        <v>149</v>
      </c>
      <c r="B8" s="61"/>
      <c r="C8" s="61"/>
      <c r="D8" s="61"/>
      <c r="E8" s="61">
        <v>0</v>
      </c>
      <c r="F8" s="200">
        <v>12</v>
      </c>
      <c r="G8" s="209"/>
      <c r="H8" s="201">
        <f t="shared" si="0"/>
        <v>0</v>
      </c>
      <c r="I8" s="208">
        <f t="shared" si="2"/>
        <v>0</v>
      </c>
      <c r="J8" s="59"/>
    </row>
    <row r="9" spans="1:10" ht="15.75" customHeight="1">
      <c r="A9" s="73" t="s">
        <v>93</v>
      </c>
      <c r="B9" s="61"/>
      <c r="C9" s="61"/>
      <c r="D9" s="61"/>
      <c r="E9" s="61">
        <v>726</v>
      </c>
      <c r="F9" s="200">
        <v>12</v>
      </c>
      <c r="G9" s="209"/>
      <c r="H9" s="201">
        <f t="shared" si="0"/>
        <v>60.5</v>
      </c>
      <c r="I9" s="208">
        <f t="shared" si="2"/>
        <v>60.5</v>
      </c>
      <c r="J9" s="59"/>
    </row>
    <row r="10" spans="1:10" ht="15.75" customHeight="1">
      <c r="A10" s="58" t="s">
        <v>152</v>
      </c>
      <c r="B10" s="61"/>
      <c r="C10" s="61"/>
      <c r="D10" s="210">
        <f>B15+B16</f>
        <v>266</v>
      </c>
      <c r="E10" s="61"/>
      <c r="F10" s="200"/>
      <c r="G10" s="209">
        <f>'Общие расходы ГЭ'!G16</f>
        <v>9.1731976502919679</v>
      </c>
      <c r="H10" s="200"/>
      <c r="I10" s="208">
        <f t="shared" ref="I10:I12" si="3">D10*G10</f>
        <v>2440.0705749776635</v>
      </c>
      <c r="J10" s="59"/>
    </row>
    <row r="11" spans="1:10" ht="15.75" customHeight="1">
      <c r="A11" s="58" t="s">
        <v>153</v>
      </c>
      <c r="B11" s="61"/>
      <c r="C11" s="61"/>
      <c r="D11" s="210">
        <f>B15+B16</f>
        <v>266</v>
      </c>
      <c r="E11" s="61"/>
      <c r="F11" s="200"/>
      <c r="G11" s="209">
        <f>'Общие расходы г. Тюмень'!F4</f>
        <v>0.27439332347868928</v>
      </c>
      <c r="H11" s="200"/>
      <c r="I11" s="208">
        <f t="shared" si="3"/>
        <v>72.988624045331349</v>
      </c>
      <c r="J11" s="59"/>
    </row>
    <row r="12" spans="1:10" ht="15.75" customHeight="1">
      <c r="A12" s="58" t="s">
        <v>156</v>
      </c>
      <c r="B12" s="61"/>
      <c r="C12" s="61"/>
      <c r="D12" s="210">
        <f>B15+B16</f>
        <v>266</v>
      </c>
      <c r="E12" s="61"/>
      <c r="F12" s="200"/>
      <c r="G12" s="201">
        <f>'Общие расходы г. Тюмень'!F30</f>
        <v>0.74801393423739049</v>
      </c>
      <c r="H12" s="200"/>
      <c r="I12" s="211">
        <f t="shared" si="3"/>
        <v>198.97170650714588</v>
      </c>
      <c r="J12" s="59"/>
    </row>
    <row r="13" spans="1:10" ht="15.75" customHeight="1">
      <c r="A13" s="331" t="s">
        <v>62</v>
      </c>
      <c r="B13" s="332"/>
      <c r="C13" s="332"/>
      <c r="D13" s="332"/>
      <c r="E13" s="332"/>
      <c r="F13" s="332"/>
      <c r="G13" s="321"/>
      <c r="H13" s="212"/>
      <c r="I13" s="211">
        <f>SUM(I3:I12)</f>
        <v>5633.0022823417348</v>
      </c>
      <c r="J13" s="59"/>
    </row>
    <row r="14" spans="1:10" ht="15.75" customHeight="1">
      <c r="A14" s="202"/>
      <c r="B14" s="148"/>
      <c r="C14" s="148"/>
      <c r="D14" s="148"/>
      <c r="E14" s="148"/>
      <c r="F14" s="149"/>
      <c r="G14" s="149"/>
      <c r="H14" s="149"/>
      <c r="I14" s="223"/>
      <c r="J14" s="59"/>
    </row>
    <row r="15" spans="1:10" ht="15.75" customHeight="1">
      <c r="A15" s="58" t="s">
        <v>205</v>
      </c>
      <c r="B15" s="210">
        <f>'Исходные данные'!B26</f>
        <v>43</v>
      </c>
      <c r="C15" s="148"/>
      <c r="D15" s="148"/>
      <c r="E15" s="148"/>
      <c r="F15" s="149"/>
      <c r="G15" s="149"/>
      <c r="H15" s="149"/>
      <c r="I15" s="223"/>
      <c r="J15" s="59"/>
    </row>
    <row r="16" spans="1:10" ht="15.75" customHeight="1">
      <c r="A16" s="58" t="s">
        <v>206</v>
      </c>
      <c r="B16" s="210">
        <f>'Исходные данные'!C26</f>
        <v>223</v>
      </c>
      <c r="C16" s="148"/>
      <c r="D16" s="148"/>
      <c r="E16" s="148"/>
      <c r="F16" s="149"/>
      <c r="G16" s="149"/>
      <c r="H16" s="149"/>
      <c r="I16" s="223"/>
      <c r="J16" s="59"/>
    </row>
    <row r="17" spans="1:10" ht="15.75" customHeight="1">
      <c r="A17" s="58" t="s">
        <v>207</v>
      </c>
      <c r="B17" s="213">
        <f>'Исходные данные'!D26</f>
        <v>0</v>
      </c>
      <c r="C17" s="148"/>
      <c r="D17" s="148"/>
      <c r="E17" s="148"/>
      <c r="F17" s="149"/>
      <c r="G17" s="149"/>
      <c r="H17" s="149"/>
      <c r="I17" s="223"/>
      <c r="J17" s="59"/>
    </row>
    <row r="18" spans="1:10" ht="15.75" customHeight="1">
      <c r="A18" s="202"/>
      <c r="B18" s="148"/>
      <c r="C18" s="148"/>
      <c r="D18" s="148"/>
      <c r="E18" s="148"/>
      <c r="F18" s="149"/>
      <c r="G18" s="149"/>
      <c r="H18" s="149"/>
      <c r="I18" s="224"/>
      <c r="J18" s="59"/>
    </row>
    <row r="19" spans="1:10" ht="15.75" customHeight="1">
      <c r="A19" s="333" t="s">
        <v>208</v>
      </c>
      <c r="B19" s="332"/>
      <c r="C19" s="332"/>
      <c r="D19" s="321"/>
      <c r="E19" s="214"/>
      <c r="F19" s="59"/>
      <c r="G19" s="59"/>
      <c r="H19" s="59"/>
      <c r="I19" s="225"/>
      <c r="J19" s="59"/>
    </row>
    <row r="20" spans="1:10" ht="15.75" customHeight="1">
      <c r="A20" s="215" t="s">
        <v>209</v>
      </c>
      <c r="B20" s="216" t="s">
        <v>210</v>
      </c>
      <c r="C20" s="78" t="s">
        <v>5</v>
      </c>
      <c r="D20" s="216" t="s">
        <v>211</v>
      </c>
      <c r="E20" s="217"/>
      <c r="I20" s="149"/>
      <c r="J20" s="59"/>
    </row>
    <row r="21" spans="1:10" ht="15.75" customHeight="1">
      <c r="A21" s="219"/>
      <c r="B21" s="108"/>
      <c r="C21" s="108">
        <v>12</v>
      </c>
      <c r="D21" s="218">
        <f t="shared" ref="D21:D22" si="4">B21/C21</f>
        <v>0</v>
      </c>
      <c r="E21" s="62"/>
      <c r="I21" s="149"/>
      <c r="J21" s="59"/>
    </row>
    <row r="22" spans="1:10" ht="15.75" customHeight="1">
      <c r="A22" s="219"/>
      <c r="B22" s="108"/>
      <c r="C22" s="108">
        <v>12</v>
      </c>
      <c r="D22" s="218">
        <f t="shared" si="4"/>
        <v>0</v>
      </c>
      <c r="E22" s="62"/>
      <c r="I22" s="149"/>
      <c r="J22" s="59"/>
    </row>
    <row r="23" spans="1:10" ht="15.75" customHeight="1">
      <c r="A23" s="220"/>
      <c r="B23" s="222"/>
      <c r="C23" s="222"/>
      <c r="D23" s="221">
        <f>SUM(D21)</f>
        <v>0</v>
      </c>
      <c r="E23" s="139"/>
      <c r="F23" s="140"/>
      <c r="G23" s="139"/>
      <c r="I23" s="149"/>
      <c r="J23" s="59"/>
    </row>
    <row r="24" spans="1:10" ht="15.75" customHeight="1">
      <c r="A24" s="202"/>
      <c r="I24" s="149"/>
      <c r="J24" s="59"/>
    </row>
    <row r="25" spans="1:10" ht="15.75" customHeight="1">
      <c r="A25" s="202"/>
      <c r="I25" s="149"/>
      <c r="J25" s="59"/>
    </row>
    <row r="26" spans="1:10" ht="15.75" customHeight="1">
      <c r="A26" s="202"/>
      <c r="I26" s="149"/>
      <c r="J26" s="59"/>
    </row>
    <row r="27" spans="1:10" ht="15.75" customHeight="1">
      <c r="A27" s="202"/>
      <c r="I27" s="149"/>
      <c r="J27" s="59"/>
    </row>
    <row r="28" spans="1:10" ht="15.75" customHeight="1">
      <c r="A28" s="202"/>
      <c r="I28" s="149"/>
      <c r="J28" s="59"/>
    </row>
    <row r="29" spans="1:10" ht="15.75" customHeight="1">
      <c r="A29" s="202"/>
      <c r="I29" s="149"/>
      <c r="J29" s="59"/>
    </row>
    <row r="30" spans="1:10" ht="15.75" customHeight="1">
      <c r="A30" s="202"/>
      <c r="I30" s="149"/>
      <c r="J30" s="59"/>
    </row>
    <row r="31" spans="1:10" ht="15.75" customHeight="1">
      <c r="A31" s="202"/>
      <c r="I31" s="149"/>
      <c r="J31" s="59"/>
    </row>
    <row r="32" spans="1:10" ht="15.75" customHeight="1">
      <c r="A32" s="202"/>
      <c r="I32" s="149"/>
      <c r="J32" s="59"/>
    </row>
    <row r="33" spans="1:10" ht="15.75" customHeight="1">
      <c r="A33" s="202"/>
      <c r="I33" s="149"/>
      <c r="J33" s="59"/>
    </row>
    <row r="34" spans="1:10" ht="15.75" customHeight="1">
      <c r="A34" s="202"/>
      <c r="I34" s="149"/>
      <c r="J34" s="59"/>
    </row>
    <row r="35" spans="1:10" ht="15.75" customHeight="1">
      <c r="A35" s="202"/>
      <c r="I35" s="149"/>
      <c r="J35" s="59"/>
    </row>
    <row r="36" spans="1:10" ht="15.75" customHeight="1">
      <c r="A36" s="202"/>
      <c r="I36" s="149"/>
      <c r="J36" s="59"/>
    </row>
    <row r="37" spans="1:10" ht="15.75" customHeight="1">
      <c r="A37" s="202"/>
      <c r="I37" s="149"/>
      <c r="J37" s="59"/>
    </row>
    <row r="38" spans="1:10" ht="15.75" customHeight="1">
      <c r="A38" s="202"/>
      <c r="I38" s="149"/>
      <c r="J38" s="59"/>
    </row>
    <row r="39" spans="1:10" ht="15.75" customHeight="1">
      <c r="A39" s="202"/>
      <c r="I39" s="149"/>
      <c r="J39" s="59"/>
    </row>
    <row r="40" spans="1:10" ht="15.75" customHeight="1">
      <c r="A40" s="202"/>
      <c r="I40" s="149"/>
      <c r="J40" s="59"/>
    </row>
    <row r="41" spans="1:10" ht="15.75" customHeight="1">
      <c r="A41" s="202"/>
      <c r="I41" s="149"/>
      <c r="J41" s="59"/>
    </row>
    <row r="42" spans="1:10" ht="15.75" customHeight="1">
      <c r="A42" s="202"/>
      <c r="I42" s="149"/>
      <c r="J42" s="59"/>
    </row>
    <row r="43" spans="1:10" ht="15.75" customHeight="1">
      <c r="A43" s="202"/>
      <c r="I43" s="149"/>
      <c r="J43" s="59"/>
    </row>
    <row r="44" spans="1:10" ht="15.75" customHeight="1">
      <c r="A44" s="202"/>
      <c r="I44" s="149"/>
      <c r="J44" s="59"/>
    </row>
    <row r="45" spans="1:10" ht="15.75" customHeight="1">
      <c r="A45" s="202"/>
      <c r="I45" s="149"/>
      <c r="J45" s="59"/>
    </row>
    <row r="46" spans="1:10" ht="15.75" customHeight="1">
      <c r="A46" s="202"/>
      <c r="I46" s="149"/>
      <c r="J46" s="59"/>
    </row>
    <row r="47" spans="1:10" ht="13">
      <c r="A47" s="202"/>
      <c r="I47" s="149"/>
      <c r="J47" s="59"/>
    </row>
    <row r="48" spans="1:10" ht="13">
      <c r="A48" s="202"/>
      <c r="I48" s="149"/>
      <c r="J48" s="59"/>
    </row>
    <row r="49" spans="1:10" ht="13">
      <c r="A49" s="202"/>
      <c r="I49" s="149"/>
      <c r="J49" s="59"/>
    </row>
    <row r="50" spans="1:10" ht="13">
      <c r="A50" s="202"/>
      <c r="I50" s="149"/>
      <c r="J50" s="59"/>
    </row>
    <row r="51" spans="1:10" ht="13">
      <c r="A51" s="202"/>
      <c r="I51" s="149"/>
      <c r="J51" s="59"/>
    </row>
    <row r="52" spans="1:10" ht="13">
      <c r="A52" s="202"/>
      <c r="I52" s="149"/>
      <c r="J52" s="59"/>
    </row>
    <row r="53" spans="1:10" ht="13">
      <c r="A53" s="202"/>
      <c r="I53" s="149"/>
      <c r="J53" s="59"/>
    </row>
    <row r="54" spans="1:10" ht="13">
      <c r="A54" s="202"/>
      <c r="I54" s="149"/>
      <c r="J54" s="59"/>
    </row>
    <row r="55" spans="1:10" ht="13">
      <c r="A55" s="202"/>
      <c r="I55" s="149"/>
      <c r="J55" s="59"/>
    </row>
    <row r="56" spans="1:10" ht="13">
      <c r="A56" s="202"/>
      <c r="I56" s="149"/>
      <c r="J56" s="59"/>
    </row>
    <row r="57" spans="1:10" ht="13">
      <c r="A57" s="202"/>
      <c r="I57" s="149"/>
      <c r="J57" s="59"/>
    </row>
    <row r="58" spans="1:10" ht="13">
      <c r="A58" s="202"/>
      <c r="I58" s="149"/>
      <c r="J58" s="59"/>
    </row>
    <row r="59" spans="1:10" ht="13">
      <c r="A59" s="202"/>
      <c r="I59" s="149"/>
      <c r="J59" s="59"/>
    </row>
    <row r="60" spans="1:10" ht="13">
      <c r="A60" s="202"/>
      <c r="I60" s="149"/>
      <c r="J60" s="59"/>
    </row>
    <row r="61" spans="1:10" ht="13">
      <c r="A61" s="202"/>
      <c r="I61" s="149"/>
      <c r="J61" s="59"/>
    </row>
    <row r="62" spans="1:10" ht="13">
      <c r="A62" s="202"/>
      <c r="I62" s="149"/>
      <c r="J62" s="59"/>
    </row>
    <row r="63" spans="1:10" ht="13">
      <c r="A63" s="202"/>
      <c r="I63" s="149"/>
      <c r="J63" s="59"/>
    </row>
    <row r="64" spans="1:10" ht="13">
      <c r="A64" s="202"/>
      <c r="I64" s="149"/>
      <c r="J64" s="59"/>
    </row>
    <row r="65" spans="1:10" ht="13">
      <c r="A65" s="202"/>
      <c r="I65" s="149"/>
      <c r="J65" s="59"/>
    </row>
    <row r="66" spans="1:10" ht="13">
      <c r="A66" s="202"/>
      <c r="I66" s="149"/>
      <c r="J66" s="59"/>
    </row>
    <row r="67" spans="1:10" ht="13">
      <c r="A67" s="202"/>
      <c r="I67" s="149"/>
      <c r="J67" s="59"/>
    </row>
    <row r="68" spans="1:10" ht="13">
      <c r="A68" s="202"/>
      <c r="I68" s="149"/>
      <c r="J68" s="59"/>
    </row>
    <row r="69" spans="1:10" ht="13">
      <c r="A69" s="202"/>
      <c r="I69" s="149"/>
      <c r="J69" s="59"/>
    </row>
    <row r="70" spans="1:10" ht="13">
      <c r="A70" s="202"/>
      <c r="I70" s="149"/>
      <c r="J70" s="59"/>
    </row>
    <row r="71" spans="1:10" ht="13">
      <c r="A71" s="202"/>
      <c r="I71" s="149"/>
      <c r="J71" s="59"/>
    </row>
    <row r="72" spans="1:10" ht="13">
      <c r="A72" s="202"/>
      <c r="I72" s="149"/>
      <c r="J72" s="59"/>
    </row>
    <row r="73" spans="1:10" ht="13">
      <c r="A73" s="202"/>
      <c r="I73" s="149"/>
      <c r="J73" s="59"/>
    </row>
    <row r="74" spans="1:10" ht="13">
      <c r="A74" s="202"/>
      <c r="I74" s="149"/>
      <c r="J74" s="59"/>
    </row>
    <row r="75" spans="1:10" ht="13">
      <c r="A75" s="202"/>
      <c r="I75" s="149"/>
      <c r="J75" s="59"/>
    </row>
    <row r="76" spans="1:10" ht="13">
      <c r="A76" s="202"/>
      <c r="I76" s="149"/>
      <c r="J76" s="59"/>
    </row>
    <row r="77" spans="1:10" ht="13">
      <c r="A77" s="202"/>
      <c r="I77" s="149"/>
      <c r="J77" s="59"/>
    </row>
    <row r="78" spans="1:10" ht="13">
      <c r="A78" s="202"/>
      <c r="I78" s="149"/>
      <c r="J78" s="59"/>
    </row>
    <row r="79" spans="1:10" ht="13">
      <c r="A79" s="202"/>
      <c r="I79" s="149"/>
      <c r="J79" s="59"/>
    </row>
    <row r="80" spans="1:10" ht="13">
      <c r="A80" s="202"/>
      <c r="I80" s="149"/>
      <c r="J80" s="59"/>
    </row>
    <row r="81" spans="1:10" ht="13">
      <c r="A81" s="202"/>
      <c r="I81" s="149"/>
      <c r="J81" s="59"/>
    </row>
    <row r="82" spans="1:10" ht="13">
      <c r="A82" s="202"/>
      <c r="I82" s="149"/>
      <c r="J82" s="59"/>
    </row>
    <row r="83" spans="1:10" ht="13">
      <c r="A83" s="202"/>
      <c r="I83" s="149"/>
      <c r="J83" s="59"/>
    </row>
    <row r="84" spans="1:10" ht="13">
      <c r="A84" s="202"/>
      <c r="I84" s="149"/>
      <c r="J84" s="59"/>
    </row>
    <row r="85" spans="1:10" ht="13">
      <c r="A85" s="202"/>
      <c r="I85" s="149"/>
      <c r="J85" s="59"/>
    </row>
    <row r="86" spans="1:10" ht="13">
      <c r="A86" s="202"/>
      <c r="I86" s="149"/>
      <c r="J86" s="59"/>
    </row>
    <row r="87" spans="1:10" ht="13">
      <c r="A87" s="202"/>
      <c r="I87" s="149"/>
      <c r="J87" s="59"/>
    </row>
    <row r="88" spans="1:10" ht="13">
      <c r="A88" s="202"/>
      <c r="I88" s="149"/>
      <c r="J88" s="59"/>
    </row>
    <row r="89" spans="1:10" ht="13">
      <c r="A89" s="202"/>
      <c r="I89" s="149"/>
      <c r="J89" s="59"/>
    </row>
    <row r="90" spans="1:10" ht="13">
      <c r="A90" s="202"/>
      <c r="I90" s="149"/>
      <c r="J90" s="59"/>
    </row>
    <row r="91" spans="1:10" ht="13">
      <c r="A91" s="202"/>
      <c r="I91" s="149"/>
      <c r="J91" s="59"/>
    </row>
    <row r="92" spans="1:10" ht="13">
      <c r="A92" s="202"/>
      <c r="I92" s="149"/>
      <c r="J92" s="59"/>
    </row>
    <row r="93" spans="1:10" ht="13">
      <c r="A93" s="202"/>
      <c r="I93" s="149"/>
      <c r="J93" s="59"/>
    </row>
    <row r="94" spans="1:10" ht="13">
      <c r="A94" s="202"/>
      <c r="I94" s="149"/>
      <c r="J94" s="59"/>
    </row>
    <row r="95" spans="1:10" ht="13">
      <c r="A95" s="202"/>
      <c r="I95" s="149"/>
      <c r="J95" s="59"/>
    </row>
    <row r="96" spans="1:10" ht="13">
      <c r="A96" s="202"/>
      <c r="I96" s="149"/>
      <c r="J96" s="59"/>
    </row>
    <row r="97" spans="1:10" ht="13">
      <c r="A97" s="202"/>
      <c r="I97" s="149"/>
      <c r="J97" s="59"/>
    </row>
    <row r="98" spans="1:10" ht="13">
      <c r="A98" s="202"/>
      <c r="I98" s="149"/>
      <c r="J98" s="59"/>
    </row>
    <row r="99" spans="1:10" ht="13">
      <c r="A99" s="202"/>
      <c r="I99" s="149"/>
      <c r="J99" s="59"/>
    </row>
    <row r="100" spans="1:10" ht="13">
      <c r="A100" s="202"/>
      <c r="I100" s="149"/>
      <c r="J100" s="59"/>
    </row>
    <row r="101" spans="1:10" ht="13">
      <c r="A101" s="202"/>
      <c r="I101" s="149"/>
      <c r="J101" s="59"/>
    </row>
    <row r="102" spans="1:10" ht="13">
      <c r="A102" s="202"/>
      <c r="I102" s="149"/>
      <c r="J102" s="59"/>
    </row>
    <row r="103" spans="1:10" ht="13">
      <c r="A103" s="202"/>
      <c r="I103" s="149"/>
      <c r="J103" s="59"/>
    </row>
    <row r="104" spans="1:10" ht="13">
      <c r="A104" s="202"/>
      <c r="I104" s="149"/>
      <c r="J104" s="59"/>
    </row>
    <row r="105" spans="1:10" ht="13">
      <c r="A105" s="202"/>
      <c r="I105" s="149"/>
      <c r="J105" s="59"/>
    </row>
    <row r="106" spans="1:10" ht="13">
      <c r="A106" s="202"/>
      <c r="I106" s="149"/>
      <c r="J106" s="59"/>
    </row>
    <row r="107" spans="1:10" ht="13">
      <c r="A107" s="202"/>
      <c r="I107" s="149"/>
      <c r="J107" s="59"/>
    </row>
    <row r="108" spans="1:10" ht="13">
      <c r="A108" s="202"/>
      <c r="I108" s="149"/>
      <c r="J108" s="59"/>
    </row>
    <row r="109" spans="1:10" ht="13">
      <c r="A109" s="202"/>
      <c r="I109" s="149"/>
      <c r="J109" s="59"/>
    </row>
    <row r="110" spans="1:10" ht="13">
      <c r="A110" s="202"/>
      <c r="I110" s="149"/>
      <c r="J110" s="59"/>
    </row>
    <row r="111" spans="1:10" ht="13">
      <c r="A111" s="202"/>
      <c r="I111" s="149"/>
      <c r="J111" s="59"/>
    </row>
    <row r="112" spans="1:10" ht="13">
      <c r="A112" s="202"/>
      <c r="I112" s="149"/>
      <c r="J112" s="59"/>
    </row>
    <row r="113" spans="1:10" ht="13">
      <c r="A113" s="202"/>
      <c r="I113" s="149"/>
      <c r="J113" s="59"/>
    </row>
    <row r="114" spans="1:10" ht="13">
      <c r="A114" s="202"/>
      <c r="I114" s="149"/>
      <c r="J114" s="59"/>
    </row>
    <row r="115" spans="1:10" ht="13">
      <c r="A115" s="202"/>
      <c r="I115" s="149"/>
      <c r="J115" s="59"/>
    </row>
    <row r="116" spans="1:10" ht="13">
      <c r="A116" s="202"/>
      <c r="I116" s="149"/>
      <c r="J116" s="59"/>
    </row>
    <row r="117" spans="1:10" ht="13">
      <c r="A117" s="202"/>
      <c r="I117" s="149"/>
      <c r="J117" s="59"/>
    </row>
    <row r="118" spans="1:10" ht="13">
      <c r="A118" s="202"/>
      <c r="I118" s="149"/>
      <c r="J118" s="59"/>
    </row>
    <row r="119" spans="1:10" ht="13">
      <c r="A119" s="202"/>
      <c r="I119" s="149"/>
      <c r="J119" s="59"/>
    </row>
    <row r="120" spans="1:10" ht="13">
      <c r="A120" s="202"/>
      <c r="I120" s="149"/>
      <c r="J120" s="59"/>
    </row>
    <row r="121" spans="1:10" ht="13">
      <c r="A121" s="202"/>
      <c r="I121" s="149"/>
      <c r="J121" s="59"/>
    </row>
    <row r="122" spans="1:10" ht="13">
      <c r="A122" s="202"/>
      <c r="I122" s="149"/>
      <c r="J122" s="59"/>
    </row>
    <row r="123" spans="1:10" ht="13">
      <c r="A123" s="202"/>
      <c r="I123" s="149"/>
      <c r="J123" s="59"/>
    </row>
    <row r="124" spans="1:10" ht="13">
      <c r="A124" s="202"/>
      <c r="I124" s="149"/>
      <c r="J124" s="59"/>
    </row>
    <row r="125" spans="1:10" ht="13">
      <c r="A125" s="202"/>
      <c r="I125" s="149"/>
      <c r="J125" s="59"/>
    </row>
    <row r="126" spans="1:10" ht="13">
      <c r="A126" s="202"/>
      <c r="I126" s="149"/>
      <c r="J126" s="59"/>
    </row>
    <row r="127" spans="1:10" ht="13">
      <c r="A127" s="202"/>
      <c r="I127" s="149"/>
      <c r="J127" s="59"/>
    </row>
    <row r="128" spans="1:10" ht="13">
      <c r="A128" s="202"/>
      <c r="I128" s="149"/>
      <c r="J128" s="59"/>
    </row>
    <row r="129" spans="1:10" ht="13">
      <c r="A129" s="202"/>
      <c r="I129" s="149"/>
      <c r="J129" s="59"/>
    </row>
    <row r="130" spans="1:10" ht="13">
      <c r="A130" s="202"/>
      <c r="I130" s="149"/>
      <c r="J130" s="59"/>
    </row>
    <row r="131" spans="1:10" ht="13">
      <c r="A131" s="202"/>
      <c r="I131" s="149"/>
      <c r="J131" s="59"/>
    </row>
    <row r="132" spans="1:10" ht="13">
      <c r="A132" s="202"/>
      <c r="I132" s="149"/>
      <c r="J132" s="59"/>
    </row>
    <row r="133" spans="1:10" ht="13">
      <c r="A133" s="202"/>
      <c r="I133" s="149"/>
      <c r="J133" s="59"/>
    </row>
    <row r="134" spans="1:10" ht="13">
      <c r="A134" s="202"/>
      <c r="I134" s="149"/>
      <c r="J134" s="59"/>
    </row>
    <row r="135" spans="1:10" ht="13">
      <c r="A135" s="202"/>
      <c r="I135" s="149"/>
      <c r="J135" s="59"/>
    </row>
    <row r="136" spans="1:10" ht="13">
      <c r="A136" s="202"/>
      <c r="I136" s="149"/>
      <c r="J136" s="59"/>
    </row>
    <row r="137" spans="1:10" ht="13">
      <c r="A137" s="202"/>
      <c r="I137" s="149"/>
      <c r="J137" s="59"/>
    </row>
    <row r="138" spans="1:10" ht="13">
      <c r="A138" s="202"/>
      <c r="I138" s="149"/>
      <c r="J138" s="59"/>
    </row>
    <row r="139" spans="1:10" ht="13">
      <c r="A139" s="202"/>
      <c r="I139" s="149"/>
      <c r="J139" s="59"/>
    </row>
    <row r="140" spans="1:10" ht="13">
      <c r="A140" s="202"/>
      <c r="I140" s="149"/>
      <c r="J140" s="59"/>
    </row>
    <row r="141" spans="1:10" ht="13">
      <c r="A141" s="202"/>
      <c r="I141" s="149"/>
      <c r="J141" s="59"/>
    </row>
    <row r="142" spans="1:10" ht="13">
      <c r="A142" s="202"/>
      <c r="I142" s="149"/>
      <c r="J142" s="59"/>
    </row>
    <row r="143" spans="1:10" ht="13">
      <c r="A143" s="202"/>
      <c r="I143" s="149"/>
      <c r="J143" s="59"/>
    </row>
    <row r="144" spans="1:10" ht="13">
      <c r="A144" s="202"/>
      <c r="I144" s="149"/>
      <c r="J144" s="59"/>
    </row>
    <row r="145" spans="1:10" ht="13">
      <c r="A145" s="202"/>
      <c r="I145" s="149"/>
      <c r="J145" s="59"/>
    </row>
    <row r="146" spans="1:10" ht="13">
      <c r="A146" s="202"/>
      <c r="I146" s="149"/>
      <c r="J146" s="59"/>
    </row>
    <row r="147" spans="1:10" ht="13">
      <c r="A147" s="202"/>
      <c r="I147" s="149"/>
      <c r="J147" s="59"/>
    </row>
    <row r="148" spans="1:10" ht="13">
      <c r="A148" s="202"/>
      <c r="I148" s="149"/>
      <c r="J148" s="59"/>
    </row>
    <row r="149" spans="1:10" ht="13">
      <c r="A149" s="202"/>
      <c r="I149" s="149"/>
      <c r="J149" s="59"/>
    </row>
    <row r="150" spans="1:10" ht="13">
      <c r="A150" s="202"/>
      <c r="I150" s="149"/>
      <c r="J150" s="59"/>
    </row>
    <row r="151" spans="1:10" ht="13">
      <c r="A151" s="202"/>
      <c r="I151" s="149"/>
      <c r="J151" s="59"/>
    </row>
    <row r="152" spans="1:10" ht="13">
      <c r="A152" s="202"/>
      <c r="I152" s="149"/>
      <c r="J152" s="59"/>
    </row>
    <row r="153" spans="1:10" ht="13">
      <c r="A153" s="202"/>
      <c r="I153" s="149"/>
      <c r="J153" s="59"/>
    </row>
    <row r="154" spans="1:10" ht="13">
      <c r="A154" s="202"/>
      <c r="I154" s="149"/>
      <c r="J154" s="59"/>
    </row>
    <row r="155" spans="1:10" ht="13">
      <c r="A155" s="202"/>
      <c r="I155" s="149"/>
      <c r="J155" s="59"/>
    </row>
    <row r="156" spans="1:10" ht="13">
      <c r="A156" s="202"/>
      <c r="I156" s="149"/>
      <c r="J156" s="59"/>
    </row>
    <row r="157" spans="1:10" ht="13">
      <c r="A157" s="202"/>
      <c r="I157" s="149"/>
      <c r="J157" s="59"/>
    </row>
    <row r="158" spans="1:10" ht="13">
      <c r="A158" s="202"/>
      <c r="I158" s="149"/>
      <c r="J158" s="59"/>
    </row>
    <row r="159" spans="1:10" ht="13">
      <c r="A159" s="202"/>
      <c r="I159" s="149"/>
      <c r="J159" s="59"/>
    </row>
    <row r="160" spans="1:10" ht="13">
      <c r="A160" s="202"/>
      <c r="I160" s="149"/>
      <c r="J160" s="59"/>
    </row>
    <row r="161" spans="1:10" ht="13">
      <c r="A161" s="202"/>
      <c r="I161" s="149"/>
      <c r="J161" s="59"/>
    </row>
    <row r="162" spans="1:10" ht="13">
      <c r="A162" s="202"/>
      <c r="I162" s="149"/>
      <c r="J162" s="59"/>
    </row>
    <row r="163" spans="1:10" ht="13">
      <c r="A163" s="202"/>
      <c r="I163" s="149"/>
      <c r="J163" s="59"/>
    </row>
    <row r="164" spans="1:10" ht="13">
      <c r="A164" s="202"/>
      <c r="I164" s="149"/>
      <c r="J164" s="59"/>
    </row>
    <row r="165" spans="1:10" ht="13">
      <c r="A165" s="202"/>
      <c r="I165" s="149"/>
      <c r="J165" s="59"/>
    </row>
    <row r="166" spans="1:10" ht="13">
      <c r="A166" s="202"/>
      <c r="I166" s="149"/>
      <c r="J166" s="59"/>
    </row>
    <row r="167" spans="1:10" ht="13">
      <c r="A167" s="202"/>
      <c r="I167" s="149"/>
      <c r="J167" s="59"/>
    </row>
    <row r="168" spans="1:10" ht="13">
      <c r="A168" s="202"/>
      <c r="I168" s="149"/>
      <c r="J168" s="59"/>
    </row>
    <row r="169" spans="1:10" ht="13">
      <c r="A169" s="202"/>
      <c r="I169" s="149"/>
      <c r="J169" s="59"/>
    </row>
    <row r="170" spans="1:10" ht="13">
      <c r="A170" s="202"/>
      <c r="I170" s="149"/>
      <c r="J170" s="59"/>
    </row>
    <row r="171" spans="1:10" ht="13">
      <c r="A171" s="202"/>
      <c r="I171" s="149"/>
      <c r="J171" s="59"/>
    </row>
    <row r="172" spans="1:10" ht="13">
      <c r="A172" s="202"/>
      <c r="I172" s="149"/>
      <c r="J172" s="59"/>
    </row>
    <row r="173" spans="1:10" ht="13">
      <c r="A173" s="202"/>
      <c r="I173" s="149"/>
      <c r="J173" s="59"/>
    </row>
    <row r="174" spans="1:10" ht="13">
      <c r="A174" s="202"/>
      <c r="I174" s="149"/>
      <c r="J174" s="59"/>
    </row>
    <row r="175" spans="1:10" ht="13">
      <c r="A175" s="202"/>
      <c r="I175" s="149"/>
      <c r="J175" s="59"/>
    </row>
    <row r="176" spans="1:10" ht="13">
      <c r="A176" s="202"/>
      <c r="I176" s="149"/>
      <c r="J176" s="59"/>
    </row>
    <row r="177" spans="1:10" ht="13">
      <c r="A177" s="202"/>
      <c r="I177" s="149"/>
      <c r="J177" s="59"/>
    </row>
    <row r="178" spans="1:10" ht="13">
      <c r="A178" s="202"/>
      <c r="I178" s="149"/>
      <c r="J178" s="59"/>
    </row>
    <row r="179" spans="1:10" ht="13">
      <c r="A179" s="202"/>
      <c r="I179" s="149"/>
      <c r="J179" s="59"/>
    </row>
    <row r="180" spans="1:10" ht="13">
      <c r="A180" s="202"/>
      <c r="I180" s="149"/>
      <c r="J180" s="59"/>
    </row>
    <row r="181" spans="1:10" ht="13">
      <c r="A181" s="202"/>
      <c r="I181" s="149"/>
      <c r="J181" s="59"/>
    </row>
    <row r="182" spans="1:10" ht="13">
      <c r="A182" s="202"/>
      <c r="I182" s="149"/>
      <c r="J182" s="59"/>
    </row>
    <row r="183" spans="1:10" ht="13">
      <c r="A183" s="202"/>
      <c r="I183" s="149"/>
      <c r="J183" s="59"/>
    </row>
    <row r="184" spans="1:10" ht="13">
      <c r="A184" s="202"/>
      <c r="I184" s="149"/>
      <c r="J184" s="59"/>
    </row>
    <row r="185" spans="1:10" ht="13">
      <c r="A185" s="202"/>
      <c r="I185" s="149"/>
      <c r="J185" s="59"/>
    </row>
    <row r="186" spans="1:10" ht="13">
      <c r="A186" s="202"/>
      <c r="I186" s="149"/>
      <c r="J186" s="59"/>
    </row>
    <row r="187" spans="1:10" ht="13">
      <c r="A187" s="202"/>
      <c r="I187" s="149"/>
      <c r="J187" s="59"/>
    </row>
    <row r="188" spans="1:10" ht="13">
      <c r="A188" s="202"/>
      <c r="I188" s="149"/>
      <c r="J188" s="59"/>
    </row>
    <row r="189" spans="1:10" ht="13">
      <c r="A189" s="202"/>
      <c r="I189" s="149"/>
      <c r="J189" s="59"/>
    </row>
    <row r="190" spans="1:10" ht="13">
      <c r="A190" s="202"/>
      <c r="I190" s="149"/>
      <c r="J190" s="59"/>
    </row>
    <row r="191" spans="1:10" ht="13">
      <c r="A191" s="202"/>
      <c r="I191" s="149"/>
      <c r="J191" s="59"/>
    </row>
    <row r="192" spans="1:10" ht="13">
      <c r="A192" s="202"/>
      <c r="I192" s="149"/>
      <c r="J192" s="59"/>
    </row>
    <row r="193" spans="1:10" ht="13">
      <c r="A193" s="202"/>
      <c r="I193" s="149"/>
      <c r="J193" s="59"/>
    </row>
    <row r="194" spans="1:10" ht="13">
      <c r="A194" s="202"/>
      <c r="I194" s="149"/>
      <c r="J194" s="59"/>
    </row>
    <row r="195" spans="1:10" ht="13">
      <c r="A195" s="202"/>
      <c r="I195" s="149"/>
      <c r="J195" s="59"/>
    </row>
    <row r="196" spans="1:10" ht="13">
      <c r="A196" s="202"/>
      <c r="I196" s="149"/>
      <c r="J196" s="59"/>
    </row>
    <row r="197" spans="1:10" ht="13">
      <c r="A197" s="202"/>
      <c r="I197" s="149"/>
      <c r="J197" s="59"/>
    </row>
    <row r="198" spans="1:10" ht="13">
      <c r="A198" s="202"/>
      <c r="I198" s="149"/>
      <c r="J198" s="59"/>
    </row>
    <row r="199" spans="1:10" ht="13">
      <c r="A199" s="202"/>
      <c r="I199" s="149"/>
      <c r="J199" s="59"/>
    </row>
    <row r="200" spans="1:10" ht="13">
      <c r="A200" s="202"/>
      <c r="I200" s="149"/>
      <c r="J200" s="59"/>
    </row>
    <row r="201" spans="1:10" ht="13">
      <c r="A201" s="202"/>
      <c r="I201" s="149"/>
      <c r="J201" s="59"/>
    </row>
    <row r="202" spans="1:10" ht="13">
      <c r="A202" s="202"/>
      <c r="I202" s="149"/>
      <c r="J202" s="59"/>
    </row>
    <row r="203" spans="1:10" ht="13">
      <c r="A203" s="202"/>
      <c r="I203" s="149"/>
      <c r="J203" s="59"/>
    </row>
    <row r="204" spans="1:10" ht="13">
      <c r="A204" s="202"/>
      <c r="I204" s="149"/>
      <c r="J204" s="59"/>
    </row>
    <row r="205" spans="1:10" ht="13">
      <c r="A205" s="202"/>
      <c r="I205" s="149"/>
      <c r="J205" s="59"/>
    </row>
    <row r="206" spans="1:10" ht="13">
      <c r="A206" s="202"/>
      <c r="I206" s="149"/>
      <c r="J206" s="59"/>
    </row>
    <row r="207" spans="1:10" ht="13">
      <c r="A207" s="202"/>
      <c r="I207" s="149"/>
      <c r="J207" s="59"/>
    </row>
    <row r="208" spans="1:10" ht="13">
      <c r="A208" s="202"/>
      <c r="I208" s="149"/>
      <c r="J208" s="59"/>
    </row>
    <row r="209" spans="1:10" ht="13">
      <c r="A209" s="202"/>
      <c r="I209" s="149"/>
      <c r="J209" s="59"/>
    </row>
    <row r="210" spans="1:10" ht="13">
      <c r="A210" s="202"/>
      <c r="I210" s="149"/>
      <c r="J210" s="59"/>
    </row>
    <row r="211" spans="1:10" ht="13">
      <c r="A211" s="202"/>
      <c r="I211" s="149"/>
      <c r="J211" s="59"/>
    </row>
    <row r="212" spans="1:10" ht="13">
      <c r="A212" s="202"/>
      <c r="I212" s="149"/>
      <c r="J212" s="59"/>
    </row>
    <row r="213" spans="1:10" ht="13">
      <c r="A213" s="202"/>
      <c r="I213" s="149"/>
      <c r="J213" s="59"/>
    </row>
    <row r="214" spans="1:10" ht="13">
      <c r="A214" s="202"/>
      <c r="I214" s="149"/>
      <c r="J214" s="59"/>
    </row>
    <row r="215" spans="1:10" ht="13">
      <c r="A215" s="202"/>
      <c r="I215" s="149"/>
      <c r="J215" s="59"/>
    </row>
    <row r="216" spans="1:10" ht="13">
      <c r="A216" s="202"/>
      <c r="I216" s="149"/>
      <c r="J216" s="59"/>
    </row>
    <row r="217" spans="1:10" ht="13">
      <c r="A217" s="202"/>
      <c r="I217" s="149"/>
      <c r="J217" s="59"/>
    </row>
    <row r="218" spans="1:10" ht="13">
      <c r="A218" s="202"/>
      <c r="I218" s="149"/>
      <c r="J218" s="59"/>
    </row>
    <row r="219" spans="1:10" ht="13">
      <c r="A219" s="202"/>
      <c r="I219" s="149"/>
      <c r="J219" s="59"/>
    </row>
    <row r="220" spans="1:10" ht="13">
      <c r="A220" s="202"/>
      <c r="I220" s="149"/>
      <c r="J220" s="59"/>
    </row>
    <row r="221" spans="1:10" ht="13">
      <c r="A221" s="202"/>
      <c r="I221" s="149"/>
      <c r="J221" s="59"/>
    </row>
    <row r="222" spans="1:10" ht="13">
      <c r="A222" s="202"/>
      <c r="I222" s="149"/>
      <c r="J222" s="59"/>
    </row>
    <row r="223" spans="1:10" ht="13">
      <c r="A223" s="202"/>
      <c r="I223" s="149"/>
      <c r="J223" s="59"/>
    </row>
    <row r="224" spans="1:10" ht="13">
      <c r="A224" s="202"/>
      <c r="I224" s="149"/>
      <c r="J224" s="59"/>
    </row>
    <row r="225" spans="1:10" ht="13">
      <c r="A225" s="202"/>
      <c r="I225" s="149"/>
      <c r="J225" s="59"/>
    </row>
    <row r="226" spans="1:10" ht="13">
      <c r="A226" s="202"/>
      <c r="I226" s="149"/>
      <c r="J226" s="59"/>
    </row>
    <row r="227" spans="1:10" ht="13">
      <c r="A227" s="202"/>
      <c r="I227" s="149"/>
      <c r="J227" s="59"/>
    </row>
    <row r="228" spans="1:10" ht="13">
      <c r="A228" s="202"/>
      <c r="I228" s="149"/>
      <c r="J228" s="59"/>
    </row>
    <row r="229" spans="1:10" ht="13">
      <c r="A229" s="202"/>
      <c r="I229" s="149"/>
      <c r="J229" s="59"/>
    </row>
    <row r="230" spans="1:10" ht="13">
      <c r="A230" s="202"/>
      <c r="I230" s="149"/>
      <c r="J230" s="59"/>
    </row>
    <row r="231" spans="1:10" ht="13">
      <c r="A231" s="202"/>
      <c r="I231" s="149"/>
      <c r="J231" s="59"/>
    </row>
    <row r="232" spans="1:10" ht="13">
      <c r="A232" s="202"/>
      <c r="I232" s="149"/>
      <c r="J232" s="59"/>
    </row>
    <row r="233" spans="1:10" ht="13">
      <c r="A233" s="202"/>
      <c r="I233" s="149"/>
      <c r="J233" s="59"/>
    </row>
    <row r="234" spans="1:10" ht="13">
      <c r="A234" s="202"/>
      <c r="I234" s="149"/>
      <c r="J234" s="59"/>
    </row>
    <row r="235" spans="1:10" ht="13">
      <c r="A235" s="202"/>
      <c r="I235" s="149"/>
      <c r="J235" s="59"/>
    </row>
    <row r="236" spans="1:10" ht="13">
      <c r="A236" s="202"/>
      <c r="I236" s="149"/>
      <c r="J236" s="59"/>
    </row>
    <row r="237" spans="1:10" ht="13">
      <c r="A237" s="202"/>
      <c r="I237" s="149"/>
      <c r="J237" s="59"/>
    </row>
    <row r="238" spans="1:10" ht="13">
      <c r="A238" s="202"/>
      <c r="I238" s="149"/>
      <c r="J238" s="59"/>
    </row>
    <row r="239" spans="1:10" ht="13">
      <c r="A239" s="202"/>
      <c r="I239" s="149"/>
      <c r="J239" s="59"/>
    </row>
    <row r="240" spans="1:10" ht="13">
      <c r="A240" s="202"/>
      <c r="I240" s="149"/>
      <c r="J240" s="59"/>
    </row>
    <row r="241" spans="1:10" ht="13">
      <c r="A241" s="202"/>
      <c r="I241" s="149"/>
      <c r="J241" s="59"/>
    </row>
    <row r="242" spans="1:10" ht="13">
      <c r="A242" s="202"/>
      <c r="I242" s="149"/>
      <c r="J242" s="59"/>
    </row>
    <row r="243" spans="1:10" ht="13">
      <c r="A243" s="202"/>
      <c r="I243" s="149"/>
      <c r="J243" s="59"/>
    </row>
    <row r="244" spans="1:10" ht="13">
      <c r="A244" s="202"/>
      <c r="I244" s="149"/>
      <c r="J244" s="59"/>
    </row>
    <row r="245" spans="1:10" ht="13">
      <c r="A245" s="202"/>
      <c r="I245" s="149"/>
      <c r="J245" s="59"/>
    </row>
    <row r="246" spans="1:10" ht="13">
      <c r="A246" s="202"/>
      <c r="I246" s="149"/>
      <c r="J246" s="59"/>
    </row>
    <row r="247" spans="1:10" ht="13">
      <c r="A247" s="202"/>
      <c r="I247" s="149"/>
      <c r="J247" s="59"/>
    </row>
    <row r="248" spans="1:10" ht="13">
      <c r="A248" s="202"/>
      <c r="I248" s="149"/>
      <c r="J248" s="59"/>
    </row>
    <row r="249" spans="1:10" ht="13">
      <c r="A249" s="202"/>
      <c r="I249" s="149"/>
      <c r="J249" s="59"/>
    </row>
    <row r="250" spans="1:10" ht="13">
      <c r="A250" s="202"/>
      <c r="I250" s="149"/>
      <c r="J250" s="59"/>
    </row>
    <row r="251" spans="1:10" ht="13">
      <c r="A251" s="202"/>
      <c r="I251" s="149"/>
      <c r="J251" s="59"/>
    </row>
    <row r="252" spans="1:10" ht="13">
      <c r="A252" s="202"/>
      <c r="I252" s="149"/>
      <c r="J252" s="59"/>
    </row>
    <row r="253" spans="1:10" ht="13">
      <c r="A253" s="202"/>
      <c r="I253" s="149"/>
      <c r="J253" s="59"/>
    </row>
    <row r="254" spans="1:10" ht="13">
      <c r="A254" s="202"/>
      <c r="I254" s="149"/>
      <c r="J254" s="59"/>
    </row>
    <row r="255" spans="1:10" ht="13">
      <c r="A255" s="202"/>
      <c r="I255" s="149"/>
      <c r="J255" s="59"/>
    </row>
    <row r="256" spans="1:10" ht="13">
      <c r="A256" s="202"/>
      <c r="I256" s="149"/>
      <c r="J256" s="59"/>
    </row>
    <row r="257" spans="1:10" ht="13">
      <c r="A257" s="202"/>
      <c r="I257" s="149"/>
      <c r="J257" s="59"/>
    </row>
    <row r="258" spans="1:10" ht="13">
      <c r="A258" s="202"/>
      <c r="I258" s="149"/>
      <c r="J258" s="59"/>
    </row>
    <row r="259" spans="1:10" ht="13">
      <c r="A259" s="202"/>
      <c r="I259" s="149"/>
      <c r="J259" s="59"/>
    </row>
    <row r="260" spans="1:10" ht="13">
      <c r="A260" s="202"/>
      <c r="I260" s="149"/>
      <c r="J260" s="59"/>
    </row>
    <row r="261" spans="1:10" ht="13">
      <c r="A261" s="202"/>
      <c r="I261" s="149"/>
      <c r="J261" s="59"/>
    </row>
    <row r="262" spans="1:10" ht="13">
      <c r="A262" s="202"/>
      <c r="I262" s="149"/>
      <c r="J262" s="59"/>
    </row>
    <row r="263" spans="1:10" ht="13">
      <c r="A263" s="202"/>
      <c r="I263" s="149"/>
      <c r="J263" s="59"/>
    </row>
    <row r="264" spans="1:10" ht="13">
      <c r="A264" s="202"/>
      <c r="I264" s="149"/>
      <c r="J264" s="59"/>
    </row>
    <row r="265" spans="1:10" ht="13">
      <c r="A265" s="202"/>
      <c r="I265" s="149"/>
      <c r="J265" s="59"/>
    </row>
    <row r="266" spans="1:10" ht="13">
      <c r="A266" s="202"/>
      <c r="I266" s="149"/>
      <c r="J266" s="59"/>
    </row>
    <row r="267" spans="1:10" ht="13">
      <c r="A267" s="202"/>
      <c r="I267" s="149"/>
      <c r="J267" s="59"/>
    </row>
    <row r="268" spans="1:10" ht="13">
      <c r="A268" s="202"/>
      <c r="I268" s="149"/>
      <c r="J268" s="59"/>
    </row>
    <row r="269" spans="1:10" ht="13">
      <c r="A269" s="202"/>
      <c r="I269" s="149"/>
      <c r="J269" s="59"/>
    </row>
    <row r="270" spans="1:10" ht="13">
      <c r="A270" s="202"/>
      <c r="I270" s="149"/>
      <c r="J270" s="59"/>
    </row>
    <row r="271" spans="1:10" ht="13">
      <c r="A271" s="202"/>
      <c r="I271" s="149"/>
      <c r="J271" s="59"/>
    </row>
    <row r="272" spans="1:10" ht="13">
      <c r="A272" s="202"/>
      <c r="I272" s="149"/>
      <c r="J272" s="59"/>
    </row>
    <row r="273" spans="1:10" ht="13">
      <c r="A273" s="202"/>
      <c r="I273" s="149"/>
      <c r="J273" s="59"/>
    </row>
    <row r="274" spans="1:10" ht="13">
      <c r="A274" s="202"/>
      <c r="I274" s="149"/>
      <c r="J274" s="59"/>
    </row>
    <row r="275" spans="1:10" ht="13">
      <c r="A275" s="202"/>
      <c r="I275" s="149"/>
      <c r="J275" s="59"/>
    </row>
    <row r="276" spans="1:10" ht="13">
      <c r="A276" s="202"/>
      <c r="I276" s="149"/>
      <c r="J276" s="59"/>
    </row>
    <row r="277" spans="1:10" ht="13">
      <c r="A277" s="202"/>
      <c r="I277" s="149"/>
      <c r="J277" s="59"/>
    </row>
    <row r="278" spans="1:10" ht="13">
      <c r="A278" s="202"/>
      <c r="I278" s="149"/>
      <c r="J278" s="59"/>
    </row>
    <row r="279" spans="1:10" ht="13">
      <c r="A279" s="202"/>
      <c r="I279" s="149"/>
      <c r="J279" s="59"/>
    </row>
    <row r="280" spans="1:10" ht="13">
      <c r="A280" s="202"/>
      <c r="I280" s="149"/>
      <c r="J280" s="59"/>
    </row>
    <row r="281" spans="1:10" ht="13">
      <c r="A281" s="202"/>
      <c r="I281" s="149"/>
      <c r="J281" s="59"/>
    </row>
    <row r="282" spans="1:10" ht="13">
      <c r="A282" s="202"/>
      <c r="I282" s="149"/>
      <c r="J282" s="59"/>
    </row>
    <row r="283" spans="1:10" ht="13">
      <c r="A283" s="202"/>
      <c r="I283" s="149"/>
      <c r="J283" s="59"/>
    </row>
    <row r="284" spans="1:10" ht="13">
      <c r="A284" s="202"/>
      <c r="I284" s="149"/>
      <c r="J284" s="59"/>
    </row>
    <row r="285" spans="1:10" ht="13">
      <c r="A285" s="202"/>
      <c r="I285" s="149"/>
      <c r="J285" s="59"/>
    </row>
    <row r="286" spans="1:10" ht="13">
      <c r="A286" s="202"/>
      <c r="I286" s="149"/>
      <c r="J286" s="59"/>
    </row>
    <row r="287" spans="1:10" ht="13">
      <c r="A287" s="202"/>
      <c r="I287" s="149"/>
      <c r="J287" s="59"/>
    </row>
    <row r="288" spans="1:10" ht="13">
      <c r="A288" s="202"/>
      <c r="I288" s="149"/>
      <c r="J288" s="59"/>
    </row>
    <row r="289" spans="1:10" ht="13">
      <c r="A289" s="202"/>
      <c r="I289" s="149"/>
      <c r="J289" s="59"/>
    </row>
    <row r="290" spans="1:10" ht="13">
      <c r="A290" s="202"/>
      <c r="I290" s="149"/>
      <c r="J290" s="59"/>
    </row>
    <row r="291" spans="1:10" ht="13">
      <c r="A291" s="202"/>
      <c r="I291" s="149"/>
      <c r="J291" s="59"/>
    </row>
    <row r="292" spans="1:10" ht="13">
      <c r="A292" s="202"/>
      <c r="I292" s="149"/>
      <c r="J292" s="59"/>
    </row>
    <row r="293" spans="1:10" ht="13">
      <c r="A293" s="202"/>
      <c r="I293" s="149"/>
      <c r="J293" s="59"/>
    </row>
    <row r="294" spans="1:10" ht="13">
      <c r="A294" s="202"/>
      <c r="I294" s="149"/>
      <c r="J294" s="59"/>
    </row>
    <row r="295" spans="1:10" ht="13">
      <c r="A295" s="202"/>
      <c r="I295" s="149"/>
      <c r="J295" s="59"/>
    </row>
    <row r="296" spans="1:10" ht="13">
      <c r="A296" s="202"/>
      <c r="I296" s="149"/>
      <c r="J296" s="59"/>
    </row>
    <row r="297" spans="1:10" ht="13">
      <c r="A297" s="202"/>
      <c r="I297" s="149"/>
      <c r="J297" s="59"/>
    </row>
    <row r="298" spans="1:10" ht="13">
      <c r="A298" s="202"/>
      <c r="I298" s="149"/>
      <c r="J298" s="59"/>
    </row>
    <row r="299" spans="1:10" ht="13">
      <c r="A299" s="202"/>
      <c r="I299" s="149"/>
      <c r="J299" s="59"/>
    </row>
    <row r="300" spans="1:10" ht="13">
      <c r="A300" s="202"/>
      <c r="I300" s="149"/>
      <c r="J300" s="59"/>
    </row>
    <row r="301" spans="1:10" ht="13">
      <c r="A301" s="202"/>
      <c r="I301" s="149"/>
      <c r="J301" s="59"/>
    </row>
    <row r="302" spans="1:10" ht="13">
      <c r="A302" s="202"/>
      <c r="I302" s="149"/>
      <c r="J302" s="59"/>
    </row>
    <row r="303" spans="1:10" ht="13">
      <c r="A303" s="202"/>
      <c r="I303" s="149"/>
      <c r="J303" s="59"/>
    </row>
    <row r="304" spans="1:10" ht="13">
      <c r="A304" s="202"/>
      <c r="I304" s="149"/>
      <c r="J304" s="59"/>
    </row>
    <row r="305" spans="1:10" ht="13">
      <c r="A305" s="202"/>
      <c r="I305" s="149"/>
      <c r="J305" s="59"/>
    </row>
    <row r="306" spans="1:10" ht="13">
      <c r="A306" s="202"/>
      <c r="I306" s="149"/>
      <c r="J306" s="59"/>
    </row>
    <row r="307" spans="1:10" ht="13">
      <c r="A307" s="202"/>
      <c r="I307" s="149"/>
      <c r="J307" s="59"/>
    </row>
    <row r="308" spans="1:10" ht="13">
      <c r="A308" s="202"/>
      <c r="I308" s="149"/>
      <c r="J308" s="59"/>
    </row>
    <row r="309" spans="1:10" ht="13">
      <c r="A309" s="202"/>
      <c r="I309" s="149"/>
      <c r="J309" s="59"/>
    </row>
    <row r="310" spans="1:10" ht="13">
      <c r="A310" s="202"/>
      <c r="I310" s="149"/>
      <c r="J310" s="59"/>
    </row>
    <row r="311" spans="1:10" ht="13">
      <c r="A311" s="202"/>
      <c r="I311" s="149"/>
      <c r="J311" s="59"/>
    </row>
    <row r="312" spans="1:10" ht="13">
      <c r="A312" s="202"/>
      <c r="I312" s="149"/>
      <c r="J312" s="59"/>
    </row>
    <row r="313" spans="1:10" ht="13">
      <c r="A313" s="202"/>
      <c r="I313" s="149"/>
      <c r="J313" s="59"/>
    </row>
    <row r="314" spans="1:10" ht="13">
      <c r="A314" s="202"/>
      <c r="I314" s="149"/>
      <c r="J314" s="59"/>
    </row>
    <row r="315" spans="1:10" ht="13">
      <c r="A315" s="202"/>
      <c r="I315" s="149"/>
      <c r="J315" s="59"/>
    </row>
    <row r="316" spans="1:10" ht="13">
      <c r="A316" s="202"/>
      <c r="I316" s="149"/>
      <c r="J316" s="59"/>
    </row>
    <row r="317" spans="1:10" ht="13">
      <c r="A317" s="202"/>
      <c r="I317" s="149"/>
      <c r="J317" s="59"/>
    </row>
    <row r="318" spans="1:10" ht="13">
      <c r="A318" s="202"/>
      <c r="I318" s="149"/>
      <c r="J318" s="59"/>
    </row>
    <row r="319" spans="1:10" ht="13">
      <c r="A319" s="202"/>
      <c r="I319" s="149"/>
      <c r="J319" s="59"/>
    </row>
    <row r="320" spans="1:10" ht="13">
      <c r="A320" s="202"/>
      <c r="I320" s="149"/>
      <c r="J320" s="59"/>
    </row>
    <row r="321" spans="1:10" ht="13">
      <c r="A321" s="202"/>
      <c r="I321" s="149"/>
      <c r="J321" s="59"/>
    </row>
    <row r="322" spans="1:10" ht="13">
      <c r="A322" s="202"/>
      <c r="I322" s="149"/>
      <c r="J322" s="59"/>
    </row>
    <row r="323" spans="1:10" ht="13">
      <c r="A323" s="202"/>
      <c r="I323" s="149"/>
      <c r="J323" s="59"/>
    </row>
    <row r="324" spans="1:10" ht="13">
      <c r="A324" s="202"/>
      <c r="I324" s="149"/>
      <c r="J324" s="59"/>
    </row>
    <row r="325" spans="1:10" ht="13">
      <c r="A325" s="202"/>
      <c r="I325" s="149"/>
      <c r="J325" s="59"/>
    </row>
    <row r="326" spans="1:10" ht="13">
      <c r="A326" s="202"/>
      <c r="I326" s="149"/>
      <c r="J326" s="59"/>
    </row>
    <row r="327" spans="1:10" ht="13">
      <c r="A327" s="202"/>
      <c r="I327" s="149"/>
      <c r="J327" s="59"/>
    </row>
    <row r="328" spans="1:10" ht="13">
      <c r="A328" s="202"/>
      <c r="I328" s="149"/>
      <c r="J328" s="59"/>
    </row>
    <row r="329" spans="1:10" ht="13">
      <c r="A329" s="202"/>
      <c r="I329" s="149"/>
      <c r="J329" s="59"/>
    </row>
    <row r="330" spans="1:10" ht="13">
      <c r="A330" s="202"/>
      <c r="I330" s="149"/>
      <c r="J330" s="59"/>
    </row>
    <row r="331" spans="1:10" ht="13">
      <c r="A331" s="202"/>
      <c r="I331" s="149"/>
      <c r="J331" s="59"/>
    </row>
    <row r="332" spans="1:10" ht="13">
      <c r="A332" s="202"/>
      <c r="I332" s="149"/>
      <c r="J332" s="59"/>
    </row>
    <row r="333" spans="1:10" ht="13">
      <c r="A333" s="202"/>
      <c r="I333" s="149"/>
      <c r="J333" s="59"/>
    </row>
    <row r="334" spans="1:10" ht="13">
      <c r="A334" s="202"/>
      <c r="I334" s="149"/>
      <c r="J334" s="59"/>
    </row>
    <row r="335" spans="1:10" ht="13">
      <c r="A335" s="202"/>
      <c r="I335" s="149"/>
      <c r="J335" s="59"/>
    </row>
    <row r="336" spans="1:10" ht="13">
      <c r="A336" s="202"/>
      <c r="I336" s="149"/>
      <c r="J336" s="59"/>
    </row>
    <row r="337" spans="1:10" ht="13">
      <c r="A337" s="202"/>
      <c r="I337" s="149"/>
      <c r="J337" s="59"/>
    </row>
    <row r="338" spans="1:10" ht="13">
      <c r="A338" s="202"/>
      <c r="I338" s="149"/>
      <c r="J338" s="59"/>
    </row>
    <row r="339" spans="1:10" ht="13">
      <c r="A339" s="202"/>
      <c r="I339" s="149"/>
      <c r="J339" s="59"/>
    </row>
    <row r="340" spans="1:10" ht="13">
      <c r="A340" s="202"/>
      <c r="I340" s="149"/>
      <c r="J340" s="59"/>
    </row>
    <row r="341" spans="1:10" ht="13">
      <c r="A341" s="202"/>
      <c r="I341" s="149"/>
      <c r="J341" s="59"/>
    </row>
    <row r="342" spans="1:10" ht="13">
      <c r="A342" s="202"/>
      <c r="I342" s="149"/>
      <c r="J342" s="59"/>
    </row>
    <row r="343" spans="1:10" ht="13">
      <c r="A343" s="202"/>
      <c r="I343" s="149"/>
      <c r="J343" s="59"/>
    </row>
    <row r="344" spans="1:10" ht="13">
      <c r="A344" s="202"/>
      <c r="I344" s="149"/>
      <c r="J344" s="59"/>
    </row>
    <row r="345" spans="1:10" ht="13">
      <c r="A345" s="202"/>
      <c r="I345" s="149"/>
      <c r="J345" s="59"/>
    </row>
    <row r="346" spans="1:10" ht="13">
      <c r="A346" s="202"/>
      <c r="I346" s="149"/>
      <c r="J346" s="59"/>
    </row>
    <row r="347" spans="1:10" ht="13">
      <c r="A347" s="202"/>
      <c r="I347" s="149"/>
      <c r="J347" s="59"/>
    </row>
    <row r="348" spans="1:10" ht="13">
      <c r="A348" s="202"/>
      <c r="I348" s="149"/>
      <c r="J348" s="59"/>
    </row>
    <row r="349" spans="1:10" ht="13">
      <c r="A349" s="202"/>
      <c r="I349" s="149"/>
      <c r="J349" s="59"/>
    </row>
    <row r="350" spans="1:10" ht="13">
      <c r="A350" s="202"/>
      <c r="I350" s="149"/>
      <c r="J350" s="59"/>
    </row>
    <row r="351" spans="1:10" ht="13">
      <c r="A351" s="202"/>
      <c r="I351" s="149"/>
      <c r="J351" s="59"/>
    </row>
    <row r="352" spans="1:10" ht="13">
      <c r="A352" s="202"/>
      <c r="I352" s="149"/>
      <c r="J352" s="59"/>
    </row>
    <row r="353" spans="1:10" ht="13">
      <c r="A353" s="202"/>
      <c r="I353" s="149"/>
      <c r="J353" s="59"/>
    </row>
    <row r="354" spans="1:10" ht="13">
      <c r="A354" s="202"/>
      <c r="I354" s="149"/>
      <c r="J354" s="59"/>
    </row>
    <row r="355" spans="1:10" ht="13">
      <c r="A355" s="202"/>
      <c r="I355" s="149"/>
      <c r="J355" s="59"/>
    </row>
    <row r="356" spans="1:10" ht="13">
      <c r="A356" s="202"/>
      <c r="I356" s="149"/>
      <c r="J356" s="59"/>
    </row>
    <row r="357" spans="1:10" ht="13">
      <c r="A357" s="202"/>
      <c r="I357" s="149"/>
      <c r="J357" s="59"/>
    </row>
    <row r="358" spans="1:10" ht="13">
      <c r="A358" s="202"/>
      <c r="I358" s="149"/>
      <c r="J358" s="59"/>
    </row>
    <row r="359" spans="1:10" ht="13">
      <c r="A359" s="202"/>
      <c r="I359" s="149"/>
      <c r="J359" s="59"/>
    </row>
    <row r="360" spans="1:10" ht="13">
      <c r="A360" s="202"/>
      <c r="I360" s="149"/>
      <c r="J360" s="59"/>
    </row>
    <row r="361" spans="1:10" ht="13">
      <c r="A361" s="202"/>
      <c r="I361" s="149"/>
      <c r="J361" s="59"/>
    </row>
    <row r="362" spans="1:10" ht="13">
      <c r="A362" s="202"/>
      <c r="I362" s="149"/>
      <c r="J362" s="59"/>
    </row>
    <row r="363" spans="1:10" ht="13">
      <c r="A363" s="202"/>
      <c r="I363" s="149"/>
      <c r="J363" s="59"/>
    </row>
    <row r="364" spans="1:10" ht="13">
      <c r="A364" s="202"/>
      <c r="I364" s="149"/>
      <c r="J364" s="59"/>
    </row>
    <row r="365" spans="1:10" ht="13">
      <c r="A365" s="202"/>
      <c r="I365" s="149"/>
      <c r="J365" s="59"/>
    </row>
    <row r="366" spans="1:10" ht="13">
      <c r="A366" s="202"/>
      <c r="I366" s="149"/>
      <c r="J366" s="59"/>
    </row>
    <row r="367" spans="1:10" ht="13">
      <c r="A367" s="202"/>
      <c r="I367" s="149"/>
      <c r="J367" s="59"/>
    </row>
    <row r="368" spans="1:10" ht="13">
      <c r="A368" s="202"/>
      <c r="I368" s="149"/>
      <c r="J368" s="59"/>
    </row>
    <row r="369" spans="1:10" ht="13">
      <c r="A369" s="202"/>
      <c r="I369" s="149"/>
      <c r="J369" s="59"/>
    </row>
    <row r="370" spans="1:10" ht="13">
      <c r="A370" s="202"/>
      <c r="I370" s="149"/>
      <c r="J370" s="59"/>
    </row>
    <row r="371" spans="1:10" ht="13">
      <c r="A371" s="202"/>
      <c r="I371" s="149"/>
      <c r="J371" s="59"/>
    </row>
    <row r="372" spans="1:10" ht="13">
      <c r="A372" s="202"/>
      <c r="I372" s="149"/>
      <c r="J372" s="59"/>
    </row>
    <row r="373" spans="1:10" ht="13">
      <c r="A373" s="202"/>
      <c r="I373" s="149"/>
      <c r="J373" s="59"/>
    </row>
    <row r="374" spans="1:10" ht="13">
      <c r="A374" s="202"/>
      <c r="I374" s="149"/>
      <c r="J374" s="59"/>
    </row>
    <row r="375" spans="1:10" ht="13">
      <c r="A375" s="202"/>
      <c r="I375" s="149"/>
      <c r="J375" s="59"/>
    </row>
    <row r="376" spans="1:10" ht="13">
      <c r="A376" s="202"/>
      <c r="I376" s="149"/>
      <c r="J376" s="59"/>
    </row>
    <row r="377" spans="1:10" ht="13">
      <c r="A377" s="202"/>
      <c r="I377" s="149"/>
      <c r="J377" s="59"/>
    </row>
    <row r="378" spans="1:10" ht="13">
      <c r="A378" s="202"/>
      <c r="I378" s="149"/>
      <c r="J378" s="59"/>
    </row>
    <row r="379" spans="1:10" ht="13">
      <c r="A379" s="202"/>
      <c r="I379" s="149"/>
      <c r="J379" s="59"/>
    </row>
    <row r="380" spans="1:10" ht="13">
      <c r="A380" s="202"/>
      <c r="I380" s="149"/>
      <c r="J380" s="59"/>
    </row>
    <row r="381" spans="1:10" ht="13">
      <c r="A381" s="202"/>
      <c r="I381" s="149"/>
      <c r="J381" s="59"/>
    </row>
    <row r="382" spans="1:10" ht="13">
      <c r="A382" s="202"/>
      <c r="I382" s="149"/>
      <c r="J382" s="59"/>
    </row>
    <row r="383" spans="1:10" ht="13">
      <c r="A383" s="202"/>
      <c r="I383" s="149"/>
      <c r="J383" s="59"/>
    </row>
    <row r="384" spans="1:10" ht="13">
      <c r="A384" s="202"/>
      <c r="I384" s="149"/>
      <c r="J384" s="59"/>
    </row>
    <row r="385" spans="1:10" ht="13">
      <c r="A385" s="202"/>
      <c r="I385" s="149"/>
      <c r="J385" s="59"/>
    </row>
    <row r="386" spans="1:10" ht="13">
      <c r="A386" s="202"/>
      <c r="I386" s="149"/>
      <c r="J386" s="59"/>
    </row>
    <row r="387" spans="1:10" ht="13">
      <c r="A387" s="202"/>
      <c r="I387" s="149"/>
      <c r="J387" s="59"/>
    </row>
    <row r="388" spans="1:10" ht="13">
      <c r="A388" s="202"/>
      <c r="I388" s="149"/>
      <c r="J388" s="59"/>
    </row>
    <row r="389" spans="1:10" ht="13">
      <c r="A389" s="202"/>
      <c r="I389" s="149"/>
      <c r="J389" s="59"/>
    </row>
    <row r="390" spans="1:10" ht="13">
      <c r="A390" s="202"/>
      <c r="I390" s="149"/>
      <c r="J390" s="59"/>
    </row>
    <row r="391" spans="1:10" ht="13">
      <c r="A391" s="202"/>
      <c r="I391" s="149"/>
      <c r="J391" s="59"/>
    </row>
    <row r="392" spans="1:10" ht="13">
      <c r="A392" s="202"/>
      <c r="I392" s="149"/>
      <c r="J392" s="59"/>
    </row>
    <row r="393" spans="1:10" ht="13">
      <c r="A393" s="202"/>
      <c r="I393" s="149"/>
      <c r="J393" s="59"/>
    </row>
    <row r="394" spans="1:10" ht="13">
      <c r="A394" s="202"/>
      <c r="I394" s="149"/>
      <c r="J394" s="59"/>
    </row>
    <row r="395" spans="1:10" ht="13">
      <c r="A395" s="202"/>
      <c r="I395" s="149"/>
      <c r="J395" s="59"/>
    </row>
    <row r="396" spans="1:10" ht="13">
      <c r="A396" s="202"/>
      <c r="I396" s="149"/>
      <c r="J396" s="59"/>
    </row>
    <row r="397" spans="1:10" ht="13">
      <c r="A397" s="202"/>
      <c r="I397" s="149"/>
      <c r="J397" s="59"/>
    </row>
    <row r="398" spans="1:10" ht="13">
      <c r="A398" s="202"/>
      <c r="I398" s="149"/>
      <c r="J398" s="59"/>
    </row>
    <row r="399" spans="1:10" ht="13">
      <c r="A399" s="202"/>
      <c r="I399" s="149"/>
      <c r="J399" s="59"/>
    </row>
    <row r="400" spans="1:10" ht="13">
      <c r="A400" s="202"/>
      <c r="I400" s="149"/>
      <c r="J400" s="59"/>
    </row>
    <row r="401" spans="1:10" ht="13">
      <c r="A401" s="202"/>
      <c r="I401" s="149"/>
      <c r="J401" s="59"/>
    </row>
    <row r="402" spans="1:10" ht="13">
      <c r="A402" s="202"/>
      <c r="I402" s="149"/>
      <c r="J402" s="59"/>
    </row>
    <row r="403" spans="1:10" ht="13">
      <c r="A403" s="202"/>
      <c r="I403" s="149"/>
      <c r="J403" s="59"/>
    </row>
    <row r="404" spans="1:10" ht="13">
      <c r="A404" s="202"/>
      <c r="I404" s="149"/>
      <c r="J404" s="59"/>
    </row>
    <row r="405" spans="1:10" ht="13">
      <c r="A405" s="202"/>
      <c r="I405" s="149"/>
      <c r="J405" s="59"/>
    </row>
    <row r="406" spans="1:10" ht="13">
      <c r="A406" s="202"/>
      <c r="I406" s="149"/>
      <c r="J406" s="59"/>
    </row>
    <row r="407" spans="1:10" ht="13">
      <c r="A407" s="202"/>
      <c r="I407" s="149"/>
      <c r="J407" s="59"/>
    </row>
    <row r="408" spans="1:10" ht="13">
      <c r="A408" s="202"/>
      <c r="I408" s="149"/>
      <c r="J408" s="59"/>
    </row>
    <row r="409" spans="1:10" ht="13">
      <c r="A409" s="202"/>
      <c r="I409" s="149"/>
      <c r="J409" s="59"/>
    </row>
    <row r="410" spans="1:10" ht="13">
      <c r="A410" s="202"/>
      <c r="I410" s="149"/>
      <c r="J410" s="59"/>
    </row>
    <row r="411" spans="1:10" ht="13">
      <c r="A411" s="202"/>
      <c r="I411" s="149"/>
      <c r="J411" s="59"/>
    </row>
    <row r="412" spans="1:10" ht="13">
      <c r="A412" s="202"/>
      <c r="I412" s="149"/>
      <c r="J412" s="59"/>
    </row>
    <row r="413" spans="1:10" ht="13">
      <c r="A413" s="202"/>
      <c r="I413" s="149"/>
      <c r="J413" s="59"/>
    </row>
    <row r="414" spans="1:10" ht="13">
      <c r="A414" s="202"/>
      <c r="I414" s="149"/>
      <c r="J414" s="59"/>
    </row>
    <row r="415" spans="1:10" ht="13">
      <c r="A415" s="202"/>
      <c r="I415" s="149"/>
      <c r="J415" s="59"/>
    </row>
    <row r="416" spans="1:10" ht="13">
      <c r="A416" s="202"/>
      <c r="I416" s="149"/>
      <c r="J416" s="59"/>
    </row>
    <row r="417" spans="1:10" ht="13">
      <c r="A417" s="202"/>
      <c r="I417" s="149"/>
      <c r="J417" s="59"/>
    </row>
    <row r="418" spans="1:10" ht="13">
      <c r="A418" s="202"/>
      <c r="I418" s="149"/>
      <c r="J418" s="59"/>
    </row>
    <row r="419" spans="1:10" ht="13">
      <c r="A419" s="202"/>
      <c r="I419" s="149"/>
      <c r="J419" s="59"/>
    </row>
    <row r="420" spans="1:10" ht="13">
      <c r="A420" s="202"/>
      <c r="I420" s="149"/>
      <c r="J420" s="59"/>
    </row>
    <row r="421" spans="1:10" ht="13">
      <c r="A421" s="202"/>
      <c r="I421" s="149"/>
      <c r="J421" s="59"/>
    </row>
    <row r="422" spans="1:10" ht="13">
      <c r="A422" s="202"/>
      <c r="I422" s="149"/>
      <c r="J422" s="59"/>
    </row>
    <row r="423" spans="1:10" ht="13">
      <c r="A423" s="202"/>
      <c r="I423" s="149"/>
      <c r="J423" s="59"/>
    </row>
    <row r="424" spans="1:10" ht="13">
      <c r="A424" s="202"/>
      <c r="I424" s="149"/>
      <c r="J424" s="59"/>
    </row>
    <row r="425" spans="1:10" ht="13">
      <c r="A425" s="202"/>
      <c r="I425" s="149"/>
      <c r="J425" s="59"/>
    </row>
    <row r="426" spans="1:10" ht="13">
      <c r="A426" s="202"/>
      <c r="I426" s="149"/>
      <c r="J426" s="59"/>
    </row>
    <row r="427" spans="1:10" ht="13">
      <c r="A427" s="202"/>
      <c r="I427" s="149"/>
      <c r="J427" s="59"/>
    </row>
    <row r="428" spans="1:10" ht="13">
      <c r="A428" s="202"/>
      <c r="I428" s="149"/>
      <c r="J428" s="59"/>
    </row>
    <row r="429" spans="1:10" ht="13">
      <c r="A429" s="202"/>
      <c r="I429" s="149"/>
      <c r="J429" s="59"/>
    </row>
    <row r="430" spans="1:10" ht="13">
      <c r="A430" s="202"/>
      <c r="I430" s="149"/>
      <c r="J430" s="59"/>
    </row>
    <row r="431" spans="1:10" ht="13">
      <c r="A431" s="202"/>
      <c r="I431" s="149"/>
      <c r="J431" s="59"/>
    </row>
    <row r="432" spans="1:10" ht="13">
      <c r="A432" s="202"/>
      <c r="I432" s="149"/>
      <c r="J432" s="59"/>
    </row>
    <row r="433" spans="1:10" ht="13">
      <c r="A433" s="202"/>
      <c r="I433" s="149"/>
      <c r="J433" s="59"/>
    </row>
    <row r="434" spans="1:10" ht="13">
      <c r="A434" s="202"/>
      <c r="I434" s="149"/>
      <c r="J434" s="59"/>
    </row>
    <row r="435" spans="1:10" ht="13">
      <c r="A435" s="202"/>
      <c r="I435" s="149"/>
      <c r="J435" s="59"/>
    </row>
    <row r="436" spans="1:10" ht="13">
      <c r="A436" s="202"/>
      <c r="I436" s="149"/>
      <c r="J436" s="59"/>
    </row>
    <row r="437" spans="1:10" ht="13">
      <c r="A437" s="202"/>
      <c r="I437" s="149"/>
      <c r="J437" s="59"/>
    </row>
    <row r="438" spans="1:10" ht="13">
      <c r="A438" s="202"/>
      <c r="I438" s="149"/>
      <c r="J438" s="59"/>
    </row>
    <row r="439" spans="1:10" ht="13">
      <c r="A439" s="202"/>
      <c r="I439" s="149"/>
      <c r="J439" s="59"/>
    </row>
    <row r="440" spans="1:10" ht="13">
      <c r="A440" s="202"/>
      <c r="I440" s="149"/>
      <c r="J440" s="59"/>
    </row>
    <row r="441" spans="1:10" ht="13">
      <c r="A441" s="202"/>
      <c r="I441" s="149"/>
      <c r="J441" s="59"/>
    </row>
    <row r="442" spans="1:10" ht="13">
      <c r="A442" s="202"/>
      <c r="I442" s="149"/>
      <c r="J442" s="59"/>
    </row>
    <row r="443" spans="1:10" ht="13">
      <c r="A443" s="202"/>
      <c r="I443" s="149"/>
      <c r="J443" s="59"/>
    </row>
    <row r="444" spans="1:10" ht="13">
      <c r="A444" s="202"/>
      <c r="I444" s="149"/>
      <c r="J444" s="59"/>
    </row>
    <row r="445" spans="1:10" ht="13">
      <c r="A445" s="202"/>
      <c r="I445" s="149"/>
      <c r="J445" s="59"/>
    </row>
    <row r="446" spans="1:10" ht="13">
      <c r="A446" s="202"/>
      <c r="I446" s="149"/>
      <c r="J446" s="59"/>
    </row>
    <row r="447" spans="1:10" ht="13">
      <c r="A447" s="202"/>
      <c r="I447" s="149"/>
      <c r="J447" s="59"/>
    </row>
    <row r="448" spans="1:10" ht="13">
      <c r="A448" s="202"/>
      <c r="I448" s="149"/>
      <c r="J448" s="59"/>
    </row>
    <row r="449" spans="1:10" ht="13">
      <c r="A449" s="202"/>
      <c r="I449" s="149"/>
      <c r="J449" s="59"/>
    </row>
    <row r="450" spans="1:10" ht="13">
      <c r="A450" s="202"/>
      <c r="I450" s="149"/>
      <c r="J450" s="59"/>
    </row>
    <row r="451" spans="1:10" ht="13">
      <c r="A451" s="202"/>
      <c r="I451" s="149"/>
      <c r="J451" s="59"/>
    </row>
    <row r="452" spans="1:10" ht="13">
      <c r="A452" s="202"/>
      <c r="I452" s="149"/>
      <c r="J452" s="59"/>
    </row>
    <row r="453" spans="1:10" ht="13">
      <c r="A453" s="202"/>
      <c r="I453" s="149"/>
      <c r="J453" s="59"/>
    </row>
    <row r="454" spans="1:10" ht="13">
      <c r="A454" s="202"/>
      <c r="I454" s="149"/>
      <c r="J454" s="59"/>
    </row>
    <row r="455" spans="1:10" ht="13">
      <c r="A455" s="202"/>
      <c r="I455" s="149"/>
      <c r="J455" s="59"/>
    </row>
    <row r="456" spans="1:10" ht="13">
      <c r="A456" s="202"/>
      <c r="I456" s="149"/>
      <c r="J456" s="59"/>
    </row>
    <row r="457" spans="1:10" ht="13">
      <c r="A457" s="202"/>
      <c r="I457" s="149"/>
      <c r="J457" s="59"/>
    </row>
    <row r="458" spans="1:10" ht="13">
      <c r="A458" s="202"/>
      <c r="I458" s="149"/>
      <c r="J458" s="59"/>
    </row>
    <row r="459" spans="1:10" ht="13">
      <c r="A459" s="202"/>
      <c r="I459" s="149"/>
      <c r="J459" s="59"/>
    </row>
    <row r="460" spans="1:10" ht="13">
      <c r="A460" s="202"/>
      <c r="I460" s="149"/>
      <c r="J460" s="59"/>
    </row>
    <row r="461" spans="1:10" ht="13">
      <c r="A461" s="202"/>
      <c r="I461" s="149"/>
      <c r="J461" s="59"/>
    </row>
    <row r="462" spans="1:10" ht="13">
      <c r="A462" s="202"/>
      <c r="I462" s="149"/>
      <c r="J462" s="59"/>
    </row>
    <row r="463" spans="1:10" ht="13">
      <c r="A463" s="202"/>
      <c r="I463" s="149"/>
      <c r="J463" s="59"/>
    </row>
    <row r="464" spans="1:10" ht="13">
      <c r="A464" s="202"/>
      <c r="I464" s="149"/>
      <c r="J464" s="59"/>
    </row>
    <row r="465" spans="1:10" ht="13">
      <c r="A465" s="202"/>
      <c r="I465" s="149"/>
      <c r="J465" s="59"/>
    </row>
    <row r="466" spans="1:10" ht="13">
      <c r="A466" s="202"/>
      <c r="I466" s="149"/>
      <c r="J466" s="59"/>
    </row>
    <row r="467" spans="1:10" ht="13">
      <c r="A467" s="202"/>
      <c r="I467" s="149"/>
      <c r="J467" s="59"/>
    </row>
    <row r="468" spans="1:10" ht="13">
      <c r="A468" s="202"/>
      <c r="I468" s="149"/>
      <c r="J468" s="59"/>
    </row>
    <row r="469" spans="1:10" ht="13">
      <c r="A469" s="202"/>
      <c r="I469" s="149"/>
      <c r="J469" s="59"/>
    </row>
    <row r="470" spans="1:10" ht="13">
      <c r="A470" s="202"/>
      <c r="I470" s="149"/>
      <c r="J470" s="59"/>
    </row>
    <row r="471" spans="1:10" ht="13">
      <c r="A471" s="202"/>
      <c r="I471" s="149"/>
      <c r="J471" s="59"/>
    </row>
    <row r="472" spans="1:10" ht="13">
      <c r="A472" s="202"/>
      <c r="I472" s="149"/>
      <c r="J472" s="59"/>
    </row>
    <row r="473" spans="1:10" ht="13">
      <c r="A473" s="202"/>
      <c r="I473" s="149"/>
      <c r="J473" s="59"/>
    </row>
    <row r="474" spans="1:10" ht="13">
      <c r="A474" s="202"/>
      <c r="I474" s="149"/>
      <c r="J474" s="59"/>
    </row>
    <row r="475" spans="1:10" ht="13">
      <c r="A475" s="202"/>
      <c r="I475" s="149"/>
      <c r="J475" s="59"/>
    </row>
    <row r="476" spans="1:10" ht="13">
      <c r="A476" s="202"/>
      <c r="I476" s="149"/>
      <c r="J476" s="59"/>
    </row>
    <row r="477" spans="1:10" ht="13">
      <c r="A477" s="202"/>
      <c r="I477" s="149"/>
      <c r="J477" s="59"/>
    </row>
    <row r="478" spans="1:10" ht="13">
      <c r="A478" s="202"/>
      <c r="I478" s="149"/>
      <c r="J478" s="59"/>
    </row>
    <row r="479" spans="1:10" ht="13">
      <c r="A479" s="202"/>
      <c r="I479" s="149"/>
      <c r="J479" s="59"/>
    </row>
    <row r="480" spans="1:10" ht="13">
      <c r="A480" s="202"/>
      <c r="I480" s="149"/>
      <c r="J480" s="59"/>
    </row>
    <row r="481" spans="1:10" ht="13">
      <c r="A481" s="202"/>
      <c r="I481" s="149"/>
      <c r="J481" s="59"/>
    </row>
    <row r="482" spans="1:10" ht="13">
      <c r="A482" s="202"/>
      <c r="I482" s="149"/>
      <c r="J482" s="59"/>
    </row>
    <row r="483" spans="1:10" ht="13">
      <c r="A483" s="202"/>
      <c r="I483" s="149"/>
      <c r="J483" s="59"/>
    </row>
    <row r="484" spans="1:10" ht="13">
      <c r="A484" s="202"/>
      <c r="I484" s="149"/>
      <c r="J484" s="59"/>
    </row>
    <row r="485" spans="1:10" ht="13">
      <c r="A485" s="202"/>
      <c r="I485" s="149"/>
      <c r="J485" s="59"/>
    </row>
    <row r="486" spans="1:10" ht="13">
      <c r="A486" s="202"/>
      <c r="I486" s="149"/>
      <c r="J486" s="59"/>
    </row>
    <row r="487" spans="1:10" ht="13">
      <c r="A487" s="202"/>
      <c r="I487" s="149"/>
      <c r="J487" s="59"/>
    </row>
    <row r="488" spans="1:10" ht="13">
      <c r="A488" s="202"/>
      <c r="I488" s="149"/>
      <c r="J488" s="59"/>
    </row>
    <row r="489" spans="1:10" ht="13">
      <c r="A489" s="202"/>
      <c r="I489" s="149"/>
      <c r="J489" s="59"/>
    </row>
    <row r="490" spans="1:10" ht="13">
      <c r="A490" s="202"/>
      <c r="I490" s="149"/>
      <c r="J490" s="59"/>
    </row>
    <row r="491" spans="1:10" ht="13">
      <c r="A491" s="202"/>
      <c r="I491" s="149"/>
      <c r="J491" s="59"/>
    </row>
    <row r="492" spans="1:10" ht="13">
      <c r="A492" s="202"/>
      <c r="I492" s="149"/>
      <c r="J492" s="59"/>
    </row>
    <row r="493" spans="1:10" ht="13">
      <c r="A493" s="202"/>
      <c r="I493" s="149"/>
      <c r="J493" s="59"/>
    </row>
    <row r="494" spans="1:10" ht="13">
      <c r="A494" s="202"/>
      <c r="I494" s="149"/>
      <c r="J494" s="59"/>
    </row>
    <row r="495" spans="1:10" ht="13">
      <c r="A495" s="202"/>
      <c r="I495" s="149"/>
      <c r="J495" s="59"/>
    </row>
    <row r="496" spans="1:10" ht="13">
      <c r="A496" s="202"/>
      <c r="I496" s="149"/>
      <c r="J496" s="59"/>
    </row>
    <row r="497" spans="1:10" ht="13">
      <c r="A497" s="202"/>
      <c r="I497" s="149"/>
      <c r="J497" s="59"/>
    </row>
    <row r="498" spans="1:10" ht="13">
      <c r="A498" s="202"/>
      <c r="I498" s="149"/>
      <c r="J498" s="59"/>
    </row>
    <row r="499" spans="1:10" ht="13">
      <c r="A499" s="202"/>
      <c r="I499" s="149"/>
      <c r="J499" s="59"/>
    </row>
    <row r="500" spans="1:10" ht="13">
      <c r="A500" s="202"/>
      <c r="I500" s="149"/>
      <c r="J500" s="59"/>
    </row>
    <row r="501" spans="1:10" ht="13">
      <c r="A501" s="202"/>
      <c r="I501" s="149"/>
      <c r="J501" s="59"/>
    </row>
    <row r="502" spans="1:10" ht="13">
      <c r="A502" s="202"/>
      <c r="I502" s="149"/>
      <c r="J502" s="59"/>
    </row>
    <row r="503" spans="1:10" ht="13">
      <c r="A503" s="202"/>
      <c r="I503" s="149"/>
      <c r="J503" s="59"/>
    </row>
    <row r="504" spans="1:10" ht="13">
      <c r="A504" s="202"/>
      <c r="I504" s="149"/>
      <c r="J504" s="59"/>
    </row>
    <row r="505" spans="1:10" ht="13">
      <c r="A505" s="202"/>
      <c r="I505" s="149"/>
      <c r="J505" s="59"/>
    </row>
    <row r="506" spans="1:10" ht="13">
      <c r="A506" s="202"/>
      <c r="I506" s="149"/>
      <c r="J506" s="59"/>
    </row>
    <row r="507" spans="1:10" ht="13">
      <c r="A507" s="202"/>
      <c r="I507" s="149"/>
      <c r="J507" s="59"/>
    </row>
    <row r="508" spans="1:10" ht="13">
      <c r="A508" s="202"/>
      <c r="I508" s="149"/>
      <c r="J508" s="59"/>
    </row>
    <row r="509" spans="1:10" ht="13">
      <c r="A509" s="202"/>
      <c r="I509" s="149"/>
      <c r="J509" s="59"/>
    </row>
    <row r="510" spans="1:10" ht="13">
      <c r="A510" s="202"/>
      <c r="I510" s="149"/>
      <c r="J510" s="59"/>
    </row>
    <row r="511" spans="1:10" ht="13">
      <c r="A511" s="202"/>
      <c r="I511" s="149"/>
      <c r="J511" s="59"/>
    </row>
    <row r="512" spans="1:10" ht="13">
      <c r="A512" s="202"/>
      <c r="I512" s="149"/>
      <c r="J512" s="59"/>
    </row>
    <row r="513" spans="1:10" ht="13">
      <c r="A513" s="202"/>
      <c r="I513" s="149"/>
      <c r="J513" s="59"/>
    </row>
    <row r="514" spans="1:10" ht="13">
      <c r="A514" s="202"/>
      <c r="I514" s="149"/>
      <c r="J514" s="59"/>
    </row>
    <row r="515" spans="1:10" ht="13">
      <c r="A515" s="202"/>
      <c r="I515" s="149"/>
      <c r="J515" s="59"/>
    </row>
    <row r="516" spans="1:10" ht="13">
      <c r="A516" s="202"/>
      <c r="I516" s="149"/>
      <c r="J516" s="59"/>
    </row>
    <row r="517" spans="1:10" ht="13">
      <c r="A517" s="202"/>
      <c r="I517" s="149"/>
      <c r="J517" s="59"/>
    </row>
    <row r="518" spans="1:10" ht="13">
      <c r="A518" s="202"/>
      <c r="I518" s="149"/>
      <c r="J518" s="59"/>
    </row>
    <row r="519" spans="1:10" ht="13">
      <c r="A519" s="202"/>
      <c r="I519" s="149"/>
      <c r="J519" s="59"/>
    </row>
    <row r="520" spans="1:10" ht="13">
      <c r="A520" s="202"/>
      <c r="I520" s="149"/>
      <c r="J520" s="59"/>
    </row>
    <row r="521" spans="1:10" ht="13">
      <c r="A521" s="202"/>
      <c r="I521" s="149"/>
      <c r="J521" s="59"/>
    </row>
    <row r="522" spans="1:10" ht="13">
      <c r="A522" s="202"/>
      <c r="I522" s="149"/>
      <c r="J522" s="59"/>
    </row>
    <row r="523" spans="1:10" ht="13">
      <c r="A523" s="202"/>
      <c r="I523" s="149"/>
      <c r="J523" s="59"/>
    </row>
    <row r="524" spans="1:10" ht="13">
      <c r="A524" s="202"/>
      <c r="I524" s="149"/>
      <c r="J524" s="59"/>
    </row>
    <row r="525" spans="1:10" ht="13">
      <c r="A525" s="202"/>
      <c r="I525" s="149"/>
      <c r="J525" s="59"/>
    </row>
    <row r="526" spans="1:10" ht="13">
      <c r="A526" s="202"/>
      <c r="I526" s="149"/>
      <c r="J526" s="59"/>
    </row>
    <row r="527" spans="1:10" ht="13">
      <c r="A527" s="202"/>
      <c r="I527" s="149"/>
      <c r="J527" s="59"/>
    </row>
    <row r="528" spans="1:10" ht="13">
      <c r="A528" s="202"/>
      <c r="I528" s="149"/>
      <c r="J528" s="59"/>
    </row>
    <row r="529" spans="1:10" ht="13">
      <c r="A529" s="202"/>
      <c r="I529" s="149"/>
      <c r="J529" s="59"/>
    </row>
    <row r="530" spans="1:10" ht="13">
      <c r="A530" s="202"/>
      <c r="I530" s="149"/>
      <c r="J530" s="59"/>
    </row>
    <row r="531" spans="1:10" ht="13">
      <c r="A531" s="202"/>
      <c r="I531" s="149"/>
      <c r="J531" s="59"/>
    </row>
    <row r="532" spans="1:10" ht="13">
      <c r="A532" s="202"/>
      <c r="I532" s="149"/>
      <c r="J532" s="59"/>
    </row>
    <row r="533" spans="1:10" ht="13">
      <c r="A533" s="202"/>
      <c r="I533" s="149"/>
      <c r="J533" s="59"/>
    </row>
    <row r="534" spans="1:10" ht="13">
      <c r="A534" s="202"/>
      <c r="I534" s="149"/>
      <c r="J534" s="59"/>
    </row>
    <row r="535" spans="1:10" ht="13">
      <c r="A535" s="202"/>
      <c r="I535" s="149"/>
      <c r="J535" s="59"/>
    </row>
    <row r="536" spans="1:10" ht="13">
      <c r="A536" s="202"/>
      <c r="I536" s="149"/>
      <c r="J536" s="59"/>
    </row>
    <row r="537" spans="1:10" ht="13">
      <c r="A537" s="202"/>
      <c r="I537" s="149"/>
      <c r="J537" s="59"/>
    </row>
    <row r="538" spans="1:10" ht="13">
      <c r="A538" s="202"/>
      <c r="I538" s="149"/>
      <c r="J538" s="59"/>
    </row>
    <row r="539" spans="1:10" ht="13">
      <c r="A539" s="202"/>
      <c r="I539" s="149"/>
      <c r="J539" s="59"/>
    </row>
    <row r="540" spans="1:10" ht="13">
      <c r="A540" s="202"/>
      <c r="I540" s="149"/>
      <c r="J540" s="59"/>
    </row>
    <row r="541" spans="1:10" ht="13">
      <c r="A541" s="202"/>
      <c r="I541" s="149"/>
      <c r="J541" s="59"/>
    </row>
    <row r="542" spans="1:10" ht="13">
      <c r="A542" s="202"/>
      <c r="I542" s="149"/>
      <c r="J542" s="59"/>
    </row>
    <row r="543" spans="1:10" ht="13">
      <c r="A543" s="202"/>
      <c r="I543" s="149"/>
      <c r="J543" s="59"/>
    </row>
    <row r="544" spans="1:10" ht="13">
      <c r="A544" s="202"/>
      <c r="I544" s="149"/>
      <c r="J544" s="59"/>
    </row>
    <row r="545" spans="1:10" ht="13">
      <c r="A545" s="202"/>
      <c r="I545" s="149"/>
      <c r="J545" s="59"/>
    </row>
    <row r="546" spans="1:10" ht="13">
      <c r="A546" s="202"/>
      <c r="I546" s="149"/>
      <c r="J546" s="59"/>
    </row>
    <row r="547" spans="1:10" ht="13">
      <c r="A547" s="202"/>
      <c r="I547" s="149"/>
      <c r="J547" s="59"/>
    </row>
    <row r="548" spans="1:10" ht="13">
      <c r="A548" s="202"/>
      <c r="I548" s="149"/>
      <c r="J548" s="59"/>
    </row>
    <row r="549" spans="1:10" ht="13">
      <c r="A549" s="202"/>
      <c r="I549" s="149"/>
      <c r="J549" s="59"/>
    </row>
    <row r="550" spans="1:10" ht="13">
      <c r="A550" s="202"/>
      <c r="I550" s="149"/>
      <c r="J550" s="59"/>
    </row>
    <row r="551" spans="1:10" ht="13">
      <c r="A551" s="202"/>
      <c r="I551" s="149"/>
      <c r="J551" s="59"/>
    </row>
    <row r="552" spans="1:10" ht="13">
      <c r="A552" s="202"/>
      <c r="I552" s="149"/>
      <c r="J552" s="59"/>
    </row>
    <row r="553" spans="1:10" ht="13">
      <c r="A553" s="202"/>
      <c r="I553" s="149"/>
      <c r="J553" s="59"/>
    </row>
    <row r="554" spans="1:10" ht="13">
      <c r="A554" s="202"/>
      <c r="I554" s="149"/>
      <c r="J554" s="59"/>
    </row>
    <row r="555" spans="1:10" ht="13">
      <c r="A555" s="202"/>
      <c r="I555" s="149"/>
      <c r="J555" s="59"/>
    </row>
    <row r="556" spans="1:10" ht="13">
      <c r="A556" s="202"/>
      <c r="I556" s="149"/>
      <c r="J556" s="59"/>
    </row>
    <row r="557" spans="1:10" ht="13">
      <c r="A557" s="202"/>
      <c r="I557" s="149"/>
      <c r="J557" s="59"/>
    </row>
    <row r="558" spans="1:10" ht="13">
      <c r="A558" s="202"/>
      <c r="I558" s="149"/>
      <c r="J558" s="59"/>
    </row>
    <row r="559" spans="1:10" ht="13">
      <c r="A559" s="202"/>
      <c r="I559" s="149"/>
      <c r="J559" s="59"/>
    </row>
    <row r="560" spans="1:10" ht="13">
      <c r="A560" s="202"/>
      <c r="I560" s="149"/>
      <c r="J560" s="59"/>
    </row>
    <row r="561" spans="1:10" ht="13">
      <c r="A561" s="202"/>
      <c r="I561" s="149"/>
      <c r="J561" s="59"/>
    </row>
    <row r="562" spans="1:10" ht="13">
      <c r="A562" s="202"/>
      <c r="I562" s="149"/>
      <c r="J562" s="59"/>
    </row>
    <row r="563" spans="1:10" ht="13">
      <c r="A563" s="202"/>
      <c r="I563" s="149"/>
      <c r="J563" s="59"/>
    </row>
    <row r="564" spans="1:10" ht="13">
      <c r="A564" s="202"/>
      <c r="I564" s="149"/>
      <c r="J564" s="59"/>
    </row>
    <row r="565" spans="1:10" ht="13">
      <c r="A565" s="202"/>
      <c r="I565" s="149"/>
      <c r="J565" s="59"/>
    </row>
    <row r="566" spans="1:10" ht="13">
      <c r="A566" s="202"/>
      <c r="I566" s="149"/>
      <c r="J566" s="59"/>
    </row>
    <row r="567" spans="1:10" ht="13">
      <c r="A567" s="202"/>
      <c r="I567" s="149"/>
      <c r="J567" s="59"/>
    </row>
    <row r="568" spans="1:10" ht="13">
      <c r="A568" s="202"/>
      <c r="I568" s="149"/>
      <c r="J568" s="59"/>
    </row>
    <row r="569" spans="1:10" ht="13">
      <c r="A569" s="202"/>
      <c r="I569" s="149"/>
      <c r="J569" s="59"/>
    </row>
    <row r="570" spans="1:10" ht="13">
      <c r="A570" s="202"/>
      <c r="I570" s="149"/>
      <c r="J570" s="59"/>
    </row>
    <row r="571" spans="1:10" ht="13">
      <c r="A571" s="202"/>
      <c r="I571" s="149"/>
      <c r="J571" s="59"/>
    </row>
    <row r="572" spans="1:10" ht="13">
      <c r="A572" s="202"/>
      <c r="I572" s="149"/>
      <c r="J572" s="59"/>
    </row>
    <row r="573" spans="1:10" ht="13">
      <c r="A573" s="202"/>
      <c r="I573" s="149"/>
      <c r="J573" s="59"/>
    </row>
    <row r="574" spans="1:10" ht="13">
      <c r="A574" s="202"/>
      <c r="I574" s="149"/>
      <c r="J574" s="59"/>
    </row>
    <row r="575" spans="1:10" ht="13">
      <c r="A575" s="202"/>
      <c r="I575" s="149"/>
      <c r="J575" s="59"/>
    </row>
    <row r="576" spans="1:10" ht="13">
      <c r="A576" s="202"/>
      <c r="I576" s="149"/>
      <c r="J576" s="59"/>
    </row>
    <row r="577" spans="1:10" ht="13">
      <c r="A577" s="202"/>
      <c r="I577" s="149"/>
      <c r="J577" s="59"/>
    </row>
    <row r="578" spans="1:10" ht="13">
      <c r="A578" s="202"/>
      <c r="I578" s="149"/>
      <c r="J578" s="59"/>
    </row>
    <row r="579" spans="1:10" ht="13">
      <c r="A579" s="202"/>
      <c r="I579" s="149"/>
      <c r="J579" s="59"/>
    </row>
    <row r="580" spans="1:10" ht="13">
      <c r="A580" s="202"/>
      <c r="I580" s="149"/>
      <c r="J580" s="59"/>
    </row>
    <row r="581" spans="1:10" ht="13">
      <c r="A581" s="202"/>
      <c r="I581" s="149"/>
      <c r="J581" s="59"/>
    </row>
    <row r="582" spans="1:10" ht="13">
      <c r="A582" s="202"/>
      <c r="I582" s="149"/>
      <c r="J582" s="59"/>
    </row>
    <row r="583" spans="1:10" ht="13">
      <c r="A583" s="202"/>
      <c r="I583" s="149"/>
      <c r="J583" s="59"/>
    </row>
    <row r="584" spans="1:10" ht="13">
      <c r="A584" s="202"/>
      <c r="I584" s="149"/>
      <c r="J584" s="59"/>
    </row>
    <row r="585" spans="1:10" ht="13">
      <c r="A585" s="202"/>
      <c r="I585" s="149"/>
      <c r="J585" s="59"/>
    </row>
    <row r="586" spans="1:10" ht="13">
      <c r="A586" s="202"/>
      <c r="I586" s="149"/>
      <c r="J586" s="59"/>
    </row>
    <row r="587" spans="1:10" ht="13">
      <c r="A587" s="202"/>
      <c r="I587" s="149"/>
      <c r="J587" s="59"/>
    </row>
    <row r="588" spans="1:10" ht="13">
      <c r="A588" s="202"/>
      <c r="I588" s="149"/>
      <c r="J588" s="59"/>
    </row>
    <row r="589" spans="1:10" ht="13">
      <c r="A589" s="202"/>
      <c r="I589" s="149"/>
      <c r="J589" s="59"/>
    </row>
    <row r="590" spans="1:10" ht="13">
      <c r="A590" s="202"/>
      <c r="I590" s="149"/>
      <c r="J590" s="59"/>
    </row>
    <row r="591" spans="1:10" ht="13">
      <c r="A591" s="202"/>
      <c r="I591" s="149"/>
      <c r="J591" s="59"/>
    </row>
    <row r="592" spans="1:10" ht="13">
      <c r="A592" s="202"/>
      <c r="I592" s="149"/>
      <c r="J592" s="59"/>
    </row>
    <row r="593" spans="1:10" ht="13">
      <c r="A593" s="202"/>
      <c r="I593" s="149"/>
      <c r="J593" s="59"/>
    </row>
    <row r="594" spans="1:10" ht="13">
      <c r="A594" s="202"/>
      <c r="I594" s="149"/>
      <c r="J594" s="59"/>
    </row>
    <row r="595" spans="1:10" ht="13">
      <c r="A595" s="202"/>
      <c r="I595" s="149"/>
      <c r="J595" s="59"/>
    </row>
    <row r="596" spans="1:10" ht="13">
      <c r="A596" s="202"/>
      <c r="I596" s="149"/>
      <c r="J596" s="59"/>
    </row>
    <row r="597" spans="1:10" ht="13">
      <c r="A597" s="202"/>
      <c r="I597" s="149"/>
      <c r="J597" s="59"/>
    </row>
    <row r="598" spans="1:10" ht="13">
      <c r="A598" s="202"/>
      <c r="I598" s="149"/>
      <c r="J598" s="59"/>
    </row>
    <row r="599" spans="1:10" ht="13">
      <c r="A599" s="202"/>
      <c r="I599" s="149"/>
      <c r="J599" s="59"/>
    </row>
    <row r="600" spans="1:10" ht="13">
      <c r="A600" s="202"/>
      <c r="I600" s="149"/>
      <c r="J600" s="59"/>
    </row>
    <row r="601" spans="1:10" ht="13">
      <c r="A601" s="202"/>
      <c r="I601" s="149"/>
      <c r="J601" s="59"/>
    </row>
    <row r="602" spans="1:10" ht="13">
      <c r="A602" s="202"/>
      <c r="I602" s="149"/>
      <c r="J602" s="59"/>
    </row>
    <row r="603" spans="1:10" ht="13">
      <c r="A603" s="202"/>
      <c r="I603" s="149"/>
      <c r="J603" s="59"/>
    </row>
    <row r="604" spans="1:10" ht="13">
      <c r="A604" s="202"/>
      <c r="I604" s="149"/>
      <c r="J604" s="59"/>
    </row>
    <row r="605" spans="1:10" ht="13">
      <c r="A605" s="202"/>
      <c r="I605" s="149"/>
      <c r="J605" s="59"/>
    </row>
    <row r="606" spans="1:10" ht="13">
      <c r="A606" s="202"/>
      <c r="I606" s="149"/>
      <c r="J606" s="59"/>
    </row>
    <row r="607" spans="1:10" ht="13">
      <c r="A607" s="202"/>
      <c r="I607" s="149"/>
      <c r="J607" s="59"/>
    </row>
    <row r="608" spans="1:10" ht="13">
      <c r="A608" s="202"/>
      <c r="I608" s="149"/>
      <c r="J608" s="59"/>
    </row>
    <row r="609" spans="1:10" ht="13">
      <c r="A609" s="202"/>
      <c r="I609" s="149"/>
      <c r="J609" s="59"/>
    </row>
    <row r="610" spans="1:10" ht="13">
      <c r="A610" s="202"/>
      <c r="I610" s="149"/>
      <c r="J610" s="59"/>
    </row>
    <row r="611" spans="1:10" ht="13">
      <c r="A611" s="202"/>
      <c r="I611" s="149"/>
      <c r="J611" s="59"/>
    </row>
    <row r="612" spans="1:10" ht="13">
      <c r="A612" s="202"/>
      <c r="I612" s="149"/>
      <c r="J612" s="59"/>
    </row>
    <row r="613" spans="1:10" ht="13">
      <c r="A613" s="202"/>
      <c r="I613" s="149"/>
      <c r="J613" s="59"/>
    </row>
    <row r="614" spans="1:10" ht="13">
      <c r="A614" s="202"/>
      <c r="I614" s="149"/>
      <c r="J614" s="59"/>
    </row>
    <row r="615" spans="1:10" ht="13">
      <c r="A615" s="202"/>
      <c r="I615" s="149"/>
      <c r="J615" s="59"/>
    </row>
    <row r="616" spans="1:10" ht="13">
      <c r="A616" s="202"/>
      <c r="I616" s="149"/>
      <c r="J616" s="59"/>
    </row>
    <row r="617" spans="1:10" ht="13">
      <c r="A617" s="202"/>
      <c r="I617" s="149"/>
      <c r="J617" s="59"/>
    </row>
    <row r="618" spans="1:10" ht="13">
      <c r="A618" s="202"/>
      <c r="I618" s="149"/>
      <c r="J618" s="59"/>
    </row>
    <row r="619" spans="1:10" ht="13">
      <c r="A619" s="202"/>
      <c r="I619" s="149"/>
      <c r="J619" s="59"/>
    </row>
    <row r="620" spans="1:10" ht="13">
      <c r="A620" s="202"/>
      <c r="I620" s="149"/>
      <c r="J620" s="59"/>
    </row>
    <row r="621" spans="1:10" ht="13">
      <c r="A621" s="202"/>
      <c r="I621" s="149"/>
      <c r="J621" s="59"/>
    </row>
    <row r="622" spans="1:10" ht="13">
      <c r="A622" s="202"/>
      <c r="I622" s="149"/>
      <c r="J622" s="59"/>
    </row>
    <row r="623" spans="1:10" ht="13">
      <c r="A623" s="202"/>
      <c r="I623" s="149"/>
      <c r="J623" s="59"/>
    </row>
    <row r="624" spans="1:10" ht="13">
      <c r="A624" s="202"/>
      <c r="I624" s="149"/>
      <c r="J624" s="59"/>
    </row>
    <row r="625" spans="1:10" ht="13">
      <c r="A625" s="202"/>
      <c r="I625" s="149"/>
      <c r="J625" s="59"/>
    </row>
    <row r="626" spans="1:10" ht="13">
      <c r="A626" s="202"/>
      <c r="I626" s="149"/>
      <c r="J626" s="59"/>
    </row>
    <row r="627" spans="1:10" ht="13">
      <c r="A627" s="202"/>
      <c r="I627" s="149"/>
      <c r="J627" s="59"/>
    </row>
    <row r="628" spans="1:10" ht="13">
      <c r="A628" s="202"/>
      <c r="I628" s="149"/>
      <c r="J628" s="59"/>
    </row>
    <row r="629" spans="1:10" ht="13">
      <c r="A629" s="202"/>
      <c r="I629" s="149"/>
      <c r="J629" s="59"/>
    </row>
    <row r="630" spans="1:10" ht="13">
      <c r="A630" s="202"/>
      <c r="I630" s="149"/>
      <c r="J630" s="59"/>
    </row>
    <row r="631" spans="1:10" ht="13">
      <c r="A631" s="202"/>
      <c r="I631" s="149"/>
      <c r="J631" s="59"/>
    </row>
    <row r="632" spans="1:10" ht="13">
      <c r="A632" s="202"/>
      <c r="I632" s="149"/>
      <c r="J632" s="59"/>
    </row>
    <row r="633" spans="1:10" ht="13">
      <c r="A633" s="202"/>
      <c r="I633" s="149"/>
      <c r="J633" s="59"/>
    </row>
    <row r="634" spans="1:10" ht="13">
      <c r="A634" s="202"/>
      <c r="I634" s="149"/>
      <c r="J634" s="59"/>
    </row>
    <row r="635" spans="1:10" ht="13">
      <c r="A635" s="202"/>
      <c r="I635" s="149"/>
      <c r="J635" s="59"/>
    </row>
    <row r="636" spans="1:10" ht="13">
      <c r="A636" s="202"/>
      <c r="I636" s="149"/>
      <c r="J636" s="59"/>
    </row>
    <row r="637" spans="1:10" ht="13">
      <c r="A637" s="202"/>
      <c r="I637" s="149"/>
      <c r="J637" s="59"/>
    </row>
    <row r="638" spans="1:10" ht="13">
      <c r="A638" s="202"/>
      <c r="I638" s="149"/>
      <c r="J638" s="59"/>
    </row>
    <row r="639" spans="1:10" ht="13">
      <c r="A639" s="202"/>
      <c r="I639" s="149"/>
      <c r="J639" s="59"/>
    </row>
    <row r="640" spans="1:10" ht="13">
      <c r="A640" s="202"/>
      <c r="I640" s="149"/>
      <c r="J640" s="59"/>
    </row>
    <row r="641" spans="1:10" ht="13">
      <c r="A641" s="202"/>
      <c r="I641" s="149"/>
      <c r="J641" s="59"/>
    </row>
    <row r="642" spans="1:10" ht="13">
      <c r="A642" s="202"/>
      <c r="I642" s="149"/>
      <c r="J642" s="59"/>
    </row>
    <row r="643" spans="1:10" ht="13">
      <c r="A643" s="202"/>
      <c r="I643" s="149"/>
      <c r="J643" s="59"/>
    </row>
    <row r="644" spans="1:10" ht="13">
      <c r="A644" s="202"/>
      <c r="I644" s="149"/>
      <c r="J644" s="59"/>
    </row>
    <row r="645" spans="1:10" ht="13">
      <c r="A645" s="202"/>
      <c r="I645" s="149"/>
      <c r="J645" s="59"/>
    </row>
    <row r="646" spans="1:10" ht="13">
      <c r="A646" s="202"/>
      <c r="I646" s="149"/>
      <c r="J646" s="59"/>
    </row>
    <row r="647" spans="1:10" ht="13">
      <c r="A647" s="202"/>
      <c r="I647" s="149"/>
      <c r="J647" s="59"/>
    </row>
    <row r="648" spans="1:10" ht="13">
      <c r="A648" s="202"/>
      <c r="I648" s="149"/>
      <c r="J648" s="59"/>
    </row>
    <row r="649" spans="1:10" ht="13">
      <c r="A649" s="202"/>
      <c r="I649" s="149"/>
      <c r="J649" s="59"/>
    </row>
    <row r="650" spans="1:10" ht="13">
      <c r="A650" s="202"/>
      <c r="I650" s="149"/>
      <c r="J650" s="59"/>
    </row>
    <row r="651" spans="1:10" ht="13">
      <c r="A651" s="202"/>
      <c r="I651" s="149"/>
      <c r="J651" s="59"/>
    </row>
    <row r="652" spans="1:10" ht="13">
      <c r="A652" s="202"/>
      <c r="I652" s="149"/>
      <c r="J652" s="59"/>
    </row>
    <row r="653" spans="1:10" ht="13">
      <c r="A653" s="202"/>
      <c r="I653" s="149"/>
      <c r="J653" s="59"/>
    </row>
    <row r="654" spans="1:10" ht="13">
      <c r="A654" s="202"/>
      <c r="I654" s="149"/>
      <c r="J654" s="59"/>
    </row>
    <row r="655" spans="1:10" ht="13">
      <c r="A655" s="202"/>
      <c r="I655" s="149"/>
      <c r="J655" s="59"/>
    </row>
    <row r="656" spans="1:10" ht="13">
      <c r="A656" s="202"/>
      <c r="I656" s="149"/>
      <c r="J656" s="59"/>
    </row>
    <row r="657" spans="1:10" ht="13">
      <c r="A657" s="202"/>
      <c r="I657" s="149"/>
      <c r="J657" s="59"/>
    </row>
    <row r="658" spans="1:10" ht="13">
      <c r="A658" s="202"/>
      <c r="I658" s="149"/>
      <c r="J658" s="59"/>
    </row>
    <row r="659" spans="1:10" ht="13">
      <c r="A659" s="202"/>
      <c r="I659" s="149"/>
      <c r="J659" s="59"/>
    </row>
    <row r="660" spans="1:10" ht="13">
      <c r="A660" s="202"/>
      <c r="I660" s="149"/>
      <c r="J660" s="59"/>
    </row>
    <row r="661" spans="1:10" ht="13">
      <c r="A661" s="202"/>
      <c r="I661" s="149"/>
      <c r="J661" s="59"/>
    </row>
    <row r="662" spans="1:10" ht="13">
      <c r="A662" s="202"/>
      <c r="I662" s="149"/>
      <c r="J662" s="59"/>
    </row>
    <row r="663" spans="1:10" ht="13">
      <c r="A663" s="202"/>
      <c r="I663" s="149"/>
      <c r="J663" s="59"/>
    </row>
    <row r="664" spans="1:10" ht="13">
      <c r="A664" s="202"/>
      <c r="I664" s="149"/>
      <c r="J664" s="59"/>
    </row>
    <row r="665" spans="1:10" ht="13">
      <c r="A665" s="202"/>
      <c r="I665" s="149"/>
      <c r="J665" s="59"/>
    </row>
    <row r="666" spans="1:10" ht="13">
      <c r="A666" s="202"/>
      <c r="I666" s="149"/>
      <c r="J666" s="59"/>
    </row>
    <row r="667" spans="1:10" ht="13">
      <c r="A667" s="202"/>
      <c r="I667" s="149"/>
      <c r="J667" s="59"/>
    </row>
    <row r="668" spans="1:10" ht="13">
      <c r="A668" s="202"/>
      <c r="I668" s="149"/>
      <c r="J668" s="59"/>
    </row>
    <row r="669" spans="1:10" ht="13">
      <c r="A669" s="202"/>
      <c r="I669" s="149"/>
      <c r="J669" s="59"/>
    </row>
    <row r="670" spans="1:10" ht="13">
      <c r="A670" s="202"/>
      <c r="I670" s="149"/>
      <c r="J670" s="59"/>
    </row>
    <row r="671" spans="1:10" ht="13">
      <c r="A671" s="202"/>
      <c r="I671" s="149"/>
      <c r="J671" s="59"/>
    </row>
    <row r="672" spans="1:10" ht="13">
      <c r="A672" s="202"/>
      <c r="I672" s="149"/>
      <c r="J672" s="59"/>
    </row>
    <row r="673" spans="1:10" ht="13">
      <c r="A673" s="202"/>
      <c r="I673" s="149"/>
      <c r="J673" s="59"/>
    </row>
    <row r="674" spans="1:10" ht="13">
      <c r="A674" s="202"/>
      <c r="I674" s="149"/>
      <c r="J674" s="59"/>
    </row>
    <row r="675" spans="1:10" ht="13">
      <c r="A675" s="202"/>
      <c r="I675" s="149"/>
      <c r="J675" s="59"/>
    </row>
    <row r="676" spans="1:10" ht="13">
      <c r="A676" s="202"/>
      <c r="I676" s="149"/>
      <c r="J676" s="59"/>
    </row>
    <row r="677" spans="1:10" ht="13">
      <c r="A677" s="202"/>
      <c r="I677" s="149"/>
      <c r="J677" s="59"/>
    </row>
    <row r="678" spans="1:10" ht="13">
      <c r="A678" s="202"/>
      <c r="I678" s="149"/>
      <c r="J678" s="59"/>
    </row>
    <row r="679" spans="1:10" ht="13">
      <c r="A679" s="202"/>
      <c r="I679" s="149"/>
      <c r="J679" s="59"/>
    </row>
    <row r="680" spans="1:10" ht="13">
      <c r="A680" s="202"/>
      <c r="I680" s="149"/>
      <c r="J680" s="59"/>
    </row>
    <row r="681" spans="1:10" ht="13">
      <c r="A681" s="202"/>
      <c r="I681" s="149"/>
      <c r="J681" s="59"/>
    </row>
    <row r="682" spans="1:10" ht="13">
      <c r="A682" s="202"/>
      <c r="I682" s="149"/>
      <c r="J682" s="59"/>
    </row>
    <row r="683" spans="1:10" ht="13">
      <c r="A683" s="202"/>
      <c r="I683" s="149"/>
      <c r="J683" s="59"/>
    </row>
    <row r="684" spans="1:10" ht="13">
      <c r="A684" s="202"/>
      <c r="I684" s="149"/>
      <c r="J684" s="59"/>
    </row>
    <row r="685" spans="1:10" ht="13">
      <c r="A685" s="202"/>
      <c r="I685" s="149"/>
      <c r="J685" s="59"/>
    </row>
    <row r="686" spans="1:10" ht="13">
      <c r="A686" s="202"/>
      <c r="I686" s="149"/>
      <c r="J686" s="59"/>
    </row>
    <row r="687" spans="1:10" ht="13">
      <c r="A687" s="202"/>
      <c r="I687" s="149"/>
      <c r="J687" s="59"/>
    </row>
    <row r="688" spans="1:10" ht="13">
      <c r="A688" s="202"/>
      <c r="I688" s="149"/>
      <c r="J688" s="59"/>
    </row>
    <row r="689" spans="1:10" ht="13">
      <c r="A689" s="202"/>
      <c r="I689" s="149"/>
      <c r="J689" s="59"/>
    </row>
    <row r="690" spans="1:10" ht="13">
      <c r="A690" s="202"/>
      <c r="I690" s="149"/>
      <c r="J690" s="59"/>
    </row>
    <row r="691" spans="1:10" ht="13">
      <c r="A691" s="202"/>
      <c r="I691" s="149"/>
      <c r="J691" s="59"/>
    </row>
    <row r="692" spans="1:10" ht="13">
      <c r="A692" s="202"/>
      <c r="I692" s="149"/>
      <c r="J692" s="59"/>
    </row>
    <row r="693" spans="1:10" ht="13">
      <c r="A693" s="202"/>
      <c r="I693" s="149"/>
      <c r="J693" s="59"/>
    </row>
    <row r="694" spans="1:10" ht="13">
      <c r="A694" s="202"/>
      <c r="I694" s="149"/>
      <c r="J694" s="59"/>
    </row>
    <row r="695" spans="1:10" ht="13">
      <c r="A695" s="202"/>
      <c r="I695" s="149"/>
      <c r="J695" s="59"/>
    </row>
    <row r="696" spans="1:10" ht="13">
      <c r="A696" s="202"/>
      <c r="I696" s="149"/>
      <c r="J696" s="59"/>
    </row>
    <row r="697" spans="1:10" ht="13">
      <c r="A697" s="202"/>
      <c r="I697" s="149"/>
      <c r="J697" s="59"/>
    </row>
    <row r="698" spans="1:10" ht="13">
      <c r="A698" s="202"/>
      <c r="I698" s="149"/>
      <c r="J698" s="59"/>
    </row>
    <row r="699" spans="1:10" ht="13">
      <c r="A699" s="202"/>
      <c r="I699" s="149"/>
      <c r="J699" s="59"/>
    </row>
    <row r="700" spans="1:10" ht="13">
      <c r="A700" s="202"/>
      <c r="I700" s="149"/>
      <c r="J700" s="59"/>
    </row>
    <row r="701" spans="1:10" ht="13">
      <c r="A701" s="202"/>
      <c r="I701" s="149"/>
      <c r="J701" s="59"/>
    </row>
    <row r="702" spans="1:10" ht="13">
      <c r="A702" s="202"/>
      <c r="I702" s="149"/>
      <c r="J702" s="59"/>
    </row>
    <row r="703" spans="1:10" ht="13">
      <c r="A703" s="202"/>
      <c r="I703" s="149"/>
      <c r="J703" s="59"/>
    </row>
    <row r="704" spans="1:10" ht="13">
      <c r="A704" s="202"/>
      <c r="I704" s="149"/>
      <c r="J704" s="59"/>
    </row>
    <row r="705" spans="1:10" ht="13">
      <c r="A705" s="202"/>
      <c r="I705" s="149"/>
      <c r="J705" s="59"/>
    </row>
    <row r="706" spans="1:10" ht="13">
      <c r="A706" s="202"/>
      <c r="I706" s="149"/>
      <c r="J706" s="59"/>
    </row>
    <row r="707" spans="1:10" ht="13">
      <c r="A707" s="202"/>
      <c r="I707" s="149"/>
      <c r="J707" s="59"/>
    </row>
    <row r="708" spans="1:10" ht="13">
      <c r="A708" s="202"/>
      <c r="I708" s="149"/>
      <c r="J708" s="59"/>
    </row>
    <row r="709" spans="1:10" ht="13">
      <c r="A709" s="202"/>
      <c r="I709" s="149"/>
      <c r="J709" s="59"/>
    </row>
    <row r="710" spans="1:10" ht="13">
      <c r="A710" s="202"/>
      <c r="I710" s="149"/>
      <c r="J710" s="59"/>
    </row>
    <row r="711" spans="1:10" ht="13">
      <c r="A711" s="202"/>
      <c r="I711" s="149"/>
      <c r="J711" s="59"/>
    </row>
    <row r="712" spans="1:10" ht="13">
      <c r="A712" s="202"/>
      <c r="I712" s="149"/>
      <c r="J712" s="59"/>
    </row>
    <row r="713" spans="1:10" ht="13">
      <c r="A713" s="202"/>
      <c r="I713" s="149"/>
      <c r="J713" s="59"/>
    </row>
    <row r="714" spans="1:10" ht="13">
      <c r="A714" s="202"/>
      <c r="I714" s="149"/>
      <c r="J714" s="59"/>
    </row>
    <row r="715" spans="1:10" ht="13">
      <c r="A715" s="202"/>
      <c r="I715" s="149"/>
      <c r="J715" s="59"/>
    </row>
    <row r="716" spans="1:10" ht="13">
      <c r="A716" s="202"/>
      <c r="I716" s="149"/>
      <c r="J716" s="59"/>
    </row>
    <row r="717" spans="1:10" ht="13">
      <c r="A717" s="202"/>
      <c r="I717" s="149"/>
      <c r="J717" s="59"/>
    </row>
    <row r="718" spans="1:10" ht="13">
      <c r="A718" s="202"/>
      <c r="I718" s="149"/>
      <c r="J718" s="59"/>
    </row>
    <row r="719" spans="1:10" ht="13">
      <c r="A719" s="202"/>
      <c r="I719" s="149"/>
      <c r="J719" s="59"/>
    </row>
    <row r="720" spans="1:10" ht="13">
      <c r="A720" s="202"/>
      <c r="I720" s="149"/>
      <c r="J720" s="59"/>
    </row>
    <row r="721" spans="1:10" ht="13">
      <c r="A721" s="202"/>
      <c r="I721" s="149"/>
      <c r="J721" s="59"/>
    </row>
    <row r="722" spans="1:10" ht="13">
      <c r="A722" s="202"/>
      <c r="I722" s="149"/>
      <c r="J722" s="59"/>
    </row>
    <row r="723" spans="1:10" ht="13">
      <c r="A723" s="202"/>
      <c r="I723" s="149"/>
      <c r="J723" s="59"/>
    </row>
    <row r="724" spans="1:10" ht="13">
      <c r="A724" s="202"/>
      <c r="I724" s="149"/>
      <c r="J724" s="59"/>
    </row>
    <row r="725" spans="1:10" ht="13">
      <c r="A725" s="202"/>
      <c r="I725" s="149"/>
      <c r="J725" s="59"/>
    </row>
    <row r="726" spans="1:10" ht="13">
      <c r="A726" s="202"/>
      <c r="I726" s="149"/>
      <c r="J726" s="59"/>
    </row>
    <row r="727" spans="1:10" ht="13">
      <c r="A727" s="202"/>
      <c r="I727" s="149"/>
      <c r="J727" s="59"/>
    </row>
    <row r="728" spans="1:10" ht="13">
      <c r="A728" s="202"/>
      <c r="I728" s="149"/>
      <c r="J728" s="59"/>
    </row>
    <row r="729" spans="1:10" ht="13">
      <c r="A729" s="202"/>
      <c r="I729" s="149"/>
      <c r="J729" s="59"/>
    </row>
    <row r="730" spans="1:10" ht="13">
      <c r="A730" s="202"/>
      <c r="I730" s="149"/>
      <c r="J730" s="59"/>
    </row>
    <row r="731" spans="1:10" ht="13">
      <c r="A731" s="202"/>
      <c r="I731" s="149"/>
      <c r="J731" s="59"/>
    </row>
    <row r="732" spans="1:10" ht="13">
      <c r="A732" s="202"/>
      <c r="I732" s="149"/>
      <c r="J732" s="59"/>
    </row>
    <row r="733" spans="1:10" ht="13">
      <c r="A733" s="202"/>
      <c r="I733" s="149"/>
      <c r="J733" s="59"/>
    </row>
    <row r="734" spans="1:10" ht="13">
      <c r="A734" s="202"/>
      <c r="I734" s="149"/>
      <c r="J734" s="59"/>
    </row>
    <row r="735" spans="1:10" ht="13">
      <c r="A735" s="202"/>
      <c r="I735" s="149"/>
      <c r="J735" s="59"/>
    </row>
    <row r="736" spans="1:10" ht="13">
      <c r="A736" s="202"/>
      <c r="I736" s="149"/>
      <c r="J736" s="59"/>
    </row>
    <row r="737" spans="1:10" ht="13">
      <c r="A737" s="202"/>
      <c r="I737" s="149"/>
      <c r="J737" s="59"/>
    </row>
    <row r="738" spans="1:10" ht="13">
      <c r="A738" s="202"/>
      <c r="I738" s="149"/>
      <c r="J738" s="59"/>
    </row>
    <row r="739" spans="1:10" ht="13">
      <c r="A739" s="202"/>
      <c r="I739" s="149"/>
      <c r="J739" s="59"/>
    </row>
    <row r="740" spans="1:10" ht="13">
      <c r="A740" s="202"/>
      <c r="I740" s="149"/>
      <c r="J740" s="59"/>
    </row>
    <row r="741" spans="1:10" ht="13">
      <c r="A741" s="202"/>
      <c r="I741" s="149"/>
      <c r="J741" s="59"/>
    </row>
    <row r="742" spans="1:10" ht="13">
      <c r="A742" s="202"/>
      <c r="I742" s="149"/>
      <c r="J742" s="59"/>
    </row>
    <row r="743" spans="1:10" ht="13">
      <c r="A743" s="202"/>
      <c r="I743" s="149"/>
      <c r="J743" s="59"/>
    </row>
    <row r="744" spans="1:10" ht="13">
      <c r="A744" s="202"/>
      <c r="I744" s="149"/>
      <c r="J744" s="59"/>
    </row>
    <row r="745" spans="1:10" ht="13">
      <c r="A745" s="202"/>
      <c r="I745" s="149"/>
      <c r="J745" s="59"/>
    </row>
    <row r="746" spans="1:10" ht="13">
      <c r="A746" s="202"/>
      <c r="I746" s="149"/>
      <c r="J746" s="59"/>
    </row>
    <row r="747" spans="1:10" ht="13">
      <c r="A747" s="202"/>
      <c r="I747" s="149"/>
      <c r="J747" s="59"/>
    </row>
    <row r="748" spans="1:10" ht="13">
      <c r="A748" s="202"/>
      <c r="I748" s="149"/>
      <c r="J748" s="59"/>
    </row>
    <row r="749" spans="1:10" ht="13">
      <c r="A749" s="202"/>
      <c r="I749" s="149"/>
      <c r="J749" s="59"/>
    </row>
    <row r="750" spans="1:10" ht="13">
      <c r="A750" s="202"/>
      <c r="I750" s="149"/>
      <c r="J750" s="59"/>
    </row>
    <row r="751" spans="1:10" ht="13">
      <c r="A751" s="202"/>
      <c r="I751" s="149"/>
      <c r="J751" s="59"/>
    </row>
    <row r="752" spans="1:10" ht="13">
      <c r="A752" s="202"/>
      <c r="I752" s="149"/>
      <c r="J752" s="59"/>
    </row>
    <row r="753" spans="1:10" ht="13">
      <c r="A753" s="202"/>
      <c r="I753" s="149"/>
      <c r="J753" s="59"/>
    </row>
    <row r="754" spans="1:10" ht="13">
      <c r="A754" s="202"/>
      <c r="I754" s="149"/>
      <c r="J754" s="59"/>
    </row>
    <row r="755" spans="1:10" ht="13">
      <c r="A755" s="202"/>
      <c r="I755" s="149"/>
      <c r="J755" s="59"/>
    </row>
    <row r="756" spans="1:10" ht="13">
      <c r="A756" s="202"/>
      <c r="I756" s="149"/>
      <c r="J756" s="59"/>
    </row>
    <row r="757" spans="1:10" ht="13">
      <c r="A757" s="202"/>
      <c r="I757" s="149"/>
      <c r="J757" s="59"/>
    </row>
    <row r="758" spans="1:10" ht="13">
      <c r="A758" s="202"/>
      <c r="I758" s="149"/>
      <c r="J758" s="59"/>
    </row>
    <row r="759" spans="1:10" ht="13">
      <c r="A759" s="202"/>
      <c r="I759" s="149"/>
      <c r="J759" s="59"/>
    </row>
    <row r="760" spans="1:10" ht="13">
      <c r="A760" s="202"/>
      <c r="I760" s="149"/>
      <c r="J760" s="59"/>
    </row>
    <row r="761" spans="1:10" ht="13">
      <c r="A761" s="202"/>
      <c r="I761" s="149"/>
      <c r="J761" s="59"/>
    </row>
    <row r="762" spans="1:10" ht="13">
      <c r="A762" s="202"/>
      <c r="I762" s="149"/>
      <c r="J762" s="59"/>
    </row>
    <row r="763" spans="1:10" ht="13">
      <c r="A763" s="202"/>
      <c r="I763" s="149"/>
      <c r="J763" s="59"/>
    </row>
    <row r="764" spans="1:10" ht="13">
      <c r="A764" s="202"/>
      <c r="I764" s="149"/>
      <c r="J764" s="59"/>
    </row>
    <row r="765" spans="1:10" ht="13">
      <c r="A765" s="202"/>
      <c r="I765" s="149"/>
      <c r="J765" s="59"/>
    </row>
    <row r="766" spans="1:10" ht="13">
      <c r="A766" s="202"/>
      <c r="I766" s="149"/>
      <c r="J766" s="59"/>
    </row>
    <row r="767" spans="1:10" ht="13">
      <c r="A767" s="202"/>
      <c r="I767" s="149"/>
      <c r="J767" s="59"/>
    </row>
    <row r="768" spans="1:10" ht="13">
      <c r="A768" s="202"/>
      <c r="I768" s="149"/>
      <c r="J768" s="59"/>
    </row>
    <row r="769" spans="1:10" ht="13">
      <c r="A769" s="202"/>
      <c r="I769" s="149"/>
      <c r="J769" s="59"/>
    </row>
    <row r="770" spans="1:10" ht="13">
      <c r="A770" s="202"/>
      <c r="I770" s="149"/>
      <c r="J770" s="59"/>
    </row>
    <row r="771" spans="1:10" ht="13">
      <c r="A771" s="202"/>
      <c r="I771" s="149"/>
      <c r="J771" s="59"/>
    </row>
    <row r="772" spans="1:10" ht="13">
      <c r="A772" s="202"/>
      <c r="I772" s="149"/>
      <c r="J772" s="59"/>
    </row>
    <row r="773" spans="1:10" ht="13">
      <c r="A773" s="202"/>
      <c r="I773" s="149"/>
      <c r="J773" s="59"/>
    </row>
    <row r="774" spans="1:10" ht="13">
      <c r="A774" s="202"/>
      <c r="I774" s="149"/>
      <c r="J774" s="59"/>
    </row>
    <row r="775" spans="1:10" ht="13">
      <c r="A775" s="202"/>
      <c r="I775" s="149"/>
      <c r="J775" s="59"/>
    </row>
    <row r="776" spans="1:10" ht="13">
      <c r="A776" s="202"/>
      <c r="I776" s="149"/>
      <c r="J776" s="59"/>
    </row>
    <row r="777" spans="1:10" ht="13">
      <c r="A777" s="202"/>
      <c r="I777" s="149"/>
      <c r="J777" s="59"/>
    </row>
    <row r="778" spans="1:10" ht="13">
      <c r="A778" s="202"/>
      <c r="I778" s="149"/>
      <c r="J778" s="59"/>
    </row>
    <row r="779" spans="1:10" ht="13">
      <c r="A779" s="202"/>
      <c r="I779" s="149"/>
      <c r="J779" s="59"/>
    </row>
    <row r="780" spans="1:10" ht="13">
      <c r="A780" s="202"/>
      <c r="I780" s="149"/>
      <c r="J780" s="59"/>
    </row>
    <row r="781" spans="1:10" ht="13">
      <c r="A781" s="202"/>
      <c r="I781" s="149"/>
      <c r="J781" s="59"/>
    </row>
    <row r="782" spans="1:10" ht="13">
      <c r="A782" s="202"/>
      <c r="I782" s="149"/>
      <c r="J782" s="59"/>
    </row>
    <row r="783" spans="1:10" ht="13">
      <c r="A783" s="202"/>
      <c r="I783" s="149"/>
      <c r="J783" s="59"/>
    </row>
    <row r="784" spans="1:10" ht="13">
      <c r="A784" s="202"/>
      <c r="I784" s="149"/>
      <c r="J784" s="59"/>
    </row>
    <row r="785" spans="1:10" ht="13">
      <c r="A785" s="202"/>
      <c r="I785" s="149"/>
      <c r="J785" s="59"/>
    </row>
    <row r="786" spans="1:10" ht="13">
      <c r="A786" s="202"/>
      <c r="I786" s="149"/>
      <c r="J786" s="59"/>
    </row>
    <row r="787" spans="1:10" ht="13">
      <c r="A787" s="202"/>
      <c r="I787" s="149"/>
      <c r="J787" s="59"/>
    </row>
    <row r="788" spans="1:10" ht="13">
      <c r="A788" s="202"/>
      <c r="I788" s="149"/>
      <c r="J788" s="59"/>
    </row>
    <row r="789" spans="1:10" ht="13">
      <c r="A789" s="202"/>
      <c r="I789" s="149"/>
      <c r="J789" s="59"/>
    </row>
    <row r="790" spans="1:10" ht="13">
      <c r="A790" s="202"/>
      <c r="I790" s="149"/>
      <c r="J790" s="59"/>
    </row>
    <row r="791" spans="1:10" ht="13">
      <c r="A791" s="202"/>
      <c r="I791" s="149"/>
      <c r="J791" s="59"/>
    </row>
    <row r="792" spans="1:10" ht="13">
      <c r="A792" s="202"/>
      <c r="I792" s="149"/>
      <c r="J792" s="59"/>
    </row>
    <row r="793" spans="1:10" ht="13">
      <c r="A793" s="202"/>
      <c r="I793" s="149"/>
      <c r="J793" s="59"/>
    </row>
    <row r="794" spans="1:10" ht="13">
      <c r="A794" s="202"/>
      <c r="I794" s="149"/>
      <c r="J794" s="59"/>
    </row>
    <row r="795" spans="1:10" ht="13">
      <c r="A795" s="202"/>
      <c r="I795" s="149"/>
      <c r="J795" s="59"/>
    </row>
    <row r="796" spans="1:10" ht="13">
      <c r="A796" s="202"/>
      <c r="I796" s="149"/>
      <c r="J796" s="59"/>
    </row>
    <row r="797" spans="1:10" ht="13">
      <c r="A797" s="202"/>
      <c r="I797" s="149"/>
      <c r="J797" s="59"/>
    </row>
    <row r="798" spans="1:10" ht="13">
      <c r="A798" s="202"/>
      <c r="I798" s="149"/>
      <c r="J798" s="59"/>
    </row>
    <row r="799" spans="1:10" ht="13">
      <c r="A799" s="202"/>
      <c r="I799" s="149"/>
      <c r="J799" s="59"/>
    </row>
    <row r="800" spans="1:10" ht="13">
      <c r="A800" s="202"/>
      <c r="I800" s="149"/>
      <c r="J800" s="59"/>
    </row>
    <row r="801" spans="1:10" ht="13">
      <c r="A801" s="202"/>
      <c r="I801" s="149"/>
      <c r="J801" s="59"/>
    </row>
    <row r="802" spans="1:10" ht="13">
      <c r="A802" s="202"/>
      <c r="I802" s="149"/>
      <c r="J802" s="59"/>
    </row>
    <row r="803" spans="1:10" ht="13">
      <c r="A803" s="202"/>
      <c r="I803" s="149"/>
      <c r="J803" s="59"/>
    </row>
    <row r="804" spans="1:10" ht="13">
      <c r="A804" s="202"/>
      <c r="I804" s="149"/>
      <c r="J804" s="59"/>
    </row>
    <row r="805" spans="1:10" ht="13">
      <c r="A805" s="202"/>
      <c r="I805" s="149"/>
      <c r="J805" s="59"/>
    </row>
    <row r="806" spans="1:10" ht="13">
      <c r="A806" s="202"/>
      <c r="I806" s="149"/>
      <c r="J806" s="59"/>
    </row>
    <row r="807" spans="1:10" ht="13">
      <c r="A807" s="202"/>
      <c r="I807" s="149"/>
      <c r="J807" s="59"/>
    </row>
    <row r="808" spans="1:10" ht="13">
      <c r="A808" s="202"/>
      <c r="I808" s="149"/>
      <c r="J808" s="59"/>
    </row>
    <row r="809" spans="1:10" ht="13">
      <c r="A809" s="202"/>
      <c r="I809" s="149"/>
      <c r="J809" s="59"/>
    </row>
    <row r="810" spans="1:10" ht="13">
      <c r="A810" s="202"/>
      <c r="I810" s="149"/>
      <c r="J810" s="59"/>
    </row>
    <row r="811" spans="1:10" ht="13">
      <c r="A811" s="202"/>
      <c r="I811" s="149"/>
      <c r="J811" s="59"/>
    </row>
    <row r="812" spans="1:10" ht="13">
      <c r="A812" s="202"/>
      <c r="I812" s="149"/>
      <c r="J812" s="59"/>
    </row>
    <row r="813" spans="1:10" ht="13">
      <c r="A813" s="202"/>
      <c r="I813" s="149"/>
      <c r="J813" s="59"/>
    </row>
    <row r="814" spans="1:10" ht="13">
      <c r="A814" s="202"/>
      <c r="I814" s="149"/>
      <c r="J814" s="59"/>
    </row>
    <row r="815" spans="1:10" ht="13">
      <c r="A815" s="202"/>
      <c r="I815" s="149"/>
      <c r="J815" s="59"/>
    </row>
    <row r="816" spans="1:10" ht="13">
      <c r="A816" s="202"/>
      <c r="I816" s="149"/>
      <c r="J816" s="59"/>
    </row>
    <row r="817" spans="1:10" ht="13">
      <c r="A817" s="202"/>
      <c r="I817" s="149"/>
      <c r="J817" s="59"/>
    </row>
    <row r="818" spans="1:10" ht="13">
      <c r="A818" s="202"/>
      <c r="I818" s="149"/>
      <c r="J818" s="59"/>
    </row>
    <row r="819" spans="1:10" ht="13">
      <c r="A819" s="202"/>
      <c r="I819" s="149"/>
      <c r="J819" s="59"/>
    </row>
    <row r="820" spans="1:10" ht="13">
      <c r="A820" s="202"/>
      <c r="I820" s="149"/>
      <c r="J820" s="59"/>
    </row>
    <row r="821" spans="1:10" ht="13">
      <c r="A821" s="202"/>
      <c r="I821" s="149"/>
      <c r="J821" s="59"/>
    </row>
    <row r="822" spans="1:10" ht="13">
      <c r="A822" s="202"/>
      <c r="I822" s="149"/>
      <c r="J822" s="59"/>
    </row>
    <row r="823" spans="1:10" ht="13">
      <c r="A823" s="202"/>
      <c r="I823" s="149"/>
      <c r="J823" s="59"/>
    </row>
    <row r="824" spans="1:10" ht="13">
      <c r="A824" s="202"/>
      <c r="I824" s="149"/>
      <c r="J824" s="59"/>
    </row>
    <row r="825" spans="1:10" ht="13">
      <c r="A825" s="202"/>
      <c r="I825" s="149"/>
      <c r="J825" s="59"/>
    </row>
    <row r="826" spans="1:10" ht="13">
      <c r="A826" s="202"/>
      <c r="I826" s="149"/>
      <c r="J826" s="59"/>
    </row>
    <row r="827" spans="1:10" ht="13">
      <c r="A827" s="202"/>
      <c r="I827" s="149"/>
      <c r="J827" s="59"/>
    </row>
    <row r="828" spans="1:10" ht="13">
      <c r="A828" s="202"/>
      <c r="I828" s="149"/>
      <c r="J828" s="59"/>
    </row>
    <row r="829" spans="1:10" ht="13">
      <c r="A829" s="202"/>
      <c r="I829" s="149"/>
      <c r="J829" s="59"/>
    </row>
    <row r="830" spans="1:10" ht="13">
      <c r="A830" s="202"/>
      <c r="I830" s="149"/>
      <c r="J830" s="59"/>
    </row>
    <row r="831" spans="1:10" ht="13">
      <c r="A831" s="202"/>
      <c r="I831" s="149"/>
      <c r="J831" s="59"/>
    </row>
    <row r="832" spans="1:10" ht="13">
      <c r="A832" s="202"/>
      <c r="I832" s="149"/>
      <c r="J832" s="59"/>
    </row>
    <row r="833" spans="1:10" ht="13">
      <c r="A833" s="202"/>
      <c r="I833" s="149"/>
      <c r="J833" s="59"/>
    </row>
    <row r="834" spans="1:10" ht="13">
      <c r="A834" s="202"/>
      <c r="I834" s="149"/>
      <c r="J834" s="59"/>
    </row>
    <row r="835" spans="1:10" ht="13">
      <c r="A835" s="202"/>
      <c r="I835" s="149"/>
      <c r="J835" s="59"/>
    </row>
    <row r="836" spans="1:10" ht="13">
      <c r="A836" s="202"/>
      <c r="I836" s="149"/>
      <c r="J836" s="59"/>
    </row>
    <row r="837" spans="1:10" ht="13">
      <c r="A837" s="202"/>
      <c r="I837" s="149"/>
      <c r="J837" s="59"/>
    </row>
    <row r="838" spans="1:10" ht="13">
      <c r="A838" s="202"/>
      <c r="I838" s="149"/>
      <c r="J838" s="59"/>
    </row>
    <row r="839" spans="1:10" ht="13">
      <c r="A839" s="202"/>
      <c r="I839" s="149"/>
      <c r="J839" s="59"/>
    </row>
    <row r="840" spans="1:10" ht="13">
      <c r="A840" s="202"/>
      <c r="I840" s="149"/>
      <c r="J840" s="59"/>
    </row>
    <row r="841" spans="1:10" ht="13">
      <c r="A841" s="202"/>
      <c r="I841" s="149"/>
      <c r="J841" s="59"/>
    </row>
    <row r="842" spans="1:10" ht="13">
      <c r="A842" s="202"/>
      <c r="I842" s="149"/>
      <c r="J842" s="59"/>
    </row>
    <row r="843" spans="1:10" ht="13">
      <c r="A843" s="202"/>
      <c r="I843" s="149"/>
      <c r="J843" s="59"/>
    </row>
    <row r="844" spans="1:10" ht="13">
      <c r="A844" s="202"/>
      <c r="I844" s="149"/>
      <c r="J844" s="59"/>
    </row>
    <row r="845" spans="1:10" ht="13">
      <c r="A845" s="202"/>
      <c r="I845" s="149"/>
      <c r="J845" s="59"/>
    </row>
    <row r="846" spans="1:10" ht="13">
      <c r="A846" s="202"/>
      <c r="I846" s="149"/>
      <c r="J846" s="59"/>
    </row>
    <row r="847" spans="1:10" ht="13">
      <c r="A847" s="202"/>
      <c r="I847" s="149"/>
      <c r="J847" s="59"/>
    </row>
    <row r="848" spans="1:10" ht="13">
      <c r="A848" s="202"/>
      <c r="I848" s="149"/>
      <c r="J848" s="59"/>
    </row>
    <row r="849" spans="1:10" ht="13">
      <c r="A849" s="202"/>
      <c r="I849" s="149"/>
      <c r="J849" s="59"/>
    </row>
    <row r="850" spans="1:10" ht="13">
      <c r="A850" s="202"/>
      <c r="I850" s="149"/>
      <c r="J850" s="59"/>
    </row>
    <row r="851" spans="1:10" ht="13">
      <c r="A851" s="202"/>
      <c r="I851" s="149"/>
      <c r="J851" s="59"/>
    </row>
    <row r="852" spans="1:10" ht="13">
      <c r="A852" s="202"/>
      <c r="I852" s="149"/>
      <c r="J852" s="59"/>
    </row>
    <row r="853" spans="1:10" ht="13">
      <c r="A853" s="202"/>
      <c r="I853" s="149"/>
      <c r="J853" s="59"/>
    </row>
    <row r="854" spans="1:10" ht="13">
      <c r="A854" s="202"/>
      <c r="I854" s="149"/>
      <c r="J854" s="59"/>
    </row>
    <row r="855" spans="1:10" ht="13">
      <c r="A855" s="202"/>
      <c r="I855" s="149"/>
      <c r="J855" s="59"/>
    </row>
    <row r="856" spans="1:10" ht="13">
      <c r="A856" s="202"/>
      <c r="I856" s="149"/>
      <c r="J856" s="59"/>
    </row>
    <row r="857" spans="1:10" ht="13">
      <c r="A857" s="202"/>
      <c r="I857" s="149"/>
      <c r="J857" s="59"/>
    </row>
    <row r="858" spans="1:10" ht="13">
      <c r="A858" s="202"/>
      <c r="I858" s="149"/>
      <c r="J858" s="59"/>
    </row>
    <row r="859" spans="1:10" ht="13">
      <c r="A859" s="202"/>
      <c r="I859" s="149"/>
      <c r="J859" s="59"/>
    </row>
    <row r="860" spans="1:10" ht="13">
      <c r="A860" s="202"/>
      <c r="I860" s="149"/>
      <c r="J860" s="59"/>
    </row>
    <row r="861" spans="1:10" ht="13">
      <c r="A861" s="202"/>
      <c r="I861" s="149"/>
      <c r="J861" s="59"/>
    </row>
    <row r="862" spans="1:10" ht="13">
      <c r="A862" s="202"/>
      <c r="I862" s="149"/>
      <c r="J862" s="59"/>
    </row>
    <row r="863" spans="1:10" ht="13">
      <c r="A863" s="202"/>
      <c r="I863" s="149"/>
      <c r="J863" s="59"/>
    </row>
    <row r="864" spans="1:10" ht="13">
      <c r="A864" s="202"/>
      <c r="I864" s="149"/>
      <c r="J864" s="59"/>
    </row>
    <row r="865" spans="1:10" ht="13">
      <c r="A865" s="202"/>
      <c r="I865" s="149"/>
      <c r="J865" s="59"/>
    </row>
    <row r="866" spans="1:10" ht="13">
      <c r="A866" s="202"/>
      <c r="I866" s="149"/>
      <c r="J866" s="59"/>
    </row>
    <row r="867" spans="1:10" ht="13">
      <c r="A867" s="202"/>
      <c r="I867" s="149"/>
      <c r="J867" s="59"/>
    </row>
    <row r="868" spans="1:10" ht="13">
      <c r="A868" s="202"/>
      <c r="I868" s="149"/>
      <c r="J868" s="59"/>
    </row>
    <row r="869" spans="1:10" ht="13">
      <c r="A869" s="202"/>
      <c r="I869" s="149"/>
      <c r="J869" s="59"/>
    </row>
    <row r="870" spans="1:10" ht="13">
      <c r="A870" s="202"/>
      <c r="I870" s="149"/>
      <c r="J870" s="59"/>
    </row>
    <row r="871" spans="1:10" ht="13">
      <c r="A871" s="202"/>
      <c r="I871" s="149"/>
      <c r="J871" s="59"/>
    </row>
    <row r="872" spans="1:10" ht="13">
      <c r="A872" s="202"/>
      <c r="I872" s="149"/>
      <c r="J872" s="59"/>
    </row>
    <row r="873" spans="1:10" ht="13">
      <c r="A873" s="202"/>
      <c r="I873" s="149"/>
      <c r="J873" s="59"/>
    </row>
    <row r="874" spans="1:10" ht="13">
      <c r="A874" s="202"/>
      <c r="I874" s="149"/>
      <c r="J874" s="59"/>
    </row>
    <row r="875" spans="1:10" ht="13">
      <c r="A875" s="202"/>
      <c r="I875" s="149"/>
      <c r="J875" s="59"/>
    </row>
    <row r="876" spans="1:10" ht="13">
      <c r="A876" s="202"/>
      <c r="I876" s="149"/>
      <c r="J876" s="59"/>
    </row>
    <row r="877" spans="1:10" ht="13">
      <c r="A877" s="202"/>
      <c r="I877" s="149"/>
      <c r="J877" s="59"/>
    </row>
    <row r="878" spans="1:10" ht="13">
      <c r="A878" s="202"/>
      <c r="I878" s="149"/>
      <c r="J878" s="59"/>
    </row>
    <row r="879" spans="1:10" ht="13">
      <c r="A879" s="202"/>
      <c r="I879" s="149"/>
      <c r="J879" s="59"/>
    </row>
    <row r="880" spans="1:10" ht="13">
      <c r="A880" s="202"/>
      <c r="I880" s="149"/>
      <c r="J880" s="59"/>
    </row>
    <row r="881" spans="1:10" ht="13">
      <c r="A881" s="202"/>
      <c r="I881" s="149"/>
      <c r="J881" s="59"/>
    </row>
    <row r="882" spans="1:10" ht="13">
      <c r="A882" s="202"/>
      <c r="I882" s="149"/>
      <c r="J882" s="59"/>
    </row>
    <row r="883" spans="1:10" ht="13">
      <c r="A883" s="202"/>
      <c r="I883" s="149"/>
      <c r="J883" s="59"/>
    </row>
    <row r="884" spans="1:10" ht="13">
      <c r="A884" s="202"/>
      <c r="I884" s="149"/>
      <c r="J884" s="59"/>
    </row>
    <row r="885" spans="1:10" ht="13">
      <c r="A885" s="202"/>
      <c r="I885" s="149"/>
      <c r="J885" s="59"/>
    </row>
    <row r="886" spans="1:10" ht="13">
      <c r="A886" s="202"/>
      <c r="I886" s="149"/>
      <c r="J886" s="59"/>
    </row>
    <row r="887" spans="1:10" ht="13">
      <c r="A887" s="202"/>
      <c r="I887" s="149"/>
      <c r="J887" s="59"/>
    </row>
    <row r="888" spans="1:10" ht="13">
      <c r="A888" s="202"/>
      <c r="I888" s="149"/>
      <c r="J888" s="59"/>
    </row>
    <row r="889" spans="1:10" ht="13">
      <c r="A889" s="202"/>
      <c r="I889" s="149"/>
      <c r="J889" s="59"/>
    </row>
    <row r="890" spans="1:10" ht="13">
      <c r="A890" s="202"/>
      <c r="I890" s="149"/>
      <c r="J890" s="59"/>
    </row>
    <row r="891" spans="1:10" ht="13">
      <c r="A891" s="202"/>
      <c r="I891" s="149"/>
      <c r="J891" s="59"/>
    </row>
    <row r="892" spans="1:10" ht="13">
      <c r="A892" s="202"/>
      <c r="I892" s="149"/>
      <c r="J892" s="59"/>
    </row>
    <row r="893" spans="1:10" ht="13">
      <c r="A893" s="202"/>
      <c r="I893" s="149"/>
      <c r="J893" s="59"/>
    </row>
    <row r="894" spans="1:10" ht="13">
      <c r="A894" s="202"/>
      <c r="I894" s="149"/>
      <c r="J894" s="59"/>
    </row>
    <row r="895" spans="1:10" ht="13">
      <c r="A895" s="202"/>
      <c r="I895" s="149"/>
      <c r="J895" s="59"/>
    </row>
    <row r="896" spans="1:10" ht="13">
      <c r="A896" s="202"/>
      <c r="I896" s="149"/>
      <c r="J896" s="59"/>
    </row>
    <row r="897" spans="1:10" ht="13">
      <c r="A897" s="202"/>
      <c r="I897" s="149"/>
      <c r="J897" s="59"/>
    </row>
    <row r="898" spans="1:10" ht="13">
      <c r="A898" s="202"/>
      <c r="I898" s="149"/>
      <c r="J898" s="59"/>
    </row>
    <row r="899" spans="1:10" ht="13">
      <c r="A899" s="202"/>
      <c r="I899" s="149"/>
      <c r="J899" s="59"/>
    </row>
    <row r="900" spans="1:10" ht="13">
      <c r="A900" s="202"/>
      <c r="I900" s="149"/>
      <c r="J900" s="59"/>
    </row>
    <row r="901" spans="1:10" ht="13">
      <c r="A901" s="202"/>
      <c r="I901" s="149"/>
      <c r="J901" s="59"/>
    </row>
    <row r="902" spans="1:10" ht="13">
      <c r="A902" s="202"/>
      <c r="I902" s="149"/>
      <c r="J902" s="59"/>
    </row>
    <row r="903" spans="1:10" ht="13">
      <c r="A903" s="202"/>
      <c r="I903" s="149"/>
      <c r="J903" s="59"/>
    </row>
    <row r="904" spans="1:10" ht="13">
      <c r="A904" s="202"/>
      <c r="I904" s="149"/>
      <c r="J904" s="59"/>
    </row>
    <row r="905" spans="1:10" ht="13">
      <c r="A905" s="202"/>
      <c r="I905" s="149"/>
      <c r="J905" s="59"/>
    </row>
    <row r="906" spans="1:10" ht="13">
      <c r="A906" s="202"/>
      <c r="I906" s="149"/>
      <c r="J906" s="59"/>
    </row>
    <row r="907" spans="1:10" ht="13">
      <c r="A907" s="202"/>
      <c r="I907" s="149"/>
      <c r="J907" s="59"/>
    </row>
    <row r="908" spans="1:10" ht="13">
      <c r="A908" s="202"/>
      <c r="I908" s="149"/>
      <c r="J908" s="59"/>
    </row>
    <row r="909" spans="1:10" ht="13">
      <c r="A909" s="202"/>
      <c r="I909" s="149"/>
      <c r="J909" s="59"/>
    </row>
    <row r="910" spans="1:10" ht="13">
      <c r="A910" s="202"/>
      <c r="I910" s="149"/>
      <c r="J910" s="59"/>
    </row>
    <row r="911" spans="1:10" ht="13">
      <c r="A911" s="202"/>
      <c r="I911" s="149"/>
      <c r="J911" s="59"/>
    </row>
    <row r="912" spans="1:10" ht="13">
      <c r="A912" s="202"/>
      <c r="I912" s="149"/>
      <c r="J912" s="59"/>
    </row>
    <row r="913" spans="1:10" ht="13">
      <c r="A913" s="202"/>
      <c r="I913" s="149"/>
      <c r="J913" s="59"/>
    </row>
    <row r="914" spans="1:10" ht="13">
      <c r="A914" s="202"/>
      <c r="I914" s="149"/>
      <c r="J914" s="59"/>
    </row>
    <row r="915" spans="1:10" ht="13">
      <c r="A915" s="202"/>
      <c r="I915" s="149"/>
      <c r="J915" s="59"/>
    </row>
    <row r="916" spans="1:10" ht="13">
      <c r="A916" s="202"/>
      <c r="I916" s="149"/>
      <c r="J916" s="59"/>
    </row>
    <row r="917" spans="1:10" ht="13">
      <c r="A917" s="202"/>
      <c r="I917" s="149"/>
      <c r="J917" s="59"/>
    </row>
    <row r="918" spans="1:10" ht="13">
      <c r="A918" s="202"/>
      <c r="I918" s="149"/>
      <c r="J918" s="59"/>
    </row>
    <row r="919" spans="1:10" ht="13">
      <c r="A919" s="202"/>
      <c r="I919" s="149"/>
      <c r="J919" s="59"/>
    </row>
    <row r="920" spans="1:10" ht="13">
      <c r="A920" s="202"/>
      <c r="I920" s="149"/>
      <c r="J920" s="59"/>
    </row>
    <row r="921" spans="1:10" ht="13">
      <c r="A921" s="202"/>
      <c r="I921" s="149"/>
      <c r="J921" s="59"/>
    </row>
    <row r="922" spans="1:10" ht="13">
      <c r="A922" s="202"/>
      <c r="I922" s="149"/>
      <c r="J922" s="59"/>
    </row>
    <row r="923" spans="1:10" ht="13">
      <c r="A923" s="202"/>
      <c r="I923" s="149"/>
      <c r="J923" s="59"/>
    </row>
    <row r="924" spans="1:10" ht="13">
      <c r="A924" s="202"/>
      <c r="I924" s="149"/>
      <c r="J924" s="59"/>
    </row>
    <row r="925" spans="1:10" ht="13">
      <c r="A925" s="202"/>
      <c r="I925" s="149"/>
      <c r="J925" s="59"/>
    </row>
    <row r="926" spans="1:10" ht="13">
      <c r="A926" s="202"/>
      <c r="I926" s="149"/>
      <c r="J926" s="59"/>
    </row>
    <row r="927" spans="1:10" ht="13">
      <c r="A927" s="202"/>
      <c r="I927" s="149"/>
      <c r="J927" s="59"/>
    </row>
    <row r="928" spans="1:10" ht="13">
      <c r="A928" s="202"/>
      <c r="I928" s="149"/>
      <c r="J928" s="59"/>
    </row>
    <row r="929" spans="1:10" ht="13">
      <c r="A929" s="202"/>
      <c r="I929" s="149"/>
      <c r="J929" s="59"/>
    </row>
    <row r="930" spans="1:10" ht="13">
      <c r="A930" s="202"/>
      <c r="I930" s="149"/>
      <c r="J930" s="59"/>
    </row>
    <row r="931" spans="1:10" ht="13">
      <c r="A931" s="202"/>
      <c r="I931" s="149"/>
      <c r="J931" s="59"/>
    </row>
    <row r="932" spans="1:10" ht="13">
      <c r="A932" s="202"/>
      <c r="I932" s="149"/>
      <c r="J932" s="59"/>
    </row>
    <row r="933" spans="1:10" ht="13">
      <c r="A933" s="202"/>
      <c r="I933" s="149"/>
      <c r="J933" s="59"/>
    </row>
    <row r="934" spans="1:10" ht="13">
      <c r="A934" s="202"/>
      <c r="I934" s="149"/>
      <c r="J934" s="59"/>
    </row>
    <row r="935" spans="1:10" ht="13">
      <c r="A935" s="202"/>
      <c r="I935" s="149"/>
      <c r="J935" s="59"/>
    </row>
    <row r="936" spans="1:10" ht="13">
      <c r="A936" s="202"/>
      <c r="I936" s="149"/>
      <c r="J936" s="59"/>
    </row>
    <row r="937" spans="1:10" ht="13">
      <c r="A937" s="202"/>
      <c r="I937" s="149"/>
      <c r="J937" s="59"/>
    </row>
    <row r="938" spans="1:10" ht="13">
      <c r="A938" s="202"/>
      <c r="I938" s="149"/>
      <c r="J938" s="59"/>
    </row>
    <row r="939" spans="1:10" ht="13">
      <c r="A939" s="202"/>
      <c r="I939" s="149"/>
      <c r="J939" s="59"/>
    </row>
    <row r="940" spans="1:10" ht="13">
      <c r="A940" s="202"/>
      <c r="I940" s="149"/>
      <c r="J940" s="59"/>
    </row>
    <row r="941" spans="1:10" ht="13">
      <c r="A941" s="202"/>
      <c r="I941" s="149"/>
      <c r="J941" s="59"/>
    </row>
    <row r="942" spans="1:10" ht="13">
      <c r="A942" s="202"/>
      <c r="I942" s="149"/>
      <c r="J942" s="59"/>
    </row>
    <row r="943" spans="1:10" ht="13">
      <c r="A943" s="202"/>
      <c r="I943" s="149"/>
      <c r="J943" s="59"/>
    </row>
    <row r="944" spans="1:10" ht="13">
      <c r="A944" s="202"/>
      <c r="I944" s="149"/>
      <c r="J944" s="59"/>
    </row>
    <row r="945" spans="1:10" ht="13">
      <c r="A945" s="202"/>
      <c r="I945" s="149"/>
      <c r="J945" s="59"/>
    </row>
    <row r="946" spans="1:10" ht="13">
      <c r="A946" s="202"/>
      <c r="I946" s="149"/>
      <c r="J946" s="59"/>
    </row>
    <row r="947" spans="1:10" ht="13">
      <c r="A947" s="202"/>
      <c r="I947" s="149"/>
      <c r="J947" s="59"/>
    </row>
    <row r="948" spans="1:10" ht="13">
      <c r="A948" s="202"/>
      <c r="I948" s="149"/>
      <c r="J948" s="59"/>
    </row>
    <row r="949" spans="1:10" ht="13">
      <c r="A949" s="202"/>
      <c r="I949" s="149"/>
      <c r="J949" s="59"/>
    </row>
    <row r="950" spans="1:10" ht="13">
      <c r="A950" s="202"/>
      <c r="I950" s="149"/>
      <c r="J950" s="59"/>
    </row>
    <row r="951" spans="1:10" ht="13">
      <c r="A951" s="202"/>
      <c r="I951" s="149"/>
      <c r="J951" s="59"/>
    </row>
    <row r="952" spans="1:10" ht="13">
      <c r="A952" s="202"/>
      <c r="I952" s="149"/>
      <c r="J952" s="59"/>
    </row>
    <row r="953" spans="1:10" ht="13">
      <c r="A953" s="202"/>
      <c r="I953" s="149"/>
      <c r="J953" s="59"/>
    </row>
    <row r="954" spans="1:10" ht="13">
      <c r="A954" s="202"/>
      <c r="I954" s="149"/>
      <c r="J954" s="59"/>
    </row>
    <row r="955" spans="1:10" ht="13">
      <c r="A955" s="202"/>
      <c r="I955" s="149"/>
      <c r="J955" s="59"/>
    </row>
    <row r="956" spans="1:10" ht="13">
      <c r="A956" s="202"/>
      <c r="I956" s="149"/>
      <c r="J956" s="59"/>
    </row>
    <row r="957" spans="1:10" ht="13">
      <c r="A957" s="202"/>
      <c r="I957" s="149"/>
      <c r="J957" s="59"/>
    </row>
    <row r="958" spans="1:10" ht="13">
      <c r="A958" s="202"/>
      <c r="I958" s="149"/>
      <c r="J958" s="59"/>
    </row>
    <row r="959" spans="1:10" ht="13">
      <c r="A959" s="202"/>
      <c r="I959" s="149"/>
      <c r="J959" s="59"/>
    </row>
    <row r="960" spans="1:10" ht="13">
      <c r="A960" s="202"/>
      <c r="I960" s="149"/>
      <c r="J960" s="59"/>
    </row>
    <row r="961" spans="1:10" ht="13">
      <c r="A961" s="202"/>
      <c r="I961" s="149"/>
      <c r="J961" s="59"/>
    </row>
    <row r="962" spans="1:10" ht="13">
      <c r="A962" s="202"/>
      <c r="I962" s="149"/>
      <c r="J962" s="59"/>
    </row>
    <row r="963" spans="1:10" ht="13">
      <c r="A963" s="202"/>
      <c r="I963" s="149"/>
      <c r="J963" s="59"/>
    </row>
    <row r="964" spans="1:10" ht="13">
      <c r="A964" s="202"/>
      <c r="I964" s="149"/>
      <c r="J964" s="59"/>
    </row>
    <row r="965" spans="1:10" ht="13">
      <c r="A965" s="202"/>
      <c r="I965" s="149"/>
      <c r="J965" s="59"/>
    </row>
    <row r="966" spans="1:10" ht="13">
      <c r="A966" s="202"/>
      <c r="I966" s="149"/>
      <c r="J966" s="59"/>
    </row>
    <row r="967" spans="1:10" ht="13">
      <c r="A967" s="202"/>
      <c r="I967" s="149"/>
      <c r="J967" s="59"/>
    </row>
    <row r="968" spans="1:10" ht="13">
      <c r="A968" s="202"/>
      <c r="I968" s="149"/>
      <c r="J968" s="59"/>
    </row>
    <row r="969" spans="1:10" ht="13">
      <c r="A969" s="202"/>
      <c r="I969" s="149"/>
      <c r="J969" s="59"/>
    </row>
    <row r="970" spans="1:10" ht="13">
      <c r="A970" s="202"/>
      <c r="I970" s="149"/>
      <c r="J970" s="59"/>
    </row>
    <row r="971" spans="1:10" ht="13">
      <c r="A971" s="202"/>
      <c r="I971" s="149"/>
      <c r="J971" s="59"/>
    </row>
    <row r="972" spans="1:10" ht="13">
      <c r="A972" s="202"/>
      <c r="I972" s="149"/>
      <c r="J972" s="59"/>
    </row>
    <row r="973" spans="1:10" ht="13">
      <c r="A973" s="202"/>
      <c r="I973" s="149"/>
      <c r="J973" s="59"/>
    </row>
    <row r="974" spans="1:10" ht="13">
      <c r="A974" s="202"/>
      <c r="I974" s="149"/>
      <c r="J974" s="59"/>
    </row>
    <row r="975" spans="1:10" ht="13">
      <c r="A975" s="202"/>
      <c r="I975" s="149"/>
      <c r="J975" s="59"/>
    </row>
    <row r="976" spans="1:10" ht="13">
      <c r="A976" s="202"/>
      <c r="I976" s="149"/>
      <c r="J976" s="59"/>
    </row>
  </sheetData>
  <mergeCells count="2">
    <mergeCell ref="A13:G13"/>
    <mergeCell ref="A19:D19"/>
  </mergeCells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32"/>
  <sheetViews>
    <sheetView workbookViewId="0"/>
  </sheetViews>
  <sheetFormatPr baseColWidth="10" defaultColWidth="12.6640625" defaultRowHeight="15.75" customHeight="1"/>
  <cols>
    <col min="1" max="1" width="25.6640625" customWidth="1"/>
    <col min="6" max="6" width="9.6640625" customWidth="1"/>
    <col min="7" max="7" width="14.83203125" customWidth="1"/>
    <col min="8" max="8" width="8.6640625" customWidth="1"/>
    <col min="9" max="9" width="15.6640625" customWidth="1"/>
  </cols>
  <sheetData>
    <row r="1" spans="1:10" ht="15.75" customHeight="1">
      <c r="B1" s="148"/>
      <c r="C1" s="148"/>
      <c r="D1" s="148"/>
      <c r="E1" s="148"/>
      <c r="F1" s="149"/>
      <c r="G1" s="148"/>
      <c r="H1" s="148"/>
      <c r="I1" s="149"/>
    </row>
    <row r="2" spans="1:10" ht="15.75" customHeight="1">
      <c r="A2" s="226" t="s">
        <v>126</v>
      </c>
      <c r="B2" s="204" t="s">
        <v>195</v>
      </c>
      <c r="C2" s="204" t="s">
        <v>196</v>
      </c>
      <c r="D2" s="204" t="s">
        <v>197</v>
      </c>
      <c r="E2" s="58" t="s">
        <v>4</v>
      </c>
      <c r="F2" s="27" t="s">
        <v>5</v>
      </c>
      <c r="G2" s="27" t="s">
        <v>6</v>
      </c>
      <c r="H2" s="200" t="s">
        <v>9</v>
      </c>
      <c r="I2" s="205" t="s">
        <v>198</v>
      </c>
    </row>
    <row r="3" spans="1:10" ht="15.75" customHeight="1">
      <c r="A3" s="63" t="s">
        <v>199</v>
      </c>
      <c r="B3" s="83">
        <f>'Исходные данные'!D12</f>
        <v>402</v>
      </c>
      <c r="C3" s="108">
        <f>'Исходные данные'!G22</f>
        <v>28</v>
      </c>
      <c r="D3" s="108"/>
      <c r="E3" s="206">
        <v>637618</v>
      </c>
      <c r="F3" s="207">
        <v>12</v>
      </c>
      <c r="G3" s="108">
        <f t="shared" ref="G3:G10" si="0">E3/F3</f>
        <v>53134.833333333336</v>
      </c>
      <c r="H3" s="108"/>
      <c r="I3" s="211">
        <f>G3/B3*C3</f>
        <v>3700.9336650082914</v>
      </c>
      <c r="J3" s="227"/>
    </row>
    <row r="4" spans="1:10" ht="15.75" customHeight="1">
      <c r="A4" s="63" t="s">
        <v>147</v>
      </c>
      <c r="B4" s="63"/>
      <c r="C4" s="108"/>
      <c r="D4" s="108"/>
      <c r="E4" s="206"/>
      <c r="F4" s="207">
        <v>12</v>
      </c>
      <c r="G4" s="108">
        <f t="shared" si="0"/>
        <v>0</v>
      </c>
      <c r="H4" s="108"/>
      <c r="I4" s="211">
        <f t="shared" ref="I4:I10" si="1">G4</f>
        <v>0</v>
      </c>
      <c r="J4" s="227"/>
    </row>
    <row r="5" spans="1:10" ht="15.75" customHeight="1">
      <c r="A5" s="63" t="s">
        <v>234</v>
      </c>
      <c r="B5" s="108"/>
      <c r="C5" s="108"/>
      <c r="D5" s="108"/>
      <c r="E5" s="108">
        <v>86400</v>
      </c>
      <c r="F5" s="207">
        <v>12</v>
      </c>
      <c r="G5" s="108">
        <f t="shared" si="0"/>
        <v>7200</v>
      </c>
      <c r="H5" s="108"/>
      <c r="I5" s="211">
        <f t="shared" si="1"/>
        <v>7200</v>
      </c>
      <c r="J5" s="227"/>
    </row>
    <row r="6" spans="1:10" ht="15.75" customHeight="1">
      <c r="A6" s="73" t="s">
        <v>148</v>
      </c>
      <c r="B6" s="108"/>
      <c r="C6" s="108"/>
      <c r="D6" s="108"/>
      <c r="E6" s="108">
        <v>64643</v>
      </c>
      <c r="F6" s="207">
        <v>12</v>
      </c>
      <c r="G6" s="108">
        <f t="shared" si="0"/>
        <v>5386.916666666667</v>
      </c>
      <c r="H6" s="207"/>
      <c r="I6" s="211">
        <f t="shared" si="1"/>
        <v>5386.916666666667</v>
      </c>
      <c r="J6" s="227"/>
    </row>
    <row r="7" spans="1:10" ht="15.75" customHeight="1">
      <c r="A7" s="73" t="s">
        <v>150</v>
      </c>
      <c r="B7" s="108"/>
      <c r="C7" s="108"/>
      <c r="D7" s="108"/>
      <c r="E7" s="108">
        <v>0</v>
      </c>
      <c r="F7" s="207">
        <v>12</v>
      </c>
      <c r="G7" s="108">
        <f t="shared" si="0"/>
        <v>0</v>
      </c>
      <c r="H7" s="207"/>
      <c r="I7" s="211">
        <f t="shared" si="1"/>
        <v>0</v>
      </c>
    </row>
    <row r="8" spans="1:10" ht="15.75" customHeight="1">
      <c r="A8" s="73" t="s">
        <v>149</v>
      </c>
      <c r="B8" s="108"/>
      <c r="C8" s="108"/>
      <c r="D8" s="108"/>
      <c r="E8" s="108">
        <v>0</v>
      </c>
      <c r="F8" s="207">
        <v>12</v>
      </c>
      <c r="G8" s="108">
        <f t="shared" si="0"/>
        <v>0</v>
      </c>
      <c r="H8" s="207"/>
      <c r="I8" s="211">
        <f t="shared" si="1"/>
        <v>0</v>
      </c>
      <c r="J8" s="227"/>
    </row>
    <row r="9" spans="1:10" ht="15.75" customHeight="1">
      <c r="A9" s="73" t="s">
        <v>203</v>
      </c>
      <c r="B9" s="108"/>
      <c r="C9" s="108"/>
      <c r="D9" s="108"/>
      <c r="E9" s="108"/>
      <c r="F9" s="207">
        <v>12</v>
      </c>
      <c r="G9" s="108">
        <f t="shared" si="0"/>
        <v>0</v>
      </c>
      <c r="H9" s="207"/>
      <c r="I9" s="211">
        <f t="shared" si="1"/>
        <v>0</v>
      </c>
      <c r="J9" s="227"/>
    </row>
    <row r="10" spans="1:10" ht="15.75" customHeight="1">
      <c r="A10" s="73" t="s">
        <v>204</v>
      </c>
      <c r="B10" s="108"/>
      <c r="C10" s="108"/>
      <c r="D10" s="108"/>
      <c r="E10" s="108">
        <v>533</v>
      </c>
      <c r="F10" s="207">
        <v>12</v>
      </c>
      <c r="G10" s="108">
        <f t="shared" si="0"/>
        <v>44.416666666666664</v>
      </c>
      <c r="H10" s="207"/>
      <c r="I10" s="211">
        <f t="shared" si="1"/>
        <v>44.416666666666664</v>
      </c>
      <c r="J10" s="227"/>
    </row>
    <row r="11" spans="1:10" ht="15.75" customHeight="1">
      <c r="A11" s="58" t="s">
        <v>155</v>
      </c>
      <c r="B11" s="61"/>
      <c r="C11" s="61"/>
      <c r="D11" s="210"/>
      <c r="E11" s="61"/>
      <c r="F11" s="200"/>
      <c r="G11" s="61"/>
      <c r="H11" s="200"/>
      <c r="I11" s="211">
        <f>D23</f>
        <v>0</v>
      </c>
    </row>
    <row r="12" spans="1:10" ht="15.75" customHeight="1">
      <c r="A12" s="58" t="s">
        <v>152</v>
      </c>
      <c r="B12" s="61"/>
      <c r="C12" s="61"/>
      <c r="D12" s="210">
        <f>B17</f>
        <v>3980</v>
      </c>
      <c r="E12" s="61"/>
      <c r="F12" s="200"/>
      <c r="G12" s="61"/>
      <c r="H12" s="209">
        <f>'Общие расходы ГЭ'!G16</f>
        <v>9.1731976502919679</v>
      </c>
      <c r="I12" s="211">
        <f t="shared" ref="I12:I14" si="2">D12*H12</f>
        <v>36509.32664816203</v>
      </c>
      <c r="J12" s="227"/>
    </row>
    <row r="13" spans="1:10" ht="15.75" customHeight="1">
      <c r="A13" s="58" t="s">
        <v>235</v>
      </c>
      <c r="B13" s="61"/>
      <c r="C13" s="61"/>
      <c r="D13" s="210">
        <f>B17</f>
        <v>3980</v>
      </c>
      <c r="E13" s="61"/>
      <c r="F13" s="200"/>
      <c r="G13" s="61"/>
      <c r="H13" s="209">
        <f>'Общие расходы г. Тюмень'!F4</f>
        <v>0.27439332347868928</v>
      </c>
      <c r="I13" s="211">
        <f t="shared" si="2"/>
        <v>1092.0854274451833</v>
      </c>
      <c r="J13" s="227"/>
    </row>
    <row r="14" spans="1:10" ht="15.75" customHeight="1">
      <c r="A14" s="58" t="s">
        <v>156</v>
      </c>
      <c r="B14" s="61"/>
      <c r="C14" s="61"/>
      <c r="D14" s="210">
        <f>B17</f>
        <v>3980</v>
      </c>
      <c r="E14" s="61"/>
      <c r="F14" s="200"/>
      <c r="G14" s="61"/>
      <c r="H14" s="201">
        <f>'Общие расходы г. Тюмень'!F30</f>
        <v>0.74801393423739049</v>
      </c>
      <c r="I14" s="211">
        <f t="shared" si="2"/>
        <v>2977.0954582648142</v>
      </c>
    </row>
    <row r="15" spans="1:10" ht="15.75" customHeight="1">
      <c r="A15" s="334" t="s">
        <v>62</v>
      </c>
      <c r="B15" s="332"/>
      <c r="C15" s="332"/>
      <c r="D15" s="332"/>
      <c r="E15" s="332"/>
      <c r="F15" s="332"/>
      <c r="G15" s="332"/>
      <c r="H15" s="321"/>
      <c r="I15" s="211">
        <f>SUM(I3:I14)</f>
        <v>56910.774532213654</v>
      </c>
    </row>
    <row r="16" spans="1:10" ht="15.75" customHeight="1">
      <c r="B16" s="148"/>
      <c r="C16" s="148"/>
      <c r="D16" s="148"/>
      <c r="E16" s="148"/>
      <c r="F16" s="149"/>
      <c r="G16" s="148"/>
      <c r="H16" s="148"/>
      <c r="I16" s="149"/>
    </row>
    <row r="17" spans="1:9" ht="15.75" customHeight="1">
      <c r="A17" s="58" t="s">
        <v>205</v>
      </c>
      <c r="B17" s="210">
        <f>'Исходные данные'!B22</f>
        <v>3980</v>
      </c>
      <c r="C17" s="148"/>
      <c r="D17" s="148"/>
      <c r="E17" s="148"/>
      <c r="F17" s="149"/>
      <c r="G17" s="148"/>
      <c r="H17" s="148"/>
      <c r="I17" s="149"/>
    </row>
    <row r="18" spans="1:9" ht="15.75" customHeight="1">
      <c r="A18" s="58" t="s">
        <v>206</v>
      </c>
      <c r="B18" s="210">
        <f>'Исходные данные'!C22</f>
        <v>0</v>
      </c>
      <c r="C18" s="148"/>
      <c r="D18" s="148"/>
      <c r="E18" s="148"/>
      <c r="F18" s="149"/>
      <c r="G18" s="148"/>
      <c r="H18" s="148"/>
      <c r="I18" s="149"/>
    </row>
    <row r="19" spans="1:9" ht="15.75" customHeight="1">
      <c r="A19" s="58" t="s">
        <v>207</v>
      </c>
      <c r="B19" s="210">
        <f>'Исходные данные'!D22</f>
        <v>0</v>
      </c>
      <c r="C19" s="148"/>
      <c r="D19" s="148"/>
      <c r="E19" s="148"/>
      <c r="F19" s="149"/>
      <c r="G19" s="148"/>
      <c r="H19" s="148"/>
      <c r="I19" s="149"/>
    </row>
    <row r="20" spans="1:9" ht="15.75" customHeight="1">
      <c r="B20" s="148"/>
      <c r="C20" s="148"/>
      <c r="D20" s="148"/>
      <c r="E20" s="148"/>
      <c r="F20" s="149"/>
      <c r="G20" s="148"/>
      <c r="H20" s="148"/>
      <c r="I20" s="149"/>
    </row>
    <row r="21" spans="1:9" ht="15.75" customHeight="1">
      <c r="A21" s="333" t="s">
        <v>208</v>
      </c>
      <c r="B21" s="332"/>
      <c r="C21" s="332"/>
      <c r="D21" s="321"/>
      <c r="E21" s="62"/>
      <c r="F21" s="59"/>
      <c r="G21" s="59"/>
      <c r="H21" s="59"/>
    </row>
    <row r="22" spans="1:9" ht="15.75" customHeight="1">
      <c r="A22" s="215" t="s">
        <v>209</v>
      </c>
      <c r="B22" s="216" t="s">
        <v>210</v>
      </c>
      <c r="C22" s="78" t="s">
        <v>5</v>
      </c>
      <c r="D22" s="216" t="s">
        <v>211</v>
      </c>
      <c r="E22" s="62"/>
    </row>
    <row r="23" spans="1:9" ht="15.75" customHeight="1">
      <c r="A23" s="228"/>
      <c r="B23" s="108"/>
      <c r="C23" s="108">
        <v>12</v>
      </c>
      <c r="D23" s="108">
        <f>B23/C23</f>
        <v>0</v>
      </c>
      <c r="E23" s="62"/>
    </row>
    <row r="24" spans="1:9" ht="15.75" customHeight="1">
      <c r="A24" s="228"/>
      <c r="B24" s="108"/>
      <c r="C24" s="108"/>
      <c r="D24" s="108"/>
      <c r="E24" s="62"/>
    </row>
    <row r="25" spans="1:9" ht="15.75" customHeight="1">
      <c r="A25" s="228"/>
      <c r="B25" s="108"/>
      <c r="C25" s="108"/>
      <c r="D25" s="108"/>
      <c r="E25" s="62"/>
    </row>
    <row r="26" spans="1:9" ht="15.75" customHeight="1">
      <c r="A26" s="63"/>
      <c r="B26" s="108"/>
      <c r="C26" s="108"/>
      <c r="D26" s="108"/>
      <c r="E26" s="64"/>
    </row>
    <row r="27" spans="1:9" ht="15.75" customHeight="1">
      <c r="A27" s="63"/>
      <c r="B27" s="108"/>
      <c r="C27" s="108"/>
      <c r="D27" s="108"/>
      <c r="E27" s="62"/>
    </row>
    <row r="28" spans="1:9" ht="15.75" customHeight="1">
      <c r="A28" s="63"/>
      <c r="B28" s="108"/>
      <c r="C28" s="108"/>
      <c r="D28" s="108"/>
      <c r="E28" s="62"/>
    </row>
    <row r="31" spans="1:9" ht="15.75" customHeight="1">
      <c r="A31" s="59"/>
    </row>
    <row r="32" spans="1:9" ht="15.75" customHeight="1">
      <c r="A32" s="59"/>
    </row>
  </sheetData>
  <mergeCells count="2">
    <mergeCell ref="A15:H15"/>
    <mergeCell ref="A21:D21"/>
  </mergeCells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J1003"/>
  <sheetViews>
    <sheetView workbookViewId="0"/>
  </sheetViews>
  <sheetFormatPr baseColWidth="10" defaultColWidth="12.6640625" defaultRowHeight="15.75" customHeight="1"/>
  <cols>
    <col min="1" max="1" width="29.5" customWidth="1"/>
    <col min="6" max="6" width="9.6640625" customWidth="1"/>
    <col min="7" max="7" width="13.83203125" customWidth="1"/>
    <col min="8" max="8" width="6.33203125" customWidth="1"/>
  </cols>
  <sheetData>
    <row r="1" spans="1:10" ht="15.75" customHeight="1">
      <c r="A1" s="202"/>
      <c r="B1" s="148"/>
      <c r="C1" s="148"/>
      <c r="D1" s="148"/>
      <c r="E1" s="148"/>
      <c r="F1" s="149"/>
      <c r="G1" s="148"/>
      <c r="H1" s="148"/>
      <c r="I1" s="149"/>
    </row>
    <row r="2" spans="1:10" ht="15.75" customHeight="1">
      <c r="A2" s="203" t="s">
        <v>42</v>
      </c>
      <c r="B2" s="204" t="s">
        <v>195</v>
      </c>
      <c r="C2" s="204" t="s">
        <v>196</v>
      </c>
      <c r="D2" s="204" t="s">
        <v>197</v>
      </c>
      <c r="E2" s="58" t="s">
        <v>4</v>
      </c>
      <c r="F2" s="27" t="s">
        <v>5</v>
      </c>
      <c r="G2" s="27" t="s">
        <v>6</v>
      </c>
      <c r="H2" s="200" t="s">
        <v>9</v>
      </c>
      <c r="I2" s="205" t="s">
        <v>198</v>
      </c>
    </row>
    <row r="3" spans="1:10" ht="15.75" customHeight="1">
      <c r="A3" s="73" t="s">
        <v>199</v>
      </c>
      <c r="B3" s="83">
        <f>'Исходные данные'!D12</f>
        <v>402</v>
      </c>
      <c r="C3" s="108">
        <f>'Исходные данные'!G17</f>
        <v>5</v>
      </c>
      <c r="D3" s="108"/>
      <c r="E3" s="206">
        <v>637618</v>
      </c>
      <c r="F3" s="207">
        <v>12</v>
      </c>
      <c r="G3" s="108">
        <f>E3/F3</f>
        <v>53134.833333333336</v>
      </c>
      <c r="H3" s="61"/>
      <c r="I3" s="229">
        <f>G3/B3*C3</f>
        <v>660.88101160862357</v>
      </c>
      <c r="J3" s="227"/>
    </row>
    <row r="4" spans="1:10" ht="15.75" customHeight="1">
      <c r="A4" s="73"/>
      <c r="B4" s="83"/>
      <c r="C4" s="108"/>
      <c r="D4" s="108"/>
      <c r="E4" s="108"/>
      <c r="F4" s="207"/>
      <c r="G4" s="108"/>
      <c r="H4" s="61"/>
      <c r="I4" s="229"/>
    </row>
    <row r="5" spans="1:10" ht="15.75" customHeight="1">
      <c r="A5" s="73"/>
      <c r="B5" s="83"/>
      <c r="C5" s="108"/>
      <c r="D5" s="108"/>
      <c r="E5" s="108"/>
      <c r="F5" s="207">
        <v>12</v>
      </c>
      <c r="G5" s="108">
        <f t="shared" ref="G5:G9" si="0">E5/F5</f>
        <v>0</v>
      </c>
      <c r="H5" s="61"/>
      <c r="I5" s="229">
        <f t="shared" ref="I5:I9" si="1">G5</f>
        <v>0</v>
      </c>
      <c r="J5" s="227"/>
    </row>
    <row r="6" spans="1:10" ht="15.75" customHeight="1">
      <c r="A6" s="73" t="s">
        <v>148</v>
      </c>
      <c r="B6" s="108"/>
      <c r="C6" s="108"/>
      <c r="D6" s="108"/>
      <c r="E6" s="108">
        <v>535</v>
      </c>
      <c r="F6" s="207">
        <v>12</v>
      </c>
      <c r="G6" s="108">
        <f t="shared" si="0"/>
        <v>44.583333333333336</v>
      </c>
      <c r="H6" s="200"/>
      <c r="I6" s="229">
        <f t="shared" si="1"/>
        <v>44.583333333333336</v>
      </c>
      <c r="J6" s="227"/>
    </row>
    <row r="7" spans="1:10" ht="15.75" customHeight="1">
      <c r="A7" s="73" t="s">
        <v>150</v>
      </c>
      <c r="B7" s="108"/>
      <c r="C7" s="108"/>
      <c r="D7" s="108"/>
      <c r="E7" s="108">
        <v>0</v>
      </c>
      <c r="F7" s="207">
        <v>12</v>
      </c>
      <c r="G7" s="108">
        <f t="shared" si="0"/>
        <v>0</v>
      </c>
      <c r="H7" s="200"/>
      <c r="I7" s="229">
        <f t="shared" si="1"/>
        <v>0</v>
      </c>
    </row>
    <row r="8" spans="1:10" ht="15.75" customHeight="1">
      <c r="A8" s="73" t="s">
        <v>149</v>
      </c>
      <c r="B8" s="108"/>
      <c r="C8" s="108"/>
      <c r="D8" s="108"/>
      <c r="E8" s="108">
        <v>0</v>
      </c>
      <c r="F8" s="207">
        <v>12</v>
      </c>
      <c r="G8" s="108">
        <f t="shared" si="0"/>
        <v>0</v>
      </c>
      <c r="H8" s="200"/>
      <c r="I8" s="229">
        <f t="shared" si="1"/>
        <v>0</v>
      </c>
    </row>
    <row r="9" spans="1:10" ht="15.75" customHeight="1">
      <c r="A9" s="58" t="s">
        <v>203</v>
      </c>
      <c r="B9" s="61"/>
      <c r="C9" s="61"/>
      <c r="D9" s="61"/>
      <c r="E9" s="61">
        <v>350</v>
      </c>
      <c r="F9" s="200">
        <v>12</v>
      </c>
      <c r="G9" s="108">
        <f t="shared" si="0"/>
        <v>29.166666666666668</v>
      </c>
      <c r="H9" s="200"/>
      <c r="I9" s="229">
        <f t="shared" si="1"/>
        <v>29.166666666666668</v>
      </c>
      <c r="J9" s="227"/>
    </row>
    <row r="10" spans="1:10" ht="15.75" customHeight="1">
      <c r="A10" s="58" t="s">
        <v>152</v>
      </c>
      <c r="B10" s="61"/>
      <c r="C10" s="61"/>
      <c r="D10" s="210">
        <f>B15</f>
        <v>220</v>
      </c>
      <c r="E10" s="61"/>
      <c r="F10" s="200"/>
      <c r="G10" s="61"/>
      <c r="H10" s="209">
        <f>'Общие расходы ГЭ'!G16</f>
        <v>9.1731976502919679</v>
      </c>
      <c r="I10" s="229">
        <f t="shared" ref="I10:I12" si="2">D10*H10</f>
        <v>2018.1034830642329</v>
      </c>
      <c r="J10" s="227"/>
    </row>
    <row r="11" spans="1:10" ht="15.75" customHeight="1">
      <c r="A11" s="58" t="s">
        <v>235</v>
      </c>
      <c r="B11" s="61"/>
      <c r="C11" s="61"/>
      <c r="D11" s="210">
        <f>B15</f>
        <v>220</v>
      </c>
      <c r="E11" s="61"/>
      <c r="F11" s="200"/>
      <c r="G11" s="61"/>
      <c r="H11" s="209">
        <f>'Общие расходы г. Тюмень'!F4</f>
        <v>0.27439332347868928</v>
      </c>
      <c r="I11" s="229">
        <f t="shared" si="2"/>
        <v>60.366531165311642</v>
      </c>
      <c r="J11" s="227"/>
    </row>
    <row r="12" spans="1:10" ht="15.75" customHeight="1">
      <c r="A12" s="58" t="s">
        <v>156</v>
      </c>
      <c r="B12" s="61"/>
      <c r="C12" s="61"/>
      <c r="D12" s="210">
        <f>B15</f>
        <v>220</v>
      </c>
      <c r="E12" s="61"/>
      <c r="F12" s="200"/>
      <c r="G12" s="61"/>
      <c r="H12" s="201">
        <f>'Общие расходы г. Тюмень'!F30</f>
        <v>0.74801393423739049</v>
      </c>
      <c r="I12" s="229">
        <f t="shared" si="2"/>
        <v>164.56306553222592</v>
      </c>
    </row>
    <row r="13" spans="1:10" ht="15.75" customHeight="1">
      <c r="A13" s="230"/>
      <c r="B13" s="231"/>
      <c r="C13" s="231"/>
      <c r="D13" s="231"/>
      <c r="E13" s="231"/>
      <c r="F13" s="232"/>
      <c r="G13" s="231"/>
      <c r="H13" s="231"/>
      <c r="I13" s="211">
        <f>SUM(I3:I12)</f>
        <v>2977.6640913703941</v>
      </c>
    </row>
    <row r="14" spans="1:10" ht="15.75" customHeight="1">
      <c r="A14" s="202"/>
      <c r="B14" s="148"/>
      <c r="C14" s="148"/>
      <c r="D14" s="148"/>
      <c r="E14" s="148"/>
      <c r="F14" s="149"/>
      <c r="G14" s="148"/>
      <c r="H14" s="148"/>
      <c r="I14" s="149"/>
    </row>
    <row r="15" spans="1:10" ht="15.75" customHeight="1">
      <c r="A15" s="58" t="s">
        <v>205</v>
      </c>
      <c r="B15" s="210">
        <f>'Исходные данные'!B17</f>
        <v>220</v>
      </c>
      <c r="C15" s="148"/>
      <c r="D15" s="148"/>
      <c r="E15" s="148"/>
      <c r="F15" s="149"/>
      <c r="G15" s="148"/>
      <c r="H15" s="148"/>
      <c r="I15" s="149"/>
    </row>
    <row r="16" spans="1:10" ht="15.75" customHeight="1">
      <c r="A16" s="58" t="s">
        <v>206</v>
      </c>
      <c r="B16" s="210">
        <f>'Исходные данные'!C17</f>
        <v>0</v>
      </c>
      <c r="C16" s="148"/>
      <c r="D16" s="148"/>
      <c r="E16" s="148"/>
      <c r="F16" s="149"/>
      <c r="G16" s="148"/>
      <c r="H16" s="148"/>
      <c r="I16" s="149"/>
    </row>
    <row r="17" spans="1:9" ht="15.75" customHeight="1">
      <c r="A17" s="58" t="s">
        <v>207</v>
      </c>
      <c r="B17" s="213">
        <f>'Исходные данные'!D17</f>
        <v>0</v>
      </c>
      <c r="C17" s="148"/>
      <c r="D17" s="148"/>
      <c r="E17" s="148"/>
      <c r="F17" s="149"/>
      <c r="G17" s="148"/>
      <c r="H17" s="148"/>
      <c r="I17" s="149"/>
    </row>
    <row r="18" spans="1:9" ht="15.75" customHeight="1">
      <c r="A18" s="233"/>
      <c r="B18" s="62"/>
      <c r="C18" s="62"/>
      <c r="D18" s="62"/>
      <c r="E18" s="62"/>
      <c r="F18" s="59"/>
      <c r="G18" s="59"/>
      <c r="H18" s="59"/>
    </row>
    <row r="19" spans="1:9" ht="15.75" customHeight="1">
      <c r="A19" s="333" t="s">
        <v>208</v>
      </c>
      <c r="B19" s="332"/>
      <c r="C19" s="332"/>
      <c r="D19" s="321"/>
      <c r="E19" s="148"/>
    </row>
    <row r="20" spans="1:9" ht="15.75" customHeight="1">
      <c r="A20" s="215" t="s">
        <v>209</v>
      </c>
      <c r="B20" s="216" t="s">
        <v>210</v>
      </c>
      <c r="C20" s="78" t="s">
        <v>5</v>
      </c>
      <c r="D20" s="216" t="s">
        <v>211</v>
      </c>
      <c r="E20" s="47"/>
    </row>
    <row r="21" spans="1:9" ht="15.75" customHeight="1">
      <c r="A21" s="234"/>
      <c r="B21" s="61"/>
      <c r="C21" s="61"/>
      <c r="D21" s="61"/>
      <c r="E21" s="47"/>
    </row>
    <row r="22" spans="1:9" ht="15.75" customHeight="1">
      <c r="A22" s="234"/>
      <c r="B22" s="61"/>
      <c r="C22" s="61"/>
      <c r="D22" s="61"/>
      <c r="E22" s="47"/>
    </row>
    <row r="23" spans="1:9" ht="15.75" customHeight="1">
      <c r="A23" s="234"/>
      <c r="B23" s="61"/>
      <c r="C23" s="61"/>
      <c r="D23" s="61"/>
      <c r="E23" s="47"/>
    </row>
    <row r="24" spans="1:9" ht="15.75" customHeight="1">
      <c r="A24" s="58"/>
      <c r="B24" s="61"/>
      <c r="C24" s="61"/>
      <c r="D24" s="61"/>
      <c r="E24" s="47"/>
    </row>
    <row r="25" spans="1:9" ht="15.75" customHeight="1">
      <c r="A25" s="58"/>
      <c r="B25" s="61"/>
      <c r="C25" s="61"/>
      <c r="D25" s="61"/>
      <c r="E25" s="47"/>
    </row>
    <row r="26" spans="1:9" ht="15.75" customHeight="1">
      <c r="A26" s="235"/>
      <c r="B26" s="27"/>
      <c r="C26" s="27"/>
      <c r="D26" s="27"/>
      <c r="E26" s="60"/>
    </row>
    <row r="27" spans="1:9" ht="15.75" customHeight="1">
      <c r="A27" s="65"/>
      <c r="B27" s="27"/>
      <c r="C27" s="27"/>
      <c r="D27" s="27"/>
      <c r="E27" s="236"/>
    </row>
    <row r="28" spans="1:9" ht="15.75" customHeight="1">
      <c r="A28" s="65"/>
      <c r="B28" s="27"/>
      <c r="C28" s="27"/>
      <c r="D28" s="27"/>
      <c r="E28" s="236"/>
    </row>
    <row r="29" spans="1:9" ht="15.75" customHeight="1">
      <c r="A29" s="202"/>
    </row>
    <row r="30" spans="1:9" ht="15.75" customHeight="1">
      <c r="A30" s="202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  <row r="984" spans="1:1" ht="13">
      <c r="A984" s="202"/>
    </row>
    <row r="985" spans="1:1" ht="13">
      <c r="A985" s="202"/>
    </row>
    <row r="986" spans="1:1" ht="13">
      <c r="A986" s="202"/>
    </row>
    <row r="987" spans="1:1" ht="13">
      <c r="A987" s="202"/>
    </row>
    <row r="988" spans="1:1" ht="13">
      <c r="A988" s="202"/>
    </row>
    <row r="989" spans="1:1" ht="13">
      <c r="A989" s="202"/>
    </row>
    <row r="990" spans="1:1" ht="13">
      <c r="A990" s="202"/>
    </row>
    <row r="991" spans="1:1" ht="13">
      <c r="A991" s="202"/>
    </row>
    <row r="992" spans="1:1" ht="13">
      <c r="A992" s="202"/>
    </row>
    <row r="993" spans="1:1" ht="13">
      <c r="A993" s="202"/>
    </row>
    <row r="994" spans="1:1" ht="13">
      <c r="A994" s="202"/>
    </row>
    <row r="995" spans="1:1" ht="13">
      <c r="A995" s="202"/>
    </row>
    <row r="996" spans="1:1" ht="13">
      <c r="A996" s="202"/>
    </row>
    <row r="997" spans="1:1" ht="13">
      <c r="A997" s="202"/>
    </row>
    <row r="998" spans="1:1" ht="13">
      <c r="A998" s="202"/>
    </row>
    <row r="999" spans="1:1" ht="13">
      <c r="A999" s="202"/>
    </row>
    <row r="1000" spans="1:1" ht="13">
      <c r="A1000" s="202"/>
    </row>
    <row r="1001" spans="1:1" ht="13">
      <c r="A1001" s="202"/>
    </row>
    <row r="1002" spans="1:1" ht="13">
      <c r="A1002" s="202"/>
    </row>
    <row r="1003" spans="1:1" ht="13">
      <c r="A1003" s="202"/>
    </row>
  </sheetData>
  <mergeCells count="1">
    <mergeCell ref="A19:D19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J26"/>
  <sheetViews>
    <sheetView workbookViewId="0"/>
  </sheetViews>
  <sheetFormatPr baseColWidth="10" defaultColWidth="12.6640625" defaultRowHeight="15.75" customHeight="1"/>
  <cols>
    <col min="1" max="1" width="30.1640625" customWidth="1"/>
    <col min="6" max="6" width="9.6640625" customWidth="1"/>
    <col min="7" max="7" width="14.83203125" customWidth="1"/>
    <col min="8" max="8" width="9.33203125" customWidth="1"/>
  </cols>
  <sheetData>
    <row r="1" spans="1:10" ht="15.75" customHeight="1">
      <c r="B1" s="148"/>
      <c r="C1" s="148"/>
      <c r="D1" s="148"/>
      <c r="E1" s="148"/>
      <c r="F1" s="149"/>
      <c r="G1" s="148"/>
      <c r="H1" s="148"/>
      <c r="I1" s="149"/>
    </row>
    <row r="2" spans="1:10" ht="15.75" customHeight="1">
      <c r="A2" s="226" t="s">
        <v>127</v>
      </c>
      <c r="B2" s="204" t="s">
        <v>195</v>
      </c>
      <c r="C2" s="204" t="s">
        <v>196</v>
      </c>
      <c r="D2" s="204" t="s">
        <v>197</v>
      </c>
      <c r="E2" s="58" t="s">
        <v>4</v>
      </c>
      <c r="F2" s="27" t="s">
        <v>5</v>
      </c>
      <c r="G2" s="27" t="s">
        <v>6</v>
      </c>
      <c r="H2" s="200" t="s">
        <v>9</v>
      </c>
      <c r="I2" s="205" t="s">
        <v>198</v>
      </c>
    </row>
    <row r="3" spans="1:10" ht="15.75" customHeight="1">
      <c r="A3" s="63" t="s">
        <v>199</v>
      </c>
      <c r="B3" s="83">
        <f>'Исходные данные'!D12</f>
        <v>402</v>
      </c>
      <c r="C3" s="83">
        <f>'Исходные данные'!G18</f>
        <v>8</v>
      </c>
      <c r="D3" s="206"/>
      <c r="E3" s="206">
        <v>637618</v>
      </c>
      <c r="F3" s="207">
        <v>12</v>
      </c>
      <c r="G3" s="108">
        <f t="shared" ref="G3:G7" si="0">E3/F3</f>
        <v>53134.833333333336</v>
      </c>
      <c r="H3" s="61"/>
      <c r="I3" s="211">
        <f>G3/B3*C3</f>
        <v>1057.4096185737976</v>
      </c>
      <c r="J3" s="227"/>
    </row>
    <row r="4" spans="1:10" ht="15.75" customHeight="1">
      <c r="A4" s="73" t="s">
        <v>148</v>
      </c>
      <c r="B4" s="108"/>
      <c r="C4" s="108"/>
      <c r="D4" s="83"/>
      <c r="E4" s="108">
        <v>2565</v>
      </c>
      <c r="F4" s="207">
        <v>12</v>
      </c>
      <c r="G4" s="108">
        <f t="shared" si="0"/>
        <v>213.75</v>
      </c>
      <c r="H4" s="200"/>
      <c r="I4" s="211">
        <f t="shared" ref="I4:I7" si="1">G4</f>
        <v>213.75</v>
      </c>
      <c r="J4" s="227"/>
    </row>
    <row r="5" spans="1:10" ht="15.75" customHeight="1">
      <c r="A5" s="73" t="s">
        <v>150</v>
      </c>
      <c r="B5" s="108"/>
      <c r="C5" s="108"/>
      <c r="D5" s="83"/>
      <c r="E5" s="108">
        <v>0</v>
      </c>
      <c r="F5" s="207">
        <v>12</v>
      </c>
      <c r="G5" s="108">
        <f t="shared" si="0"/>
        <v>0</v>
      </c>
      <c r="H5" s="200"/>
      <c r="I5" s="211">
        <f t="shared" si="1"/>
        <v>0</v>
      </c>
    </row>
    <row r="6" spans="1:10" ht="15.75" customHeight="1">
      <c r="A6" s="73" t="s">
        <v>149</v>
      </c>
      <c r="B6" s="108"/>
      <c r="C6" s="108"/>
      <c r="D6" s="83"/>
      <c r="E6" s="108">
        <v>0</v>
      </c>
      <c r="F6" s="207">
        <v>12</v>
      </c>
      <c r="G6" s="108">
        <f t="shared" si="0"/>
        <v>0</v>
      </c>
      <c r="H6" s="200"/>
      <c r="I6" s="211">
        <f t="shared" si="1"/>
        <v>0</v>
      </c>
    </row>
    <row r="7" spans="1:10" ht="15.75" customHeight="1">
      <c r="A7" s="73" t="s">
        <v>236</v>
      </c>
      <c r="B7" s="108"/>
      <c r="C7" s="108"/>
      <c r="D7" s="83"/>
      <c r="E7" s="108"/>
      <c r="F7" s="207">
        <v>12</v>
      </c>
      <c r="G7" s="108">
        <f t="shared" si="0"/>
        <v>0</v>
      </c>
      <c r="H7" s="200"/>
      <c r="I7" s="211">
        <f t="shared" si="1"/>
        <v>0</v>
      </c>
      <c r="J7" s="227"/>
    </row>
    <row r="8" spans="1:10" ht="15.75" customHeight="1">
      <c r="A8" s="58" t="s">
        <v>152</v>
      </c>
      <c r="B8" s="61"/>
      <c r="C8" s="61"/>
      <c r="D8" s="213">
        <f>B13</f>
        <v>392</v>
      </c>
      <c r="E8" s="61"/>
      <c r="F8" s="200"/>
      <c r="G8" s="61"/>
      <c r="H8" s="209">
        <f>'Общие расходы ГЭ'!G16</f>
        <v>9.1731976502919679</v>
      </c>
      <c r="I8" s="211">
        <f t="shared" ref="I8:I10" si="2">D8*H8</f>
        <v>3595.8934789144514</v>
      </c>
    </row>
    <row r="9" spans="1:10" ht="15.75" customHeight="1">
      <c r="A9" s="58" t="s">
        <v>235</v>
      </c>
      <c r="B9" s="61"/>
      <c r="C9" s="61"/>
      <c r="D9" s="213">
        <f>B13</f>
        <v>392</v>
      </c>
      <c r="E9" s="61"/>
      <c r="F9" s="200"/>
      <c r="G9" s="61"/>
      <c r="H9" s="209">
        <f>'Общие расходы г. Тюмень'!F4</f>
        <v>0.27439332347868928</v>
      </c>
      <c r="I9" s="211">
        <f t="shared" si="2"/>
        <v>107.56218280364619</v>
      </c>
      <c r="J9" s="227"/>
    </row>
    <row r="10" spans="1:10" ht="15.75" customHeight="1">
      <c r="A10" s="58" t="s">
        <v>156</v>
      </c>
      <c r="B10" s="61"/>
      <c r="C10" s="61"/>
      <c r="D10" s="213">
        <f>B13</f>
        <v>392</v>
      </c>
      <c r="E10" s="61"/>
      <c r="F10" s="200"/>
      <c r="G10" s="61"/>
      <c r="H10" s="201">
        <f>'Общие расходы г. Тюмень'!F30</f>
        <v>0.74801393423739049</v>
      </c>
      <c r="I10" s="211">
        <f t="shared" si="2"/>
        <v>293.2214622210571</v>
      </c>
    </row>
    <row r="11" spans="1:10" ht="15.75" customHeight="1">
      <c r="A11" s="335" t="s">
        <v>62</v>
      </c>
      <c r="B11" s="332"/>
      <c r="C11" s="332"/>
      <c r="D11" s="332"/>
      <c r="E11" s="332"/>
      <c r="F11" s="332"/>
      <c r="G11" s="332"/>
      <c r="H11" s="321"/>
      <c r="I11" s="211">
        <f>SUM(I3:I10)</f>
        <v>5267.8367425129527</v>
      </c>
    </row>
    <row r="13" spans="1:10" ht="15.75" customHeight="1">
      <c r="A13" s="58" t="s">
        <v>205</v>
      </c>
      <c r="B13" s="210">
        <f>'Исходные данные'!B18</f>
        <v>392</v>
      </c>
    </row>
    <row r="14" spans="1:10" ht="15.75" customHeight="1">
      <c r="A14" s="58" t="s">
        <v>206</v>
      </c>
      <c r="B14" s="210">
        <f>'Исходные данные'!C18</f>
        <v>0</v>
      </c>
    </row>
    <row r="15" spans="1:10" ht="15.75" customHeight="1">
      <c r="A15" s="58" t="s">
        <v>207</v>
      </c>
      <c r="B15" s="210">
        <f>'Исходные данные'!D18</f>
        <v>0</v>
      </c>
    </row>
    <row r="17" spans="1:5" ht="15.75" customHeight="1">
      <c r="A17" s="333" t="s">
        <v>208</v>
      </c>
      <c r="B17" s="332"/>
      <c r="C17" s="332"/>
      <c r="D17" s="321"/>
      <c r="E17" s="214"/>
    </row>
    <row r="18" spans="1:5" ht="15.75" customHeight="1">
      <c r="A18" s="215" t="s">
        <v>209</v>
      </c>
      <c r="B18" s="216" t="s">
        <v>210</v>
      </c>
      <c r="C18" s="78" t="s">
        <v>5</v>
      </c>
      <c r="D18" s="216" t="s">
        <v>211</v>
      </c>
      <c r="E18" s="217"/>
    </row>
    <row r="19" spans="1:5" ht="15.75" customHeight="1">
      <c r="A19" s="234"/>
      <c r="B19" s="61"/>
      <c r="C19" s="61"/>
      <c r="D19" s="61"/>
      <c r="E19" s="148"/>
    </row>
    <row r="20" spans="1:5" ht="15.75" customHeight="1">
      <c r="A20" s="234"/>
      <c r="B20" s="61"/>
      <c r="C20" s="61"/>
      <c r="D20" s="61"/>
      <c r="E20" s="148"/>
    </row>
    <row r="21" spans="1:5" ht="15.75" customHeight="1">
      <c r="A21" s="234"/>
      <c r="B21" s="61"/>
      <c r="C21" s="61"/>
      <c r="D21" s="61"/>
      <c r="E21" s="148"/>
    </row>
    <row r="22" spans="1:5" ht="15.75" customHeight="1">
      <c r="A22" s="58"/>
      <c r="B22" s="61"/>
      <c r="C22" s="61"/>
      <c r="D22" s="61"/>
      <c r="E22" s="148"/>
    </row>
    <row r="23" spans="1:5" ht="15.75" customHeight="1">
      <c r="A23" s="58"/>
      <c r="B23" s="61"/>
      <c r="C23" s="61"/>
      <c r="D23" s="61"/>
      <c r="E23" s="148"/>
    </row>
    <row r="24" spans="1:5" ht="15.75" customHeight="1">
      <c r="A24" s="235"/>
      <c r="B24" s="27"/>
      <c r="C24" s="27"/>
      <c r="D24" s="27"/>
    </row>
    <row r="25" spans="1:5" ht="15.75" customHeight="1">
      <c r="A25" s="65"/>
      <c r="B25" s="27"/>
      <c r="C25" s="27"/>
      <c r="D25" s="27"/>
    </row>
    <row r="26" spans="1:5" ht="15.75" customHeight="1">
      <c r="A26" s="65"/>
      <c r="B26" s="27"/>
      <c r="C26" s="27"/>
      <c r="D26" s="27"/>
    </row>
  </sheetData>
  <mergeCells count="2">
    <mergeCell ref="A11:H11"/>
    <mergeCell ref="A17:D17"/>
  </mergeCells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J26"/>
  <sheetViews>
    <sheetView workbookViewId="0"/>
  </sheetViews>
  <sheetFormatPr baseColWidth="10" defaultColWidth="12.6640625" defaultRowHeight="15.75" customHeight="1"/>
  <cols>
    <col min="1" max="1" width="26.1640625" customWidth="1"/>
    <col min="3" max="3" width="12.1640625" customWidth="1"/>
    <col min="6" max="6" width="9.6640625" customWidth="1"/>
    <col min="7" max="7" width="14.83203125" customWidth="1"/>
    <col min="8" max="8" width="7.6640625" customWidth="1"/>
    <col min="9" max="9" width="14.5" customWidth="1"/>
  </cols>
  <sheetData>
    <row r="1" spans="1:10" ht="15.75" customHeight="1">
      <c r="B1" s="148"/>
      <c r="C1" s="148"/>
      <c r="D1" s="148"/>
      <c r="E1" s="148"/>
      <c r="F1" s="149"/>
      <c r="G1" s="148"/>
      <c r="H1" s="148"/>
      <c r="I1" s="223"/>
    </row>
    <row r="2" spans="1:10" ht="15.75" customHeight="1">
      <c r="A2" s="226" t="s">
        <v>129</v>
      </c>
      <c r="B2" s="204" t="s">
        <v>195</v>
      </c>
      <c r="C2" s="204" t="s">
        <v>196</v>
      </c>
      <c r="D2" s="204" t="s">
        <v>197</v>
      </c>
      <c r="E2" s="58" t="s">
        <v>4</v>
      </c>
      <c r="F2" s="27" t="s">
        <v>5</v>
      </c>
      <c r="G2" s="27" t="s">
        <v>6</v>
      </c>
      <c r="H2" s="200" t="s">
        <v>9</v>
      </c>
      <c r="I2" s="205" t="s">
        <v>198</v>
      </c>
    </row>
    <row r="3" spans="1:10" ht="15.75" customHeight="1">
      <c r="A3" s="63" t="s">
        <v>199</v>
      </c>
      <c r="B3" s="83">
        <f>'Исходные данные'!D12</f>
        <v>402</v>
      </c>
      <c r="C3" s="83">
        <f>'Исходные данные'!G24</f>
        <v>18</v>
      </c>
      <c r="D3" s="206"/>
      <c r="E3" s="206">
        <v>637618</v>
      </c>
      <c r="F3" s="207">
        <v>12</v>
      </c>
      <c r="G3" s="108">
        <f t="shared" ref="G3:G9" si="0">E3/F3</f>
        <v>53134.833333333336</v>
      </c>
      <c r="H3" s="61"/>
      <c r="I3" s="211">
        <f>G3/B3*C3</f>
        <v>2379.1716417910447</v>
      </c>
      <c r="J3" s="227"/>
    </row>
    <row r="4" spans="1:10" ht="15.75" customHeight="1">
      <c r="A4" s="63" t="s">
        <v>147</v>
      </c>
      <c r="B4" s="63"/>
      <c r="C4" s="83"/>
      <c r="D4" s="206"/>
      <c r="E4" s="206"/>
      <c r="F4" s="207">
        <v>12</v>
      </c>
      <c r="G4" s="108">
        <f t="shared" si="0"/>
        <v>0</v>
      </c>
      <c r="H4" s="61"/>
      <c r="I4" s="211">
        <f t="shared" ref="I4:I10" si="1">G4</f>
        <v>0</v>
      </c>
      <c r="J4" s="227"/>
    </row>
    <row r="5" spans="1:10" ht="15.75" customHeight="1">
      <c r="A5" s="73" t="s">
        <v>148</v>
      </c>
      <c r="B5" s="108"/>
      <c r="C5" s="83"/>
      <c r="D5" s="83"/>
      <c r="E5" s="108">
        <f>15304+40</f>
        <v>15344</v>
      </c>
      <c r="F5" s="207">
        <v>12</v>
      </c>
      <c r="G5" s="108">
        <f t="shared" si="0"/>
        <v>1278.6666666666667</v>
      </c>
      <c r="H5" s="200"/>
      <c r="I5" s="211">
        <f t="shared" si="1"/>
        <v>1278.6666666666667</v>
      </c>
    </row>
    <row r="6" spans="1:10" ht="15.75" customHeight="1">
      <c r="A6" s="73" t="s">
        <v>150</v>
      </c>
      <c r="B6" s="108"/>
      <c r="C6" s="83"/>
      <c r="D6" s="83"/>
      <c r="E6" s="108">
        <v>37807</v>
      </c>
      <c r="F6" s="207">
        <v>12</v>
      </c>
      <c r="G6" s="108">
        <f t="shared" si="0"/>
        <v>3150.5833333333335</v>
      </c>
      <c r="H6" s="200"/>
      <c r="I6" s="211">
        <f t="shared" si="1"/>
        <v>3150.5833333333335</v>
      </c>
    </row>
    <row r="7" spans="1:10" ht="15.75" customHeight="1">
      <c r="A7" s="73" t="s">
        <v>149</v>
      </c>
      <c r="B7" s="108"/>
      <c r="C7" s="83"/>
      <c r="D7" s="83"/>
      <c r="E7" s="108">
        <v>0</v>
      </c>
      <c r="F7" s="207">
        <v>12</v>
      </c>
      <c r="G7" s="108">
        <f t="shared" si="0"/>
        <v>0</v>
      </c>
      <c r="H7" s="200"/>
      <c r="I7" s="211">
        <f t="shared" si="1"/>
        <v>0</v>
      </c>
    </row>
    <row r="8" spans="1:10" ht="15.75" customHeight="1">
      <c r="A8" s="58" t="s">
        <v>203</v>
      </c>
      <c r="B8" s="61"/>
      <c r="C8" s="83"/>
      <c r="D8" s="87"/>
      <c r="E8" s="61"/>
      <c r="F8" s="200">
        <v>12</v>
      </c>
      <c r="G8" s="108">
        <f t="shared" si="0"/>
        <v>0</v>
      </c>
      <c r="H8" s="200"/>
      <c r="I8" s="211">
        <f t="shared" si="1"/>
        <v>0</v>
      </c>
    </row>
    <row r="9" spans="1:10" ht="15.75" customHeight="1">
      <c r="A9" s="58" t="s">
        <v>151</v>
      </c>
      <c r="B9" s="61"/>
      <c r="C9" s="83"/>
      <c r="D9" s="87"/>
      <c r="E9" s="61">
        <v>10339</v>
      </c>
      <c r="F9" s="200">
        <v>12</v>
      </c>
      <c r="G9" s="108">
        <f t="shared" si="0"/>
        <v>861.58333333333337</v>
      </c>
      <c r="H9" s="200"/>
      <c r="I9" s="211">
        <f t="shared" si="1"/>
        <v>861.58333333333337</v>
      </c>
    </row>
    <row r="10" spans="1:10" ht="15.75" customHeight="1">
      <c r="A10" s="58" t="s">
        <v>155</v>
      </c>
      <c r="B10" s="61"/>
      <c r="C10" s="83"/>
      <c r="D10" s="87"/>
      <c r="E10" s="61"/>
      <c r="F10" s="200"/>
      <c r="G10" s="108">
        <f>D26</f>
        <v>0</v>
      </c>
      <c r="H10" s="200"/>
      <c r="I10" s="211">
        <f t="shared" si="1"/>
        <v>0</v>
      </c>
    </row>
    <row r="11" spans="1:10" ht="15.75" customHeight="1">
      <c r="A11" s="58" t="s">
        <v>152</v>
      </c>
      <c r="B11" s="61"/>
      <c r="C11" s="83"/>
      <c r="D11" s="213">
        <f>B16</f>
        <v>1298</v>
      </c>
      <c r="E11" s="61"/>
      <c r="F11" s="200"/>
      <c r="G11" s="61"/>
      <c r="H11" s="209">
        <f>'Общие расходы ГЭ'!G16</f>
        <v>9.1731976502919679</v>
      </c>
      <c r="I11" s="211">
        <f t="shared" ref="I11:I13" si="2">D11*H11</f>
        <v>11906.810550078975</v>
      </c>
    </row>
    <row r="12" spans="1:10" ht="15.75" customHeight="1">
      <c r="A12" s="58" t="s">
        <v>235</v>
      </c>
      <c r="B12" s="61"/>
      <c r="C12" s="83"/>
      <c r="D12" s="213">
        <f>B16</f>
        <v>1298</v>
      </c>
      <c r="E12" s="61"/>
      <c r="F12" s="200"/>
      <c r="G12" s="61"/>
      <c r="H12" s="209">
        <f>'Общие расходы г. Тюмень'!F4</f>
        <v>0.27439332347868928</v>
      </c>
      <c r="I12" s="211">
        <f t="shared" si="2"/>
        <v>356.16253387533868</v>
      </c>
    </row>
    <row r="13" spans="1:10" ht="15.75" customHeight="1">
      <c r="A13" s="58" t="s">
        <v>156</v>
      </c>
      <c r="B13" s="61"/>
      <c r="C13" s="83"/>
      <c r="D13" s="213">
        <f>B16</f>
        <v>1298</v>
      </c>
      <c r="E13" s="61"/>
      <c r="F13" s="200"/>
      <c r="G13" s="61"/>
      <c r="H13" s="201">
        <f>'Общие расходы г. Тюмень'!F30</f>
        <v>0.74801393423739049</v>
      </c>
      <c r="I13" s="211">
        <f t="shared" si="2"/>
        <v>970.92208664013287</v>
      </c>
    </row>
    <row r="14" spans="1:10" ht="15.75" customHeight="1">
      <c r="A14" s="336" t="s">
        <v>62</v>
      </c>
      <c r="B14" s="332"/>
      <c r="C14" s="332"/>
      <c r="D14" s="332"/>
      <c r="E14" s="332"/>
      <c r="F14" s="332"/>
      <c r="G14" s="321"/>
      <c r="H14" s="237"/>
      <c r="I14" s="211">
        <f>SUM(I3:I13)</f>
        <v>20903.900145718828</v>
      </c>
    </row>
    <row r="15" spans="1:10" ht="15.75" customHeight="1">
      <c r="A15" s="58"/>
      <c r="B15" s="61"/>
      <c r="C15" s="148"/>
      <c r="D15" s="148"/>
      <c r="E15" s="148"/>
      <c r="F15" s="149"/>
      <c r="G15" s="148"/>
      <c r="H15" s="148"/>
      <c r="I15" s="223"/>
    </row>
    <row r="16" spans="1:10" ht="15.75" customHeight="1">
      <c r="A16" s="58" t="s">
        <v>205</v>
      </c>
      <c r="B16" s="210">
        <f>'Исходные данные'!B24</f>
        <v>1298</v>
      </c>
      <c r="C16" s="148"/>
      <c r="D16" s="148"/>
      <c r="E16" s="148"/>
      <c r="F16" s="149"/>
      <c r="G16" s="148"/>
      <c r="H16" s="148"/>
      <c r="I16" s="223"/>
    </row>
    <row r="17" spans="1:9" ht="15.75" customHeight="1">
      <c r="A17" s="58" t="s">
        <v>206</v>
      </c>
      <c r="B17" s="213">
        <f>'Исходные данные'!C24</f>
        <v>0</v>
      </c>
      <c r="C17" s="148"/>
      <c r="D17" s="148"/>
      <c r="E17" s="148"/>
      <c r="F17" s="149"/>
      <c r="G17" s="148"/>
      <c r="H17" s="148"/>
      <c r="I17" s="223"/>
    </row>
    <row r="18" spans="1:9" ht="15.75" customHeight="1">
      <c r="A18" s="58" t="s">
        <v>207</v>
      </c>
      <c r="B18" s="213">
        <f>'Исходные данные'!D24</f>
        <v>0</v>
      </c>
      <c r="F18" s="149"/>
      <c r="G18" s="148"/>
      <c r="H18" s="148"/>
      <c r="I18" s="223"/>
    </row>
    <row r="19" spans="1:9" ht="15.75" customHeight="1">
      <c r="B19" s="148"/>
      <c r="C19" s="148"/>
      <c r="D19" s="148"/>
      <c r="E19" s="148"/>
      <c r="F19" s="149"/>
      <c r="G19" s="148"/>
      <c r="H19" s="148"/>
      <c r="I19" s="223"/>
    </row>
    <row r="20" spans="1:9" ht="15.75" customHeight="1">
      <c r="A20" s="333" t="s">
        <v>208</v>
      </c>
      <c r="B20" s="332"/>
      <c r="C20" s="332"/>
      <c r="D20" s="321"/>
    </row>
    <row r="21" spans="1:9" ht="15.75" customHeight="1">
      <c r="A21" s="215" t="s">
        <v>209</v>
      </c>
      <c r="B21" s="216" t="s">
        <v>210</v>
      </c>
      <c r="C21" s="78" t="s">
        <v>5</v>
      </c>
      <c r="D21" s="216" t="s">
        <v>211</v>
      </c>
    </row>
    <row r="22" spans="1:9" ht="15.75" customHeight="1">
      <c r="A22" s="238" t="s">
        <v>212</v>
      </c>
      <c r="B22" s="239"/>
      <c r="C22" s="239">
        <v>12</v>
      </c>
      <c r="D22" s="239"/>
    </row>
    <row r="23" spans="1:9" ht="15.75" customHeight="1">
      <c r="A23" s="58"/>
      <c r="B23" s="239"/>
      <c r="C23" s="239">
        <v>12</v>
      </c>
      <c r="D23" s="239"/>
    </row>
    <row r="24" spans="1:9" ht="15.75" customHeight="1">
      <c r="A24" s="240"/>
      <c r="B24" s="239"/>
      <c r="C24" s="239"/>
      <c r="D24" s="239"/>
    </row>
    <row r="25" spans="1:9" ht="15.75" customHeight="1">
      <c r="A25" s="58"/>
      <c r="B25" s="239"/>
      <c r="C25" s="239"/>
      <c r="D25" s="147"/>
    </row>
    <row r="26" spans="1:9" ht="15.75" customHeight="1">
      <c r="A26" s="58"/>
      <c r="B26" s="239"/>
      <c r="C26" s="239"/>
      <c r="D26" s="239">
        <f>SUM(D22:D25)</f>
        <v>0</v>
      </c>
    </row>
  </sheetData>
  <mergeCells count="2">
    <mergeCell ref="A14:G14"/>
    <mergeCell ref="A20:D20"/>
  </mergeCells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I23"/>
  <sheetViews>
    <sheetView workbookViewId="0"/>
  </sheetViews>
  <sheetFormatPr baseColWidth="10" defaultColWidth="12.6640625" defaultRowHeight="15.75" customHeight="1"/>
  <cols>
    <col min="1" max="1" width="26.1640625" customWidth="1"/>
    <col min="6" max="6" width="9.6640625" customWidth="1"/>
    <col min="7" max="7" width="14.83203125" customWidth="1"/>
    <col min="8" max="8" width="9.6640625" customWidth="1"/>
    <col min="9" max="9" width="14.5" customWidth="1"/>
  </cols>
  <sheetData>
    <row r="1" spans="1:9" ht="15.75" customHeight="1">
      <c r="B1" s="148"/>
      <c r="C1" s="148"/>
      <c r="D1" s="148"/>
      <c r="E1" s="148"/>
      <c r="F1" s="149"/>
      <c r="G1" s="148"/>
      <c r="H1" s="148"/>
      <c r="I1" s="223"/>
    </row>
    <row r="2" spans="1:9" ht="15.75" customHeight="1">
      <c r="A2" s="226" t="s">
        <v>237</v>
      </c>
      <c r="B2" s="204" t="s">
        <v>195</v>
      </c>
      <c r="C2" s="204" t="s">
        <v>196</v>
      </c>
      <c r="D2" s="204" t="s">
        <v>197</v>
      </c>
      <c r="E2" s="58" t="s">
        <v>4</v>
      </c>
      <c r="F2" s="27" t="s">
        <v>5</v>
      </c>
      <c r="G2" s="27" t="s">
        <v>6</v>
      </c>
      <c r="H2" s="200" t="s">
        <v>9</v>
      </c>
      <c r="I2" s="205" t="s">
        <v>198</v>
      </c>
    </row>
    <row r="3" spans="1:9" ht="15.75" customHeight="1">
      <c r="A3" s="63" t="s">
        <v>199</v>
      </c>
      <c r="B3" s="83">
        <f>'Исходные данные'!D12</f>
        <v>402</v>
      </c>
      <c r="C3" s="83">
        <f>'Исходные данные'!G21</f>
        <v>4</v>
      </c>
      <c r="D3" s="83"/>
      <c r="E3" s="206">
        <v>637618</v>
      </c>
      <c r="F3" s="207">
        <v>12</v>
      </c>
      <c r="G3" s="108">
        <f t="shared" ref="G3:G7" si="0">E3/F3</f>
        <v>53134.833333333336</v>
      </c>
      <c r="H3" s="61"/>
      <c r="I3" s="211">
        <f>G3/B3*C3</f>
        <v>528.70480928689881</v>
      </c>
    </row>
    <row r="4" spans="1:9" ht="15.75" customHeight="1">
      <c r="A4" s="73" t="s">
        <v>148</v>
      </c>
      <c r="B4" s="61"/>
      <c r="C4" s="83"/>
      <c r="D4" s="83"/>
      <c r="E4" s="61">
        <v>0</v>
      </c>
      <c r="F4" s="207">
        <v>12</v>
      </c>
      <c r="G4" s="108">
        <f t="shared" si="0"/>
        <v>0</v>
      </c>
      <c r="H4" s="200"/>
      <c r="I4" s="211"/>
    </row>
    <row r="5" spans="1:9" ht="15.75" customHeight="1">
      <c r="A5" s="73" t="s">
        <v>150</v>
      </c>
      <c r="B5" s="61"/>
      <c r="C5" s="83"/>
      <c r="D5" s="83"/>
      <c r="E5" s="61">
        <v>0</v>
      </c>
      <c r="F5" s="207">
        <v>12</v>
      </c>
      <c r="G5" s="108">
        <f t="shared" si="0"/>
        <v>0</v>
      </c>
      <c r="H5" s="200"/>
      <c r="I5" s="211"/>
    </row>
    <row r="6" spans="1:9" ht="15.75" customHeight="1">
      <c r="A6" s="73" t="s">
        <v>149</v>
      </c>
      <c r="B6" s="61"/>
      <c r="C6" s="83"/>
      <c r="D6" s="83"/>
      <c r="E6" s="61">
        <v>0</v>
      </c>
      <c r="F6" s="207">
        <v>12</v>
      </c>
      <c r="G6" s="108">
        <f t="shared" si="0"/>
        <v>0</v>
      </c>
      <c r="H6" s="200"/>
      <c r="I6" s="211"/>
    </row>
    <row r="7" spans="1:9" ht="15.75" customHeight="1">
      <c r="A7" s="73" t="s">
        <v>12</v>
      </c>
      <c r="B7" s="61"/>
      <c r="C7" s="83"/>
      <c r="D7" s="83"/>
      <c r="E7" s="61">
        <v>599</v>
      </c>
      <c r="F7" s="207">
        <v>12</v>
      </c>
      <c r="G7" s="108">
        <f t="shared" si="0"/>
        <v>49.916666666666664</v>
      </c>
      <c r="H7" s="200"/>
      <c r="I7" s="211">
        <f>D23</f>
        <v>3333.3333333333335</v>
      </c>
    </row>
    <row r="8" spans="1:9" ht="15.75" customHeight="1">
      <c r="A8" s="58" t="s">
        <v>152</v>
      </c>
      <c r="B8" s="61"/>
      <c r="C8" s="83"/>
      <c r="D8" s="213">
        <f>B13</f>
        <v>339</v>
      </c>
      <c r="E8" s="61"/>
      <c r="F8" s="200"/>
      <c r="G8" s="61"/>
      <c r="H8" s="209">
        <f>'Общие расходы ГЭ'!G16</f>
        <v>9.1731976502919679</v>
      </c>
      <c r="I8" s="211">
        <f t="shared" ref="I8:I10" si="1">D8*H8</f>
        <v>3109.7140034489771</v>
      </c>
    </row>
    <row r="9" spans="1:9" ht="15.75" customHeight="1">
      <c r="A9" s="58" t="s">
        <v>235</v>
      </c>
      <c r="B9" s="61"/>
      <c r="C9" s="83"/>
      <c r="D9" s="213">
        <f>B13</f>
        <v>339</v>
      </c>
      <c r="E9" s="61"/>
      <c r="F9" s="200"/>
      <c r="G9" s="61"/>
      <c r="H9" s="209">
        <f>'Общие расходы г. Тюмень'!F4</f>
        <v>0.27439332347868928</v>
      </c>
      <c r="I9" s="211">
        <f t="shared" si="1"/>
        <v>93.019336659275666</v>
      </c>
    </row>
    <row r="10" spans="1:9" ht="15.75" customHeight="1">
      <c r="A10" s="27" t="s">
        <v>156</v>
      </c>
      <c r="B10" s="61"/>
      <c r="C10" s="61"/>
      <c r="D10" s="213">
        <f>B13</f>
        <v>339</v>
      </c>
      <c r="E10" s="61"/>
      <c r="F10" s="200"/>
      <c r="G10" s="61"/>
      <c r="H10" s="201">
        <f>'Общие расходы г. Тюмень'!F30</f>
        <v>0.74801393423739049</v>
      </c>
      <c r="I10" s="211">
        <f t="shared" si="1"/>
        <v>253.57672370647538</v>
      </c>
    </row>
    <row r="11" spans="1:9" ht="15.75" customHeight="1">
      <c r="A11" s="336" t="s">
        <v>62</v>
      </c>
      <c r="B11" s="332"/>
      <c r="C11" s="332"/>
      <c r="D11" s="332"/>
      <c r="E11" s="332"/>
      <c r="F11" s="332"/>
      <c r="G11" s="321"/>
      <c r="H11" s="237"/>
      <c r="I11" s="211">
        <f>SUM(I3:I10)</f>
        <v>7318.348206434961</v>
      </c>
    </row>
    <row r="12" spans="1:9" ht="15.75" customHeight="1">
      <c r="A12" s="58"/>
      <c r="B12" s="61"/>
      <c r="C12" s="148"/>
      <c r="D12" s="148"/>
      <c r="E12" s="148"/>
      <c r="F12" s="149"/>
      <c r="G12" s="148"/>
      <c r="H12" s="148"/>
      <c r="I12" s="223"/>
    </row>
    <row r="13" spans="1:9" ht="15.75" customHeight="1">
      <c r="A13" s="58" t="s">
        <v>205</v>
      </c>
      <c r="B13" s="213">
        <f>'Исходные данные'!B21</f>
        <v>339</v>
      </c>
      <c r="C13" s="148"/>
      <c r="D13" s="148"/>
      <c r="E13" s="148"/>
      <c r="F13" s="149"/>
      <c r="G13" s="148"/>
      <c r="H13" s="148"/>
      <c r="I13" s="223"/>
    </row>
    <row r="14" spans="1:9" ht="15.75" customHeight="1">
      <c r="A14" s="58" t="s">
        <v>206</v>
      </c>
      <c r="B14" s="210">
        <f>'Исходные данные'!C21</f>
        <v>0</v>
      </c>
      <c r="C14" s="148"/>
      <c r="D14" s="148"/>
      <c r="E14" s="148"/>
      <c r="F14" s="149"/>
      <c r="G14" s="148"/>
      <c r="H14" s="148"/>
      <c r="I14" s="223"/>
    </row>
    <row r="15" spans="1:9" ht="15.75" customHeight="1">
      <c r="A15" s="58" t="s">
        <v>207</v>
      </c>
      <c r="B15" s="213">
        <f>'Исходные данные'!D21</f>
        <v>0</v>
      </c>
      <c r="F15" s="149"/>
      <c r="G15" s="148"/>
      <c r="H15" s="148"/>
      <c r="I15" s="223"/>
    </row>
    <row r="16" spans="1:9" ht="15.75" customHeight="1">
      <c r="B16" s="148"/>
      <c r="C16" s="148"/>
      <c r="D16" s="148"/>
      <c r="E16" s="148"/>
    </row>
    <row r="17" spans="1:5" ht="15.75" customHeight="1">
      <c r="A17" s="333" t="s">
        <v>208</v>
      </c>
      <c r="B17" s="332"/>
      <c r="C17" s="332"/>
      <c r="D17" s="321"/>
      <c r="E17" s="148"/>
    </row>
    <row r="18" spans="1:5" ht="15.75" customHeight="1">
      <c r="A18" s="215" t="s">
        <v>209</v>
      </c>
      <c r="B18" s="216" t="s">
        <v>210</v>
      </c>
      <c r="C18" s="78" t="s">
        <v>5</v>
      </c>
      <c r="D18" s="216" t="s">
        <v>211</v>
      </c>
      <c r="E18" s="148"/>
    </row>
    <row r="19" spans="1:5" ht="15.75" customHeight="1">
      <c r="A19" s="238" t="s">
        <v>238</v>
      </c>
      <c r="B19" s="239">
        <v>40000</v>
      </c>
      <c r="C19" s="239">
        <v>12</v>
      </c>
      <c r="D19" s="239">
        <f>B19/C19</f>
        <v>3333.3333333333335</v>
      </c>
      <c r="E19" s="148"/>
    </row>
    <row r="20" spans="1:5" ht="15.75" customHeight="1">
      <c r="A20" s="58" t="s">
        <v>217</v>
      </c>
      <c r="B20" s="239">
        <v>8000</v>
      </c>
      <c r="C20" s="239"/>
      <c r="D20" s="239"/>
      <c r="E20" s="148"/>
    </row>
    <row r="21" spans="1:5" ht="15.75" customHeight="1">
      <c r="A21" s="241"/>
      <c r="B21" s="239"/>
      <c r="C21" s="239"/>
      <c r="D21" s="239"/>
      <c r="E21" s="148"/>
    </row>
    <row r="22" spans="1:5" ht="15.75" customHeight="1">
      <c r="A22" s="58"/>
      <c r="B22" s="239"/>
      <c r="C22" s="239"/>
      <c r="D22" s="147"/>
      <c r="E22" s="148"/>
    </row>
    <row r="23" spans="1:5" ht="15.75" customHeight="1">
      <c r="A23" s="58"/>
      <c r="B23" s="239"/>
      <c r="C23" s="239"/>
      <c r="D23" s="239">
        <f>SUM(D19:D22)</f>
        <v>3333.3333333333335</v>
      </c>
    </row>
  </sheetData>
  <mergeCells count="2">
    <mergeCell ref="A11:G11"/>
    <mergeCell ref="A17:D17"/>
  </mergeCells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J27"/>
  <sheetViews>
    <sheetView workbookViewId="0"/>
  </sheetViews>
  <sheetFormatPr baseColWidth="10" defaultColWidth="12.6640625" defaultRowHeight="15.75" customHeight="1"/>
  <cols>
    <col min="1" max="1" width="26.1640625" customWidth="1"/>
    <col min="2" max="2" width="12.1640625" customWidth="1"/>
    <col min="6" max="6" width="9.6640625" customWidth="1"/>
    <col min="7" max="7" width="14.83203125" customWidth="1"/>
    <col min="8" max="8" width="8.1640625" customWidth="1"/>
    <col min="9" max="9" width="15.33203125" customWidth="1"/>
  </cols>
  <sheetData>
    <row r="1" spans="1:10" ht="15.75" customHeight="1">
      <c r="B1" s="148"/>
      <c r="C1" s="148"/>
      <c r="D1" s="148"/>
      <c r="E1" s="148"/>
      <c r="F1" s="149"/>
      <c r="G1" s="148"/>
      <c r="H1" s="149"/>
      <c r="I1" s="149"/>
      <c r="J1" s="149"/>
    </row>
    <row r="2" spans="1:10" ht="15.75" customHeight="1">
      <c r="A2" s="226" t="s">
        <v>239</v>
      </c>
      <c r="B2" s="204" t="s">
        <v>195</v>
      </c>
      <c r="C2" s="204" t="s">
        <v>196</v>
      </c>
      <c r="D2" s="204" t="s">
        <v>197</v>
      </c>
      <c r="E2" s="58" t="s">
        <v>4</v>
      </c>
      <c r="F2" s="27" t="s">
        <v>5</v>
      </c>
      <c r="G2" s="27" t="s">
        <v>6</v>
      </c>
      <c r="H2" s="204" t="s">
        <v>9</v>
      </c>
      <c r="I2" s="205" t="s">
        <v>198</v>
      </c>
      <c r="J2" s="202"/>
    </row>
    <row r="3" spans="1:10" ht="15.75" customHeight="1">
      <c r="A3" s="63" t="s">
        <v>199</v>
      </c>
      <c r="B3" s="83">
        <f>'Исходные данные'!D12</f>
        <v>402</v>
      </c>
      <c r="C3" s="108">
        <f>'Исходные данные'!G19</f>
        <v>100</v>
      </c>
      <c r="D3" s="206"/>
      <c r="E3" s="206">
        <v>637618</v>
      </c>
      <c r="F3" s="207">
        <v>12</v>
      </c>
      <c r="G3" s="108">
        <f t="shared" ref="G3:G9" si="0">E3/F3</f>
        <v>53134.833333333336</v>
      </c>
      <c r="H3" s="242"/>
      <c r="I3" s="211">
        <f t="shared" ref="I3:I4" si="1">G3/B3*C3</f>
        <v>13217.62023217247</v>
      </c>
      <c r="J3" s="243"/>
    </row>
    <row r="4" spans="1:10" ht="15.75" customHeight="1">
      <c r="A4" s="63" t="s">
        <v>233</v>
      </c>
      <c r="B4" s="83">
        <f>'Исходные данные'!E13</f>
        <v>30</v>
      </c>
      <c r="C4" s="108">
        <f>'Исходные данные'!H19</f>
        <v>1</v>
      </c>
      <c r="D4" s="206"/>
      <c r="E4" s="147">
        <v>305868</v>
      </c>
      <c r="F4" s="207">
        <v>12</v>
      </c>
      <c r="G4" s="108">
        <f t="shared" si="0"/>
        <v>25489</v>
      </c>
      <c r="H4" s="242"/>
      <c r="I4" s="211">
        <f t="shared" si="1"/>
        <v>849.63333333333333</v>
      </c>
      <c r="J4" s="243"/>
    </row>
    <row r="5" spans="1:10" ht="15.75" customHeight="1">
      <c r="A5" s="63" t="s">
        <v>202</v>
      </c>
      <c r="B5" s="108"/>
      <c r="C5" s="108"/>
      <c r="D5" s="108"/>
      <c r="E5" s="108">
        <v>57191</v>
      </c>
      <c r="F5" s="207">
        <v>12</v>
      </c>
      <c r="G5" s="108">
        <f t="shared" si="0"/>
        <v>4765.916666666667</v>
      </c>
      <c r="H5" s="200"/>
      <c r="I5" s="211">
        <f t="shared" ref="I5:I8" si="2">G5</f>
        <v>4765.916666666667</v>
      </c>
      <c r="J5" s="149"/>
    </row>
    <row r="6" spans="1:10" ht="15.75" customHeight="1">
      <c r="A6" s="73" t="s">
        <v>148</v>
      </c>
      <c r="B6" s="108"/>
      <c r="C6" s="108"/>
      <c r="D6" s="108"/>
      <c r="E6" s="108">
        <v>112265</v>
      </c>
      <c r="F6" s="207">
        <v>12</v>
      </c>
      <c r="G6" s="108">
        <f t="shared" si="0"/>
        <v>9355.4166666666661</v>
      </c>
      <c r="H6" s="200"/>
      <c r="I6" s="211">
        <f t="shared" si="2"/>
        <v>9355.4166666666661</v>
      </c>
      <c r="J6" s="149"/>
    </row>
    <row r="7" spans="1:10" ht="15.75" customHeight="1">
      <c r="A7" s="73" t="s">
        <v>150</v>
      </c>
      <c r="B7" s="108"/>
      <c r="C7" s="108"/>
      <c r="D7" s="108"/>
      <c r="E7" s="108">
        <v>0</v>
      </c>
      <c r="F7" s="207">
        <v>12</v>
      </c>
      <c r="G7" s="108">
        <f t="shared" si="0"/>
        <v>0</v>
      </c>
      <c r="H7" s="200"/>
      <c r="I7" s="211">
        <f t="shared" si="2"/>
        <v>0</v>
      </c>
      <c r="J7" s="149"/>
    </row>
    <row r="8" spans="1:10" ht="15.75" customHeight="1">
      <c r="A8" s="73" t="s">
        <v>149</v>
      </c>
      <c r="B8" s="108"/>
      <c r="C8" s="108"/>
      <c r="D8" s="108"/>
      <c r="E8" s="108">
        <v>27493</v>
      </c>
      <c r="F8" s="207">
        <v>12</v>
      </c>
      <c r="G8" s="108">
        <f t="shared" si="0"/>
        <v>2291.0833333333335</v>
      </c>
      <c r="H8" s="200"/>
      <c r="I8" s="211">
        <f t="shared" si="2"/>
        <v>2291.0833333333335</v>
      </c>
      <c r="J8" s="149"/>
    </row>
    <row r="9" spans="1:10" ht="15.75" customHeight="1">
      <c r="A9" s="73" t="s">
        <v>240</v>
      </c>
      <c r="B9" s="108"/>
      <c r="C9" s="108"/>
      <c r="D9" s="108"/>
      <c r="E9" s="108">
        <v>1000</v>
      </c>
      <c r="F9" s="207">
        <v>12</v>
      </c>
      <c r="G9" s="108">
        <f t="shared" si="0"/>
        <v>83.333333333333329</v>
      </c>
      <c r="H9" s="200"/>
      <c r="I9" s="211"/>
      <c r="J9" s="149"/>
    </row>
    <row r="10" spans="1:10" ht="15.75" customHeight="1">
      <c r="A10" s="73" t="s">
        <v>241</v>
      </c>
      <c r="B10" s="108"/>
      <c r="C10" s="108"/>
      <c r="D10" s="108"/>
      <c r="E10" s="108"/>
      <c r="F10" s="207"/>
      <c r="G10" s="108"/>
      <c r="H10" s="200"/>
      <c r="I10" s="211">
        <f>D27</f>
        <v>0</v>
      </c>
      <c r="J10" s="149"/>
    </row>
    <row r="11" spans="1:10" ht="15.75" customHeight="1">
      <c r="A11" s="73" t="s">
        <v>93</v>
      </c>
      <c r="B11" s="108"/>
      <c r="C11" s="108"/>
      <c r="D11" s="108"/>
      <c r="E11" s="108">
        <v>1173</v>
      </c>
      <c r="F11" s="207">
        <v>12</v>
      </c>
      <c r="G11" s="108">
        <f>E11/F11</f>
        <v>97.75</v>
      </c>
      <c r="H11" s="200"/>
      <c r="I11" s="211">
        <f>G11</f>
        <v>97.75</v>
      </c>
      <c r="J11" s="149"/>
    </row>
    <row r="12" spans="1:10" ht="15.75" customHeight="1">
      <c r="A12" s="58" t="s">
        <v>152</v>
      </c>
      <c r="B12" s="61"/>
      <c r="C12" s="61"/>
      <c r="D12" s="210">
        <f>B17</f>
        <v>1720</v>
      </c>
      <c r="E12" s="61"/>
      <c r="F12" s="200"/>
      <c r="G12" s="61"/>
      <c r="H12" s="209">
        <f>'Общие расходы ГЭ'!G16</f>
        <v>9.1731976502919679</v>
      </c>
      <c r="I12" s="211">
        <f t="shared" ref="I12:I14" si="3">D12*H12</f>
        <v>15777.899958502185</v>
      </c>
      <c r="J12" s="149"/>
    </row>
    <row r="13" spans="1:10" ht="15.75" customHeight="1">
      <c r="A13" s="58" t="s">
        <v>235</v>
      </c>
      <c r="B13" s="61"/>
      <c r="C13" s="61"/>
      <c r="D13" s="210">
        <f>B17</f>
        <v>1720</v>
      </c>
      <c r="E13" s="61"/>
      <c r="F13" s="200"/>
      <c r="G13" s="61"/>
      <c r="H13" s="209">
        <f>'Общие расходы г. Тюмень'!F4</f>
        <v>0.27439332347868928</v>
      </c>
      <c r="I13" s="211">
        <f t="shared" si="3"/>
        <v>471.95651638334556</v>
      </c>
      <c r="J13" s="149"/>
    </row>
    <row r="14" spans="1:10" ht="15.75" customHeight="1">
      <c r="A14" s="58" t="s">
        <v>156</v>
      </c>
      <c r="B14" s="61"/>
      <c r="C14" s="61"/>
      <c r="D14" s="210">
        <f>B17</f>
        <v>1720</v>
      </c>
      <c r="E14" s="61"/>
      <c r="F14" s="200"/>
      <c r="G14" s="61"/>
      <c r="H14" s="201">
        <f>'Общие расходы г. Тюмень'!F30</f>
        <v>0.74801393423739049</v>
      </c>
      <c r="I14" s="211">
        <f t="shared" si="3"/>
        <v>1286.5839668883116</v>
      </c>
      <c r="J14" s="149"/>
    </row>
    <row r="15" spans="1:10" ht="15.75" customHeight="1">
      <c r="A15" s="336" t="s">
        <v>62</v>
      </c>
      <c r="B15" s="332"/>
      <c r="C15" s="332"/>
      <c r="D15" s="332"/>
      <c r="E15" s="332"/>
      <c r="F15" s="332"/>
      <c r="G15" s="332"/>
      <c r="H15" s="321"/>
      <c r="I15" s="211">
        <f>SUM(I3:I14)</f>
        <v>48113.860673946314</v>
      </c>
      <c r="J15" s="149"/>
    </row>
    <row r="16" spans="1:10" ht="15.75" customHeight="1">
      <c r="B16" s="148"/>
      <c r="C16" s="148"/>
      <c r="D16" s="148"/>
      <c r="E16" s="148"/>
      <c r="F16" s="149"/>
      <c r="G16" s="148"/>
      <c r="H16" s="149"/>
      <c r="I16" s="149"/>
      <c r="J16" s="149"/>
    </row>
    <row r="17" spans="1:10" ht="15.75" customHeight="1">
      <c r="A17" s="58" t="s">
        <v>205</v>
      </c>
      <c r="B17" s="213">
        <f>'Исходные данные'!B19</f>
        <v>1720</v>
      </c>
      <c r="C17" s="148"/>
      <c r="D17" s="148"/>
      <c r="E17" s="148"/>
      <c r="F17" s="149"/>
      <c r="G17" s="148"/>
      <c r="H17" s="149"/>
      <c r="I17" s="149"/>
      <c r="J17" s="149"/>
    </row>
    <row r="18" spans="1:10" ht="15.75" customHeight="1">
      <c r="A18" s="58" t="s">
        <v>206</v>
      </c>
      <c r="B18" s="210">
        <f>'Исходные данные'!C19</f>
        <v>77</v>
      </c>
      <c r="C18" s="62"/>
      <c r="D18" s="62"/>
      <c r="E18" s="62"/>
      <c r="F18" s="59"/>
      <c r="G18" s="59"/>
    </row>
    <row r="19" spans="1:10" ht="15.75" customHeight="1">
      <c r="A19" s="58" t="s">
        <v>207</v>
      </c>
      <c r="B19" s="213">
        <f>'Исходные данные'!D19</f>
        <v>0</v>
      </c>
      <c r="C19" s="148"/>
      <c r="D19" s="148"/>
      <c r="E19" s="148"/>
    </row>
    <row r="20" spans="1:10" ht="15.75" customHeight="1">
      <c r="A20" s="244"/>
      <c r="B20" s="148"/>
      <c r="C20" s="148"/>
      <c r="D20" s="148"/>
      <c r="E20" s="148"/>
    </row>
    <row r="21" spans="1:10" ht="15.75" customHeight="1">
      <c r="A21" s="333" t="s">
        <v>208</v>
      </c>
      <c r="B21" s="332"/>
      <c r="C21" s="332"/>
      <c r="D21" s="321"/>
      <c r="E21" s="148"/>
    </row>
    <row r="22" spans="1:10" ht="15.75" customHeight="1">
      <c r="A22" s="215" t="s">
        <v>209</v>
      </c>
      <c r="B22" s="216" t="s">
        <v>210</v>
      </c>
      <c r="C22" s="78" t="s">
        <v>5</v>
      </c>
      <c r="D22" s="216" t="s">
        <v>211</v>
      </c>
    </row>
    <row r="23" spans="1:10" ht="15.75" customHeight="1">
      <c r="A23" s="238" t="s">
        <v>242</v>
      </c>
      <c r="B23" s="239"/>
      <c r="C23" s="239">
        <v>12</v>
      </c>
      <c r="D23" s="239">
        <f t="shared" ref="D23:D25" si="4">B23/C23</f>
        <v>0</v>
      </c>
    </row>
    <row r="24" spans="1:10" ht="15.75" customHeight="1">
      <c r="A24" s="58" t="s">
        <v>243</v>
      </c>
      <c r="B24" s="239"/>
      <c r="C24" s="239">
        <v>12</v>
      </c>
      <c r="D24" s="239">
        <f t="shared" si="4"/>
        <v>0</v>
      </c>
    </row>
    <row r="25" spans="1:10">
      <c r="A25" s="245" t="s">
        <v>244</v>
      </c>
      <c r="B25" s="239"/>
      <c r="C25" s="239">
        <v>12</v>
      </c>
      <c r="D25" s="239">
        <f t="shared" si="4"/>
        <v>0</v>
      </c>
    </row>
    <row r="26" spans="1:10" ht="15.75" customHeight="1">
      <c r="A26" s="58"/>
      <c r="B26" s="239"/>
      <c r="C26" s="239"/>
      <c r="D26" s="147"/>
    </row>
    <row r="27" spans="1:10" ht="15.75" customHeight="1">
      <c r="A27" s="58"/>
      <c r="B27" s="239"/>
      <c r="C27" s="239"/>
      <c r="D27" s="239">
        <f>SUM(D23:D26)</f>
        <v>0</v>
      </c>
    </row>
  </sheetData>
  <mergeCells count="2">
    <mergeCell ref="A15:H15"/>
    <mergeCell ref="A21:D2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D991"/>
  <sheetViews>
    <sheetView workbookViewId="0"/>
  </sheetViews>
  <sheetFormatPr baseColWidth="10" defaultColWidth="12.6640625" defaultRowHeight="15.75" customHeight="1"/>
  <cols>
    <col min="1" max="1" width="28.1640625" customWidth="1"/>
    <col min="2" max="2" width="12.1640625" customWidth="1"/>
    <col min="3" max="3" width="10.6640625" customWidth="1"/>
    <col min="4" max="4" width="14.33203125" customWidth="1"/>
    <col min="6" max="6" width="9.6640625" customWidth="1"/>
    <col min="7" max="7" width="14.83203125" customWidth="1"/>
    <col min="8" max="8" width="8.83203125" customWidth="1"/>
    <col min="9" max="9" width="16.33203125" customWidth="1"/>
  </cols>
  <sheetData>
    <row r="1" spans="1:9" ht="15.75" customHeight="1">
      <c r="A1" s="202"/>
      <c r="B1" s="62"/>
      <c r="C1" s="62"/>
      <c r="D1" s="62"/>
      <c r="E1" s="148"/>
      <c r="F1" s="149"/>
      <c r="G1" s="148"/>
      <c r="H1" s="148"/>
      <c r="I1" s="223"/>
    </row>
    <row r="2" spans="1:9" ht="15.75" customHeight="1">
      <c r="A2" s="203" t="s">
        <v>41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6</v>
      </c>
      <c r="H2" s="204" t="s">
        <v>9</v>
      </c>
      <c r="I2" s="205" t="s">
        <v>198</v>
      </c>
    </row>
    <row r="3" spans="1:9" ht="15.75" customHeight="1">
      <c r="A3" s="73" t="s">
        <v>232</v>
      </c>
      <c r="B3" s="83">
        <f>'Исходные данные'!D10</f>
        <v>276</v>
      </c>
      <c r="C3" s="83">
        <f>'Исходные данные'!E16</f>
        <v>232</v>
      </c>
      <c r="D3" s="27"/>
      <c r="E3" s="27">
        <v>402810</v>
      </c>
      <c r="F3" s="207">
        <v>12</v>
      </c>
      <c r="G3" s="108">
        <f t="shared" ref="G3:G10" si="0">E3/F3</f>
        <v>33567.5</v>
      </c>
      <c r="H3" s="61"/>
      <c r="I3" s="211">
        <f t="shared" ref="I3:I4" si="1">G3/B3*C3</f>
        <v>28216.159420289856</v>
      </c>
    </row>
    <row r="4" spans="1:9" ht="15.75" customHeight="1">
      <c r="A4" s="73" t="s">
        <v>233</v>
      </c>
      <c r="B4" s="83">
        <f>'Исходные данные'!E13</f>
        <v>30</v>
      </c>
      <c r="C4" s="83">
        <f>'Исходные данные'!H16</f>
        <v>2</v>
      </c>
      <c r="D4" s="108"/>
      <c r="E4" s="147">
        <v>305868</v>
      </c>
      <c r="F4" s="207">
        <v>12</v>
      </c>
      <c r="G4" s="108">
        <f t="shared" si="0"/>
        <v>25489</v>
      </c>
      <c r="H4" s="61"/>
      <c r="I4" s="211">
        <f t="shared" si="1"/>
        <v>1699.2666666666667</v>
      </c>
    </row>
    <row r="5" spans="1:9" ht="15.75" customHeight="1">
      <c r="A5" s="73" t="s">
        <v>245</v>
      </c>
      <c r="B5" s="108"/>
      <c r="C5" s="108"/>
      <c r="D5" s="108"/>
      <c r="E5" s="206">
        <v>86738.32</v>
      </c>
      <c r="F5" s="207">
        <v>12</v>
      </c>
      <c r="G5" s="108">
        <f t="shared" si="0"/>
        <v>7228.1933333333336</v>
      </c>
      <c r="H5" s="61"/>
      <c r="I5" s="211">
        <f t="shared" ref="I5:I10" si="2">G5</f>
        <v>7228.1933333333336</v>
      </c>
    </row>
    <row r="6" spans="1:9" ht="15.75" customHeight="1">
      <c r="A6" s="73" t="s">
        <v>202</v>
      </c>
      <c r="B6" s="108"/>
      <c r="C6" s="108"/>
      <c r="D6" s="108"/>
      <c r="E6" s="206">
        <f>70501.94+11000+4793</f>
        <v>86294.94</v>
      </c>
      <c r="F6" s="207">
        <v>12</v>
      </c>
      <c r="G6" s="108">
        <f t="shared" si="0"/>
        <v>7191.2449999999999</v>
      </c>
      <c r="H6" s="61"/>
      <c r="I6" s="211">
        <f t="shared" si="2"/>
        <v>7191.2449999999999</v>
      </c>
    </row>
    <row r="7" spans="1:9" ht="15.75" customHeight="1">
      <c r="A7" s="73" t="s">
        <v>148</v>
      </c>
      <c r="B7" s="108"/>
      <c r="C7" s="108"/>
      <c r="D7" s="108"/>
      <c r="E7" s="147">
        <v>128366</v>
      </c>
      <c r="F7" s="207">
        <v>12</v>
      </c>
      <c r="G7" s="108">
        <f t="shared" si="0"/>
        <v>10697.166666666666</v>
      </c>
      <c r="H7" s="61"/>
      <c r="I7" s="211">
        <f t="shared" si="2"/>
        <v>10697.166666666666</v>
      </c>
    </row>
    <row r="8" spans="1:9" ht="15.75" customHeight="1">
      <c r="A8" s="73" t="s">
        <v>150</v>
      </c>
      <c r="B8" s="108"/>
      <c r="C8" s="108"/>
      <c r="D8" s="108"/>
      <c r="E8" s="147">
        <v>0</v>
      </c>
      <c r="F8" s="207">
        <v>12</v>
      </c>
      <c r="G8" s="108">
        <f t="shared" si="0"/>
        <v>0</v>
      </c>
      <c r="H8" s="61"/>
      <c r="I8" s="211">
        <f t="shared" si="2"/>
        <v>0</v>
      </c>
    </row>
    <row r="9" spans="1:9" ht="15.75" customHeight="1">
      <c r="A9" s="73" t="s">
        <v>149</v>
      </c>
      <c r="B9" s="108"/>
      <c r="C9" s="108"/>
      <c r="D9" s="108"/>
      <c r="E9" s="147">
        <v>0</v>
      </c>
      <c r="F9" s="207">
        <v>12</v>
      </c>
      <c r="G9" s="108">
        <f t="shared" si="0"/>
        <v>0</v>
      </c>
      <c r="H9" s="61"/>
      <c r="I9" s="211">
        <f t="shared" si="2"/>
        <v>0</v>
      </c>
    </row>
    <row r="10" spans="1:9" ht="15.75" customHeight="1">
      <c r="A10" s="234" t="s">
        <v>203</v>
      </c>
      <c r="B10" s="108"/>
      <c r="C10" s="108"/>
      <c r="D10" s="108"/>
      <c r="E10" s="147"/>
      <c r="F10" s="207">
        <v>12</v>
      </c>
      <c r="G10" s="108">
        <f t="shared" si="0"/>
        <v>0</v>
      </c>
      <c r="H10" s="61"/>
      <c r="I10" s="211">
        <f t="shared" si="2"/>
        <v>0</v>
      </c>
    </row>
    <row r="11" spans="1:9" ht="15.75" customHeight="1">
      <c r="A11" s="234" t="s">
        <v>246</v>
      </c>
      <c r="B11" s="108"/>
      <c r="C11" s="108"/>
      <c r="D11" s="108"/>
      <c r="E11" s="147"/>
      <c r="F11" s="207"/>
      <c r="G11" s="108">
        <f>D24</f>
        <v>0</v>
      </c>
      <c r="H11" s="61"/>
      <c r="I11" s="211">
        <f>D28</f>
        <v>2833.3333333333335</v>
      </c>
    </row>
    <row r="12" spans="1:9" ht="15.75" customHeight="1">
      <c r="A12" s="234" t="s">
        <v>204</v>
      </c>
      <c r="B12" s="108"/>
      <c r="C12" s="108"/>
      <c r="D12" s="108"/>
      <c r="E12" s="147"/>
      <c r="F12" s="207">
        <v>12</v>
      </c>
      <c r="G12" s="108">
        <f>E12/F12</f>
        <v>0</v>
      </c>
      <c r="H12" s="61"/>
      <c r="I12" s="211">
        <f>G12</f>
        <v>0</v>
      </c>
    </row>
    <row r="13" spans="1:9" ht="15.75" customHeight="1">
      <c r="A13" s="58" t="s">
        <v>152</v>
      </c>
      <c r="B13" s="61"/>
      <c r="C13" s="61"/>
      <c r="D13" s="213">
        <f>B18+B19</f>
        <v>4110</v>
      </c>
      <c r="E13" s="61"/>
      <c r="F13" s="200"/>
      <c r="G13" s="61"/>
      <c r="H13" s="209">
        <f>'Общие расходы ГЭ'!G16</f>
        <v>9.1731976502919679</v>
      </c>
      <c r="I13" s="211">
        <f t="shared" ref="I13:I15" si="3">D13*H13</f>
        <v>37701.842342699987</v>
      </c>
    </row>
    <row r="14" spans="1:9" ht="15.75" customHeight="1">
      <c r="A14" s="58" t="s">
        <v>235</v>
      </c>
      <c r="B14" s="61"/>
      <c r="C14" s="61"/>
      <c r="D14" s="213">
        <f>B18+B19</f>
        <v>4110</v>
      </c>
      <c r="E14" s="61"/>
      <c r="F14" s="200"/>
      <c r="G14" s="61"/>
      <c r="H14" s="209">
        <f>'Общие расходы г. Тюмень'!F4</f>
        <v>0.27439332347868928</v>
      </c>
      <c r="I14" s="211">
        <f t="shared" si="3"/>
        <v>1127.756559497413</v>
      </c>
    </row>
    <row r="15" spans="1:9" ht="15.75" customHeight="1">
      <c r="A15" s="58" t="s">
        <v>156</v>
      </c>
      <c r="B15" s="61"/>
      <c r="C15" s="61"/>
      <c r="D15" s="213">
        <f>B18+B19</f>
        <v>4110</v>
      </c>
      <c r="E15" s="61"/>
      <c r="F15" s="200"/>
      <c r="G15" s="61"/>
      <c r="H15" s="201">
        <f>'Общие расходы г. Тюмень'!F30</f>
        <v>0.74801393423739049</v>
      </c>
      <c r="I15" s="211">
        <f t="shared" si="3"/>
        <v>3074.3372697156751</v>
      </c>
    </row>
    <row r="16" spans="1:9" ht="15.75" customHeight="1">
      <c r="A16" s="230"/>
      <c r="B16" s="231"/>
      <c r="C16" s="231"/>
      <c r="D16" s="231"/>
      <c r="E16" s="231"/>
      <c r="F16" s="232"/>
      <c r="G16" s="231"/>
      <c r="H16" s="232"/>
      <c r="I16" s="211">
        <f>SUM(I3:I15)</f>
        <v>99769.300592202926</v>
      </c>
    </row>
    <row r="17" spans="1:30" ht="15.75" customHeight="1">
      <c r="A17" s="202"/>
      <c r="B17" s="148"/>
      <c r="C17" s="148"/>
      <c r="D17" s="148"/>
      <c r="E17" s="148"/>
      <c r="F17" s="149"/>
      <c r="G17" s="148"/>
      <c r="H17" s="148"/>
      <c r="I17" s="223"/>
    </row>
    <row r="18" spans="1:30" ht="15.75" customHeight="1">
      <c r="A18" s="58" t="s">
        <v>205</v>
      </c>
      <c r="B18" s="210">
        <f>'Исходные данные'!B16</f>
        <v>4024</v>
      </c>
      <c r="C18" s="148"/>
      <c r="D18" s="148"/>
      <c r="E18" s="148"/>
      <c r="F18" s="149"/>
      <c r="G18" s="148"/>
      <c r="H18" s="148"/>
      <c r="I18" s="223"/>
    </row>
    <row r="19" spans="1:30" ht="15.75" customHeight="1">
      <c r="A19" s="58" t="s">
        <v>206</v>
      </c>
      <c r="B19" s="210">
        <f>'Исходные данные'!C16</f>
        <v>86</v>
      </c>
      <c r="C19" s="148"/>
      <c r="D19" s="148"/>
      <c r="E19" s="148"/>
      <c r="F19" s="149"/>
      <c r="G19" s="148"/>
      <c r="H19" s="148"/>
      <c r="I19" s="223"/>
    </row>
    <row r="20" spans="1:30" ht="15.75" customHeight="1">
      <c r="A20" s="58" t="s">
        <v>207</v>
      </c>
      <c r="B20" s="210">
        <f>'Исходные данные'!D16</f>
        <v>0</v>
      </c>
      <c r="C20" s="148"/>
      <c r="D20" s="148"/>
      <c r="E20" s="148"/>
      <c r="F20" s="149"/>
      <c r="G20" s="148"/>
      <c r="H20" s="148"/>
      <c r="I20" s="223"/>
    </row>
    <row r="21" spans="1:30" ht="15.75" customHeight="1">
      <c r="A21" s="233"/>
      <c r="B21" s="62"/>
      <c r="C21" s="62"/>
      <c r="D21" s="62"/>
      <c r="E21" s="62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pans="1:30" ht="15.75" customHeight="1">
      <c r="A22" s="333" t="s">
        <v>208</v>
      </c>
      <c r="B22" s="332"/>
      <c r="C22" s="332"/>
      <c r="D22" s="321"/>
    </row>
    <row r="23" spans="1:30" ht="15.75" customHeight="1">
      <c r="A23" s="215" t="s">
        <v>209</v>
      </c>
      <c r="B23" s="216" t="s">
        <v>210</v>
      </c>
      <c r="C23" s="78" t="s">
        <v>5</v>
      </c>
      <c r="D23" s="216" t="s">
        <v>211</v>
      </c>
    </row>
    <row r="24" spans="1:30" ht="15.75" customHeight="1">
      <c r="A24" s="238" t="s">
        <v>242</v>
      </c>
      <c r="B24" s="239"/>
      <c r="C24" s="239">
        <v>12</v>
      </c>
      <c r="D24" s="239">
        <f t="shared" ref="D24:D25" si="4">B24/C24</f>
        <v>0</v>
      </c>
    </row>
    <row r="25" spans="1:30" ht="15.75" customHeight="1">
      <c r="A25" s="58" t="s">
        <v>217</v>
      </c>
      <c r="B25" s="239">
        <f>24000+10000</f>
        <v>34000</v>
      </c>
      <c r="C25" s="239">
        <v>12</v>
      </c>
      <c r="D25" s="239">
        <f t="shared" si="4"/>
        <v>2833.3333333333335</v>
      </c>
    </row>
    <row r="26" spans="1:30" ht="15.75" customHeight="1">
      <c r="A26" s="241"/>
      <c r="B26" s="239"/>
      <c r="C26" s="239"/>
      <c r="D26" s="239"/>
    </row>
    <row r="27" spans="1:30" ht="15.75" customHeight="1">
      <c r="A27" s="58"/>
      <c r="B27" s="239"/>
      <c r="C27" s="239"/>
      <c r="D27" s="147"/>
    </row>
    <row r="28" spans="1:30" ht="15.75" customHeight="1">
      <c r="A28" s="58"/>
      <c r="B28" s="239"/>
      <c r="C28" s="239"/>
      <c r="D28" s="239">
        <f>SUM(D24:D27)</f>
        <v>2833.3333333333335</v>
      </c>
    </row>
    <row r="29" spans="1:30" ht="15.75" customHeight="1">
      <c r="A29" s="202"/>
    </row>
    <row r="30" spans="1:30" ht="15.75" customHeight="1">
      <c r="A30" s="202"/>
    </row>
    <row r="31" spans="1:30" ht="15.75" customHeight="1">
      <c r="A31" s="202"/>
    </row>
    <row r="32" spans="1:30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  <row r="984" spans="1:1" ht="13">
      <c r="A984" s="202"/>
    </row>
    <row r="985" spans="1:1" ht="13">
      <c r="A985" s="202"/>
    </row>
    <row r="986" spans="1:1" ht="13">
      <c r="A986" s="202"/>
    </row>
    <row r="987" spans="1:1" ht="13">
      <c r="A987" s="202"/>
    </row>
    <row r="988" spans="1:1" ht="13">
      <c r="A988" s="202"/>
    </row>
    <row r="989" spans="1:1" ht="13">
      <c r="A989" s="202"/>
    </row>
    <row r="990" spans="1:1" ht="13">
      <c r="A990" s="202"/>
    </row>
    <row r="991" spans="1:1" ht="13">
      <c r="A991" s="202"/>
    </row>
  </sheetData>
  <mergeCells count="1">
    <mergeCell ref="A22:D22"/>
  </mergeCells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D991"/>
  <sheetViews>
    <sheetView workbookViewId="0"/>
  </sheetViews>
  <sheetFormatPr baseColWidth="10" defaultColWidth="12.6640625" defaultRowHeight="15.75" customHeight="1"/>
  <cols>
    <col min="1" max="1" width="28.1640625" customWidth="1"/>
    <col min="2" max="2" width="12.1640625" customWidth="1"/>
    <col min="3" max="3" width="10.6640625" customWidth="1"/>
    <col min="4" max="4" width="14.33203125" customWidth="1"/>
    <col min="6" max="6" width="9.6640625" customWidth="1"/>
    <col min="7" max="7" width="14.83203125" customWidth="1"/>
    <col min="8" max="8" width="8.83203125" customWidth="1"/>
    <col min="9" max="9" width="16.33203125" customWidth="1"/>
  </cols>
  <sheetData>
    <row r="1" spans="1:10" ht="15.75" customHeight="1">
      <c r="A1" s="202"/>
      <c r="B1" s="62"/>
      <c r="C1" s="62"/>
      <c r="D1" s="62"/>
      <c r="E1" s="148"/>
      <c r="F1" s="149"/>
      <c r="G1" s="148"/>
      <c r="H1" s="148"/>
      <c r="I1" s="223"/>
    </row>
    <row r="2" spans="1:10" ht="15.75" customHeight="1">
      <c r="A2" s="203" t="s">
        <v>41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6</v>
      </c>
      <c r="H2" s="204" t="s">
        <v>9</v>
      </c>
      <c r="I2" s="205" t="s">
        <v>198</v>
      </c>
    </row>
    <row r="3" spans="1:10" ht="15.75" customHeight="1">
      <c r="A3" s="73" t="s">
        <v>247</v>
      </c>
      <c r="B3" s="83">
        <f>'Исходные данные'!D12</f>
        <v>402</v>
      </c>
      <c r="C3" s="83">
        <f>'Исходные данные'!G29</f>
        <v>2</v>
      </c>
      <c r="D3" s="108"/>
      <c r="E3" s="206">
        <v>637618</v>
      </c>
      <c r="F3" s="207">
        <v>12</v>
      </c>
      <c r="G3" s="108">
        <f t="shared" ref="G3:G10" si="0">E3/F3</f>
        <v>53134.833333333336</v>
      </c>
      <c r="H3" s="61"/>
      <c r="I3" s="211">
        <f t="shared" ref="I3:I4" si="1">G3/B3*C3</f>
        <v>264.3524046434494</v>
      </c>
      <c r="J3" s="227"/>
    </row>
    <row r="4" spans="1:10" ht="15.75" customHeight="1">
      <c r="A4" s="73" t="s">
        <v>248</v>
      </c>
      <c r="B4" s="83">
        <f>'Исходные данные'!E13</f>
        <v>30</v>
      </c>
      <c r="C4" s="83">
        <f>'Исходные данные'!H29</f>
        <v>1</v>
      </c>
      <c r="D4" s="108"/>
      <c r="E4" s="147">
        <v>305868</v>
      </c>
      <c r="F4" s="207">
        <v>12</v>
      </c>
      <c r="G4" s="108">
        <f t="shared" si="0"/>
        <v>25489</v>
      </c>
      <c r="H4" s="61"/>
      <c r="I4" s="211">
        <f t="shared" si="1"/>
        <v>849.63333333333333</v>
      </c>
      <c r="J4" s="227"/>
    </row>
    <row r="5" spans="1:10" ht="15.75" customHeight="1">
      <c r="A5" s="73" t="s">
        <v>249</v>
      </c>
      <c r="B5" s="108"/>
      <c r="C5" s="108"/>
      <c r="D5" s="108"/>
      <c r="E5" s="206">
        <v>8180</v>
      </c>
      <c r="F5" s="207">
        <v>12</v>
      </c>
      <c r="G5" s="108">
        <f t="shared" si="0"/>
        <v>681.66666666666663</v>
      </c>
      <c r="H5" s="61"/>
      <c r="I5" s="211">
        <f t="shared" ref="I5:I10" si="2">G5</f>
        <v>681.66666666666663</v>
      </c>
      <c r="J5" s="227"/>
    </row>
    <row r="6" spans="1:10" ht="15.75" customHeight="1">
      <c r="A6" s="73"/>
      <c r="B6" s="108"/>
      <c r="C6" s="108"/>
      <c r="D6" s="108"/>
      <c r="E6" s="206"/>
      <c r="F6" s="207">
        <v>12</v>
      </c>
      <c r="G6" s="108">
        <f t="shared" si="0"/>
        <v>0</v>
      </c>
      <c r="H6" s="61"/>
      <c r="I6" s="211">
        <f t="shared" si="2"/>
        <v>0</v>
      </c>
    </row>
    <row r="7" spans="1:10" ht="15.75" customHeight="1">
      <c r="A7" s="73" t="s">
        <v>148</v>
      </c>
      <c r="B7" s="108"/>
      <c r="C7" s="108"/>
      <c r="D7" s="108"/>
      <c r="E7" s="147">
        <v>10562</v>
      </c>
      <c r="F7" s="207">
        <v>12</v>
      </c>
      <c r="G7" s="108">
        <f t="shared" si="0"/>
        <v>880.16666666666663</v>
      </c>
      <c r="H7" s="61"/>
      <c r="I7" s="211">
        <f t="shared" si="2"/>
        <v>880.16666666666663</v>
      </c>
      <c r="J7" s="227"/>
    </row>
    <row r="8" spans="1:10" ht="15.75" customHeight="1">
      <c r="A8" s="73" t="s">
        <v>150</v>
      </c>
      <c r="B8" s="108"/>
      <c r="C8" s="108"/>
      <c r="D8" s="108"/>
      <c r="E8" s="147">
        <v>3180</v>
      </c>
      <c r="F8" s="207">
        <v>12</v>
      </c>
      <c r="G8" s="108">
        <f t="shared" si="0"/>
        <v>265</v>
      </c>
      <c r="H8" s="61"/>
      <c r="I8" s="211">
        <f t="shared" si="2"/>
        <v>265</v>
      </c>
    </row>
    <row r="9" spans="1:10" ht="15.75" customHeight="1">
      <c r="A9" s="73" t="s">
        <v>149</v>
      </c>
      <c r="B9" s="108"/>
      <c r="C9" s="108"/>
      <c r="D9" s="108"/>
      <c r="E9" s="147">
        <v>0</v>
      </c>
      <c r="F9" s="207">
        <v>12</v>
      </c>
      <c r="G9" s="108">
        <f t="shared" si="0"/>
        <v>0</v>
      </c>
      <c r="H9" s="61"/>
      <c r="I9" s="211">
        <f t="shared" si="2"/>
        <v>0</v>
      </c>
    </row>
    <row r="10" spans="1:10" ht="15.75" customHeight="1">
      <c r="A10" s="234" t="s">
        <v>203</v>
      </c>
      <c r="B10" s="108"/>
      <c r="C10" s="108"/>
      <c r="D10" s="108"/>
      <c r="E10" s="147"/>
      <c r="F10" s="207">
        <v>12</v>
      </c>
      <c r="G10" s="108">
        <f t="shared" si="0"/>
        <v>0</v>
      </c>
      <c r="H10" s="61"/>
      <c r="I10" s="211">
        <f t="shared" si="2"/>
        <v>0</v>
      </c>
    </row>
    <row r="11" spans="1:10" ht="15.75" customHeight="1">
      <c r="A11" s="234" t="s">
        <v>246</v>
      </c>
      <c r="B11" s="108"/>
      <c r="C11" s="108"/>
      <c r="D11" s="108"/>
      <c r="E11" s="147"/>
      <c r="F11" s="207"/>
      <c r="G11" s="108"/>
      <c r="H11" s="61"/>
      <c r="I11" s="211">
        <f>D28</f>
        <v>291.66666666666669</v>
      </c>
    </row>
    <row r="12" spans="1:10" ht="15.75" customHeight="1">
      <c r="A12" s="234" t="s">
        <v>204</v>
      </c>
      <c r="B12" s="108"/>
      <c r="C12" s="108"/>
      <c r="D12" s="108"/>
      <c r="E12" s="147"/>
      <c r="F12" s="207">
        <v>12</v>
      </c>
      <c r="G12" s="108">
        <f>E12/F12</f>
        <v>0</v>
      </c>
      <c r="H12" s="61"/>
      <c r="I12" s="211">
        <f>G12</f>
        <v>0</v>
      </c>
    </row>
    <row r="13" spans="1:10" ht="15.75" customHeight="1">
      <c r="A13" s="58" t="s">
        <v>152</v>
      </c>
      <c r="B13" s="61"/>
      <c r="C13" s="61"/>
      <c r="D13" s="213">
        <f>B18+B19</f>
        <v>144</v>
      </c>
      <c r="E13" s="61"/>
      <c r="F13" s="200"/>
      <c r="G13" s="61"/>
      <c r="H13" s="209">
        <f>'Общие расходы ГЭ'!G16</f>
        <v>9.1731976502919679</v>
      </c>
      <c r="I13" s="211">
        <f t="shared" ref="I13:I15" si="3">D13*H13</f>
        <v>1320.9404616420434</v>
      </c>
    </row>
    <row r="14" spans="1:10" ht="15.75" customHeight="1">
      <c r="A14" s="58" t="s">
        <v>235</v>
      </c>
      <c r="B14" s="61"/>
      <c r="C14" s="61"/>
      <c r="D14" s="213">
        <f>B18+B19</f>
        <v>144</v>
      </c>
      <c r="E14" s="61"/>
      <c r="F14" s="200"/>
      <c r="G14" s="61"/>
      <c r="H14" s="209">
        <f>'Общие расходы г. Тюмень'!F4</f>
        <v>0.27439332347868928</v>
      </c>
      <c r="I14" s="211">
        <f t="shared" si="3"/>
        <v>39.512638580931252</v>
      </c>
    </row>
    <row r="15" spans="1:10" ht="15.75" customHeight="1">
      <c r="A15" s="58" t="s">
        <v>156</v>
      </c>
      <c r="B15" s="61"/>
      <c r="C15" s="61"/>
      <c r="D15" s="213">
        <f>B18+B19</f>
        <v>144</v>
      </c>
      <c r="E15" s="61"/>
      <c r="F15" s="200"/>
      <c r="G15" s="61"/>
      <c r="H15" s="201">
        <f>'Общие расходы г. Тюмень'!F30</f>
        <v>0.74801393423739049</v>
      </c>
      <c r="I15" s="211">
        <f t="shared" si="3"/>
        <v>107.71400653018424</v>
      </c>
    </row>
    <row r="16" spans="1:10" ht="15.75" customHeight="1">
      <c r="A16" s="230"/>
      <c r="B16" s="231"/>
      <c r="C16" s="231"/>
      <c r="D16" s="231"/>
      <c r="E16" s="231"/>
      <c r="F16" s="232"/>
      <c r="G16" s="231"/>
      <c r="H16" s="232"/>
      <c r="I16" s="211">
        <f>SUM(I3:I15)</f>
        <v>4700.6528447299406</v>
      </c>
    </row>
    <row r="17" spans="1:30" ht="15.75" customHeight="1">
      <c r="A17" s="202"/>
      <c r="B17" s="148"/>
      <c r="C17" s="148"/>
      <c r="D17" s="148"/>
      <c r="E17" s="148"/>
      <c r="F17" s="149"/>
      <c r="G17" s="148"/>
      <c r="H17" s="148"/>
      <c r="I17" s="223"/>
    </row>
    <row r="18" spans="1:30" ht="15.75" customHeight="1">
      <c r="A18" s="58" t="s">
        <v>205</v>
      </c>
      <c r="B18" s="210">
        <f>'Исходные данные'!B29</f>
        <v>72</v>
      </c>
      <c r="C18" s="148"/>
      <c r="D18" s="148"/>
      <c r="E18" s="148"/>
      <c r="F18" s="149"/>
      <c r="G18" s="148"/>
      <c r="H18" s="148"/>
      <c r="I18" s="223"/>
    </row>
    <row r="19" spans="1:30" ht="15.75" customHeight="1">
      <c r="A19" s="58" t="s">
        <v>206</v>
      </c>
      <c r="B19" s="210">
        <f>'Исходные данные'!C29</f>
        <v>72</v>
      </c>
      <c r="C19" s="148"/>
      <c r="D19" s="148"/>
      <c r="E19" s="148"/>
      <c r="F19" s="149"/>
      <c r="G19" s="148"/>
      <c r="H19" s="148"/>
      <c r="I19" s="223"/>
    </row>
    <row r="20" spans="1:30" ht="15.75" customHeight="1">
      <c r="A20" s="58" t="s">
        <v>207</v>
      </c>
      <c r="B20" s="210">
        <f>'Исходные данные'!D29</f>
        <v>0</v>
      </c>
      <c r="C20" s="148"/>
      <c r="D20" s="148"/>
      <c r="E20" s="148"/>
      <c r="F20" s="149"/>
      <c r="G20" s="148"/>
      <c r="H20" s="148"/>
      <c r="I20" s="223"/>
    </row>
    <row r="21" spans="1:30" ht="15.75" customHeight="1">
      <c r="A21" s="233"/>
      <c r="B21" s="62"/>
      <c r="C21" s="62"/>
      <c r="D21" s="62"/>
      <c r="E21" s="62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pans="1:30" ht="15.75" customHeight="1">
      <c r="A22" s="333" t="s">
        <v>208</v>
      </c>
      <c r="B22" s="332"/>
      <c r="C22" s="332"/>
      <c r="D22" s="321"/>
    </row>
    <row r="23" spans="1:30" ht="15.75" customHeight="1">
      <c r="A23" s="215" t="s">
        <v>209</v>
      </c>
      <c r="B23" s="216" t="s">
        <v>210</v>
      </c>
      <c r="C23" s="78" t="s">
        <v>5</v>
      </c>
      <c r="D23" s="216" t="s">
        <v>211</v>
      </c>
    </row>
    <row r="24" spans="1:30" ht="15.75" customHeight="1">
      <c r="A24" s="238" t="s">
        <v>250</v>
      </c>
      <c r="B24" s="239">
        <v>3500</v>
      </c>
      <c r="C24" s="239">
        <v>12</v>
      </c>
      <c r="D24" s="239">
        <f t="shared" ref="D24:D25" si="4">B24/C24</f>
        <v>291.66666666666669</v>
      </c>
    </row>
    <row r="25" spans="1:30" ht="15.75" customHeight="1">
      <c r="A25" s="58"/>
      <c r="B25" s="239"/>
      <c r="C25" s="239">
        <v>12</v>
      </c>
      <c r="D25" s="239">
        <f t="shared" si="4"/>
        <v>0</v>
      </c>
    </row>
    <row r="26" spans="1:30" ht="15.75" customHeight="1">
      <c r="A26" s="241"/>
      <c r="B26" s="239"/>
      <c r="C26" s="239"/>
      <c r="D26" s="239"/>
    </row>
    <row r="27" spans="1:30" ht="15.75" customHeight="1">
      <c r="A27" s="58"/>
      <c r="B27" s="239"/>
      <c r="C27" s="239"/>
      <c r="D27" s="147"/>
    </row>
    <row r="28" spans="1:30" ht="15.75" customHeight="1">
      <c r="A28" s="58"/>
      <c r="B28" s="239"/>
      <c r="C28" s="239"/>
      <c r="D28" s="239">
        <f>SUM(D24:D27)</f>
        <v>291.66666666666669</v>
      </c>
    </row>
    <row r="29" spans="1:30" ht="15.75" customHeight="1">
      <c r="A29" s="202"/>
    </row>
    <row r="30" spans="1:30" ht="15.75" customHeight="1">
      <c r="A30" s="202"/>
    </row>
    <row r="31" spans="1:30" ht="15.75" customHeight="1">
      <c r="A31" s="202"/>
    </row>
    <row r="32" spans="1:30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  <row r="984" spans="1:1" ht="13">
      <c r="A984" s="202"/>
    </row>
    <row r="985" spans="1:1" ht="13">
      <c r="A985" s="202"/>
    </row>
    <row r="986" spans="1:1" ht="13">
      <c r="A986" s="202"/>
    </row>
    <row r="987" spans="1:1" ht="13">
      <c r="A987" s="202"/>
    </row>
    <row r="988" spans="1:1" ht="13">
      <c r="A988" s="202"/>
    </row>
    <row r="989" spans="1:1" ht="13">
      <c r="A989" s="202"/>
    </row>
    <row r="990" spans="1:1" ht="13">
      <c r="A990" s="202"/>
    </row>
    <row r="991" spans="1:1" ht="13">
      <c r="A991" s="202"/>
    </row>
  </sheetData>
  <mergeCells count="1">
    <mergeCell ref="A22:D22"/>
  </mergeCells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D991"/>
  <sheetViews>
    <sheetView workbookViewId="0"/>
  </sheetViews>
  <sheetFormatPr baseColWidth="10" defaultColWidth="12.6640625" defaultRowHeight="15.75" customHeight="1"/>
  <cols>
    <col min="1" max="1" width="28.1640625" customWidth="1"/>
    <col min="2" max="2" width="12.1640625" customWidth="1"/>
    <col min="3" max="3" width="10.6640625" customWidth="1"/>
    <col min="4" max="4" width="14.33203125" customWidth="1"/>
    <col min="6" max="6" width="9.6640625" customWidth="1"/>
    <col min="7" max="7" width="14.83203125" customWidth="1"/>
    <col min="8" max="8" width="8.83203125" customWidth="1"/>
    <col min="9" max="9" width="16.33203125" customWidth="1"/>
  </cols>
  <sheetData>
    <row r="1" spans="1:9" ht="15.75" customHeight="1">
      <c r="A1" s="202"/>
      <c r="B1" s="62"/>
      <c r="C1" s="62"/>
      <c r="D1" s="62"/>
      <c r="E1" s="148"/>
      <c r="F1" s="149"/>
      <c r="G1" s="148"/>
      <c r="H1" s="148"/>
      <c r="I1" s="223"/>
    </row>
    <row r="2" spans="1:9" ht="15.75" customHeight="1">
      <c r="A2" s="203" t="s">
        <v>41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6</v>
      </c>
      <c r="H2" s="204" t="s">
        <v>9</v>
      </c>
      <c r="I2" s="205" t="s">
        <v>198</v>
      </c>
    </row>
    <row r="3" spans="1:9" ht="15.75" customHeight="1">
      <c r="A3" s="73" t="s">
        <v>247</v>
      </c>
      <c r="B3" s="83">
        <f>'Исходные данные'!D12</f>
        <v>402</v>
      </c>
      <c r="C3" s="83">
        <f>'Исходные данные'!G20</f>
        <v>14</v>
      </c>
      <c r="D3" s="108"/>
      <c r="E3" s="206">
        <v>637618</v>
      </c>
      <c r="F3" s="207">
        <v>12</v>
      </c>
      <c r="G3" s="108">
        <f t="shared" ref="G3:G10" si="0">E3/F3</f>
        <v>53134.833333333336</v>
      </c>
      <c r="H3" s="61"/>
      <c r="I3" s="211">
        <f>G3/B3*C3</f>
        <v>1850.4668325041457</v>
      </c>
    </row>
    <row r="4" spans="1:9" ht="15.75" customHeight="1">
      <c r="A4" s="73" t="s">
        <v>251</v>
      </c>
      <c r="B4" s="83"/>
      <c r="C4" s="83"/>
      <c r="D4" s="108"/>
      <c r="E4" s="108"/>
      <c r="F4" s="207">
        <v>12</v>
      </c>
      <c r="G4" s="108">
        <f t="shared" si="0"/>
        <v>0</v>
      </c>
      <c r="H4" s="61"/>
      <c r="I4" s="211">
        <f t="shared" ref="I4:I10" si="1">G4</f>
        <v>0</v>
      </c>
    </row>
    <row r="5" spans="1:9" ht="15.75" customHeight="1">
      <c r="A5" s="73" t="s">
        <v>249</v>
      </c>
      <c r="B5" s="108"/>
      <c r="C5" s="108"/>
      <c r="D5" s="108"/>
      <c r="E5" s="206">
        <v>15792</v>
      </c>
      <c r="F5" s="207">
        <v>12</v>
      </c>
      <c r="G5" s="108">
        <f t="shared" si="0"/>
        <v>1316</v>
      </c>
      <c r="H5" s="61"/>
      <c r="I5" s="211">
        <f t="shared" si="1"/>
        <v>1316</v>
      </c>
    </row>
    <row r="6" spans="1:9" ht="15.75" customHeight="1">
      <c r="A6" s="73"/>
      <c r="B6" s="108"/>
      <c r="C6" s="108"/>
      <c r="D6" s="108"/>
      <c r="E6" s="206"/>
      <c r="F6" s="207">
        <v>12</v>
      </c>
      <c r="G6" s="108">
        <f t="shared" si="0"/>
        <v>0</v>
      </c>
      <c r="H6" s="61"/>
      <c r="I6" s="211">
        <f t="shared" si="1"/>
        <v>0</v>
      </c>
    </row>
    <row r="7" spans="1:9" ht="15.75" customHeight="1">
      <c r="A7" s="73" t="s">
        <v>148</v>
      </c>
      <c r="B7" s="108"/>
      <c r="C7" s="108"/>
      <c r="D7" s="108"/>
      <c r="E7" s="147">
        <v>80624</v>
      </c>
      <c r="F7" s="207">
        <v>12</v>
      </c>
      <c r="G7" s="108">
        <f t="shared" si="0"/>
        <v>6718.666666666667</v>
      </c>
      <c r="H7" s="61"/>
      <c r="I7" s="211">
        <f t="shared" si="1"/>
        <v>6718.666666666667</v>
      </c>
    </row>
    <row r="8" spans="1:9" ht="15.75" customHeight="1">
      <c r="A8" s="73" t="s">
        <v>150</v>
      </c>
      <c r="B8" s="108"/>
      <c r="C8" s="108"/>
      <c r="D8" s="108"/>
      <c r="E8" s="147">
        <v>0</v>
      </c>
      <c r="F8" s="207">
        <v>12</v>
      </c>
      <c r="G8" s="108">
        <f t="shared" si="0"/>
        <v>0</v>
      </c>
      <c r="H8" s="61"/>
      <c r="I8" s="211">
        <f t="shared" si="1"/>
        <v>0</v>
      </c>
    </row>
    <row r="9" spans="1:9" ht="15.75" customHeight="1">
      <c r="A9" s="73" t="s">
        <v>149</v>
      </c>
      <c r="B9" s="108"/>
      <c r="C9" s="108"/>
      <c r="D9" s="108"/>
      <c r="E9" s="147">
        <v>0</v>
      </c>
      <c r="F9" s="207">
        <v>12</v>
      </c>
      <c r="G9" s="108">
        <f t="shared" si="0"/>
        <v>0</v>
      </c>
      <c r="H9" s="61"/>
      <c r="I9" s="211">
        <f t="shared" si="1"/>
        <v>0</v>
      </c>
    </row>
    <row r="10" spans="1:9" ht="15.75" customHeight="1">
      <c r="A10" s="234" t="s">
        <v>203</v>
      </c>
      <c r="B10" s="108"/>
      <c r="C10" s="108"/>
      <c r="D10" s="108"/>
      <c r="E10" s="147"/>
      <c r="F10" s="207">
        <v>12</v>
      </c>
      <c r="G10" s="108">
        <f t="shared" si="0"/>
        <v>0</v>
      </c>
      <c r="H10" s="61"/>
      <c r="I10" s="211">
        <f t="shared" si="1"/>
        <v>0</v>
      </c>
    </row>
    <row r="11" spans="1:9" ht="15.75" customHeight="1">
      <c r="A11" s="234" t="s">
        <v>246</v>
      </c>
      <c r="B11" s="108"/>
      <c r="C11" s="108"/>
      <c r="D11" s="108"/>
      <c r="E11" s="147"/>
      <c r="F11" s="207"/>
      <c r="G11" s="108"/>
      <c r="H11" s="61"/>
      <c r="I11" s="211">
        <f>D24</f>
        <v>0</v>
      </c>
    </row>
    <row r="12" spans="1:9" ht="15.75" customHeight="1">
      <c r="A12" s="234" t="s">
        <v>204</v>
      </c>
      <c r="B12" s="108"/>
      <c r="C12" s="108"/>
      <c r="D12" s="108"/>
      <c r="E12" s="147">
        <v>580</v>
      </c>
      <c r="F12" s="207">
        <v>12</v>
      </c>
      <c r="G12" s="108">
        <f>E12/F12</f>
        <v>48.333333333333336</v>
      </c>
      <c r="H12" s="61"/>
      <c r="I12" s="211">
        <f>G12</f>
        <v>48.333333333333336</v>
      </c>
    </row>
    <row r="13" spans="1:9" ht="15.75" customHeight="1">
      <c r="A13" s="58" t="s">
        <v>152</v>
      </c>
      <c r="B13" s="61"/>
      <c r="C13" s="61"/>
      <c r="D13" s="213">
        <f>B18+B19</f>
        <v>514</v>
      </c>
      <c r="E13" s="61"/>
      <c r="F13" s="200"/>
      <c r="G13" s="61"/>
      <c r="H13" s="209">
        <f>'Общие расходы ГЭ'!G16</f>
        <v>9.1731976502919679</v>
      </c>
      <c r="I13" s="211">
        <f t="shared" ref="I13:I15" si="2">D13*H13</f>
        <v>4715.0235922500715</v>
      </c>
    </row>
    <row r="14" spans="1:9" ht="15.75" customHeight="1">
      <c r="A14" s="58" t="s">
        <v>235</v>
      </c>
      <c r="B14" s="61"/>
      <c r="C14" s="61"/>
      <c r="D14" s="213">
        <f>B18+B19</f>
        <v>514</v>
      </c>
      <c r="E14" s="61"/>
      <c r="F14" s="200"/>
      <c r="G14" s="61"/>
      <c r="H14" s="209">
        <f>'Общие расходы г. Тюмень'!F4</f>
        <v>0.27439332347868928</v>
      </c>
      <c r="I14" s="211">
        <f t="shared" si="2"/>
        <v>141.03816826804629</v>
      </c>
    </row>
    <row r="15" spans="1:9" ht="15.75" customHeight="1">
      <c r="A15" s="58" t="s">
        <v>156</v>
      </c>
      <c r="B15" s="61"/>
      <c r="C15" s="61"/>
      <c r="D15" s="213">
        <f>B18+B19</f>
        <v>514</v>
      </c>
      <c r="E15" s="61"/>
      <c r="F15" s="200"/>
      <c r="G15" s="61"/>
      <c r="H15" s="201">
        <f>'Общие расходы г. Тюмень'!F30</f>
        <v>0.74801393423739049</v>
      </c>
      <c r="I15" s="211">
        <f t="shared" si="2"/>
        <v>384.47916219801868</v>
      </c>
    </row>
    <row r="16" spans="1:9" ht="15.75" customHeight="1">
      <c r="A16" s="230"/>
      <c r="B16" s="231"/>
      <c r="C16" s="231"/>
      <c r="D16" s="231"/>
      <c r="E16" s="231"/>
      <c r="F16" s="232"/>
      <c r="G16" s="231"/>
      <c r="H16" s="232"/>
      <c r="I16" s="211">
        <f>SUM(I3:I15)</f>
        <v>15174.007755220282</v>
      </c>
    </row>
    <row r="17" spans="1:30" ht="15.75" customHeight="1">
      <c r="A17" s="202"/>
      <c r="B17" s="148"/>
      <c r="C17" s="148"/>
      <c r="D17" s="148"/>
      <c r="E17" s="148"/>
      <c r="F17" s="149"/>
      <c r="G17" s="148"/>
      <c r="H17" s="148"/>
      <c r="I17" s="223"/>
    </row>
    <row r="18" spans="1:30" ht="15.75" customHeight="1">
      <c r="A18" s="58" t="s">
        <v>205</v>
      </c>
      <c r="B18" s="210">
        <f>'Исходные данные'!B20</f>
        <v>514</v>
      </c>
      <c r="C18" s="148"/>
      <c r="D18" s="148"/>
      <c r="E18" s="148"/>
      <c r="F18" s="149"/>
      <c r="G18" s="148"/>
      <c r="H18" s="148"/>
      <c r="I18" s="223"/>
    </row>
    <row r="19" spans="1:30" ht="15.75" customHeight="1">
      <c r="A19" s="58" t="s">
        <v>206</v>
      </c>
      <c r="B19" s="210">
        <f>'Исходные данные'!C20</f>
        <v>0</v>
      </c>
      <c r="C19" s="148"/>
      <c r="D19" s="148"/>
      <c r="E19" s="148"/>
      <c r="F19" s="149"/>
      <c r="G19" s="148"/>
      <c r="H19" s="148"/>
      <c r="I19" s="223"/>
    </row>
    <row r="20" spans="1:30" ht="15.75" customHeight="1">
      <c r="A20" s="58" t="s">
        <v>207</v>
      </c>
      <c r="B20" s="210">
        <f>'Исходные данные'!D20</f>
        <v>0</v>
      </c>
      <c r="C20" s="148"/>
      <c r="D20" s="148"/>
      <c r="E20" s="148"/>
      <c r="F20" s="149"/>
      <c r="G20" s="148"/>
      <c r="H20" s="148"/>
      <c r="I20" s="223"/>
    </row>
    <row r="21" spans="1:30" ht="15.75" customHeight="1">
      <c r="A21" s="233"/>
      <c r="B21" s="62"/>
      <c r="C21" s="62"/>
      <c r="D21" s="62"/>
      <c r="E21" s="62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pans="1:30" ht="15.75" customHeight="1">
      <c r="A22" s="333" t="s">
        <v>208</v>
      </c>
      <c r="B22" s="332"/>
      <c r="C22" s="332"/>
      <c r="D22" s="321"/>
    </row>
    <row r="23" spans="1:30" ht="15.75" customHeight="1">
      <c r="A23" s="215" t="s">
        <v>209</v>
      </c>
      <c r="B23" s="216" t="s">
        <v>210</v>
      </c>
      <c r="C23" s="78" t="s">
        <v>5</v>
      </c>
      <c r="D23" s="216" t="s">
        <v>211</v>
      </c>
    </row>
    <row r="24" spans="1:30" ht="15.75" customHeight="1">
      <c r="A24" s="238"/>
      <c r="B24" s="239"/>
      <c r="C24" s="239"/>
      <c r="D24" s="239"/>
    </row>
    <row r="25" spans="1:30" ht="15.75" customHeight="1">
      <c r="A25" s="58"/>
      <c r="B25" s="239"/>
      <c r="C25" s="239"/>
      <c r="D25" s="239"/>
    </row>
    <row r="26" spans="1:30" ht="15.75" customHeight="1">
      <c r="A26" s="241"/>
      <c r="B26" s="239"/>
      <c r="C26" s="239"/>
      <c r="D26" s="239"/>
    </row>
    <row r="27" spans="1:30" ht="15.75" customHeight="1">
      <c r="A27" s="58"/>
      <c r="B27" s="239"/>
      <c r="C27" s="239"/>
      <c r="D27" s="147"/>
    </row>
    <row r="28" spans="1:30" ht="15.75" customHeight="1">
      <c r="A28" s="58"/>
      <c r="B28" s="239"/>
      <c r="C28" s="239"/>
      <c r="D28" s="239"/>
    </row>
    <row r="29" spans="1:30" ht="15.75" customHeight="1">
      <c r="A29" s="202"/>
    </row>
    <row r="30" spans="1:30" ht="15.75" customHeight="1">
      <c r="A30" s="202"/>
    </row>
    <row r="31" spans="1:30" ht="15.75" customHeight="1">
      <c r="A31" s="202"/>
    </row>
    <row r="32" spans="1:30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  <row r="984" spans="1:1" ht="13">
      <c r="A984" s="202"/>
    </row>
    <row r="985" spans="1:1" ht="13">
      <c r="A985" s="202"/>
    </row>
    <row r="986" spans="1:1" ht="13">
      <c r="A986" s="202"/>
    </row>
    <row r="987" spans="1:1" ht="13">
      <c r="A987" s="202"/>
    </row>
    <row r="988" spans="1:1" ht="13">
      <c r="A988" s="202"/>
    </row>
    <row r="989" spans="1:1" ht="13">
      <c r="A989" s="202"/>
    </row>
    <row r="990" spans="1:1" ht="13">
      <c r="A990" s="202"/>
    </row>
    <row r="991" spans="1:1" ht="13">
      <c r="A991" s="202"/>
    </row>
  </sheetData>
  <mergeCells count="1">
    <mergeCell ref="A22:D22"/>
  </mergeCells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D991"/>
  <sheetViews>
    <sheetView workbookViewId="0"/>
  </sheetViews>
  <sheetFormatPr baseColWidth="10" defaultColWidth="12.6640625" defaultRowHeight="15.75" customHeight="1"/>
  <cols>
    <col min="1" max="1" width="28.1640625" customWidth="1"/>
    <col min="2" max="2" width="12.1640625" customWidth="1"/>
    <col min="3" max="3" width="10.6640625" customWidth="1"/>
    <col min="4" max="4" width="14.33203125" customWidth="1"/>
    <col min="6" max="6" width="9.6640625" customWidth="1"/>
    <col min="7" max="7" width="14.83203125" customWidth="1"/>
    <col min="8" max="8" width="8.83203125" customWidth="1"/>
    <col min="9" max="9" width="16.33203125" customWidth="1"/>
  </cols>
  <sheetData>
    <row r="1" spans="1:9" ht="15.75" customHeight="1">
      <c r="A1" s="202"/>
      <c r="B1" s="62"/>
      <c r="C1" s="62"/>
      <c r="D1" s="62"/>
      <c r="E1" s="148"/>
      <c r="F1" s="149"/>
      <c r="G1" s="148"/>
      <c r="H1" s="148"/>
      <c r="I1" s="223"/>
    </row>
    <row r="2" spans="1:9" ht="15.75" customHeight="1">
      <c r="A2" s="203" t="s">
        <v>41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6</v>
      </c>
      <c r="H2" s="204" t="s">
        <v>9</v>
      </c>
      <c r="I2" s="205" t="s">
        <v>198</v>
      </c>
    </row>
    <row r="3" spans="1:9" ht="15.75" customHeight="1">
      <c r="A3" s="73" t="s">
        <v>252</v>
      </c>
      <c r="B3" s="83">
        <f>'Исходные данные'!D11</f>
        <v>214</v>
      </c>
      <c r="C3" s="83">
        <f>'Исходные данные'!F30</f>
        <v>1</v>
      </c>
      <c r="D3" s="108"/>
      <c r="E3" s="108">
        <v>480420</v>
      </c>
      <c r="F3" s="207">
        <v>12</v>
      </c>
      <c r="G3" s="108">
        <f t="shared" ref="G3:G10" si="0">E3/F3</f>
        <v>40035</v>
      </c>
      <c r="H3" s="61"/>
      <c r="I3" s="211">
        <f t="shared" ref="I3:I4" si="1">G3/B3*C3</f>
        <v>187.07943925233644</v>
      </c>
    </row>
    <row r="4" spans="1:9" ht="15.75" customHeight="1">
      <c r="A4" s="73" t="s">
        <v>248</v>
      </c>
      <c r="B4" s="108">
        <f>'Исходные данные'!E13</f>
        <v>30</v>
      </c>
      <c r="C4" s="108">
        <f>'Исходные данные'!H30</f>
        <v>1</v>
      </c>
      <c r="D4" s="108"/>
      <c r="E4" s="147">
        <v>305868</v>
      </c>
      <c r="F4" s="207">
        <v>12</v>
      </c>
      <c r="G4" s="108">
        <f t="shared" si="0"/>
        <v>25489</v>
      </c>
      <c r="H4" s="61"/>
      <c r="I4" s="211">
        <f t="shared" si="1"/>
        <v>849.63333333333333</v>
      </c>
    </row>
    <row r="5" spans="1:9" ht="15.75" customHeight="1">
      <c r="A5" s="73" t="s">
        <v>245</v>
      </c>
      <c r="B5" s="108"/>
      <c r="C5" s="108"/>
      <c r="D5" s="108"/>
      <c r="E5" s="206"/>
      <c r="F5" s="207">
        <v>12</v>
      </c>
      <c r="G5" s="108">
        <f t="shared" si="0"/>
        <v>0</v>
      </c>
      <c r="H5" s="61"/>
      <c r="I5" s="211">
        <f t="shared" ref="I5:I10" si="2">G5</f>
        <v>0</v>
      </c>
    </row>
    <row r="6" spans="1:9" ht="15.75" customHeight="1">
      <c r="A6" s="73" t="s">
        <v>253</v>
      </c>
      <c r="B6" s="108"/>
      <c r="C6" s="108"/>
      <c r="D6" s="108"/>
      <c r="E6" s="206">
        <v>7511.62</v>
      </c>
      <c r="F6" s="207">
        <v>12</v>
      </c>
      <c r="G6" s="108">
        <f t="shared" si="0"/>
        <v>625.96833333333336</v>
      </c>
      <c r="H6" s="61"/>
      <c r="I6" s="211">
        <f t="shared" si="2"/>
        <v>625.96833333333336</v>
      </c>
    </row>
    <row r="7" spans="1:9" ht="15.75" customHeight="1">
      <c r="A7" s="73" t="s">
        <v>148</v>
      </c>
      <c r="B7" s="108"/>
      <c r="C7" s="108"/>
      <c r="D7" s="108"/>
      <c r="E7" s="147">
        <v>535</v>
      </c>
      <c r="F7" s="207">
        <v>12</v>
      </c>
      <c r="G7" s="108">
        <f t="shared" si="0"/>
        <v>44.583333333333336</v>
      </c>
      <c r="H7" s="61"/>
      <c r="I7" s="211">
        <f t="shared" si="2"/>
        <v>44.583333333333336</v>
      </c>
    </row>
    <row r="8" spans="1:9" ht="15.75" customHeight="1">
      <c r="A8" s="73" t="s">
        <v>150</v>
      </c>
      <c r="B8" s="108"/>
      <c r="C8" s="108"/>
      <c r="D8" s="108"/>
      <c r="E8" s="147">
        <v>0</v>
      </c>
      <c r="F8" s="207">
        <v>12</v>
      </c>
      <c r="G8" s="108">
        <f t="shared" si="0"/>
        <v>0</v>
      </c>
      <c r="H8" s="61"/>
      <c r="I8" s="211">
        <f t="shared" si="2"/>
        <v>0</v>
      </c>
    </row>
    <row r="9" spans="1:9" ht="15.75" customHeight="1">
      <c r="A9" s="73" t="s">
        <v>149</v>
      </c>
      <c r="B9" s="108"/>
      <c r="C9" s="108"/>
      <c r="D9" s="108"/>
      <c r="E9" s="147">
        <v>0</v>
      </c>
      <c r="F9" s="207">
        <v>12</v>
      </c>
      <c r="G9" s="108">
        <f t="shared" si="0"/>
        <v>0</v>
      </c>
      <c r="H9" s="61"/>
      <c r="I9" s="211">
        <f t="shared" si="2"/>
        <v>0</v>
      </c>
    </row>
    <row r="10" spans="1:9" ht="15.75" customHeight="1">
      <c r="A10" s="234" t="s">
        <v>203</v>
      </c>
      <c r="B10" s="108"/>
      <c r="C10" s="108"/>
      <c r="D10" s="108"/>
      <c r="E10" s="147"/>
      <c r="F10" s="207">
        <v>12</v>
      </c>
      <c r="G10" s="108">
        <f t="shared" si="0"/>
        <v>0</v>
      </c>
      <c r="H10" s="61"/>
      <c r="I10" s="211">
        <f t="shared" si="2"/>
        <v>0</v>
      </c>
    </row>
    <row r="11" spans="1:9" ht="15.75" customHeight="1">
      <c r="A11" s="234" t="s">
        <v>246</v>
      </c>
      <c r="B11" s="108"/>
      <c r="C11" s="108"/>
      <c r="D11" s="108"/>
      <c r="E11" s="147"/>
      <c r="F11" s="207"/>
      <c r="G11" s="108"/>
      <c r="H11" s="61"/>
      <c r="I11" s="211">
        <f>D24</f>
        <v>0</v>
      </c>
    </row>
    <row r="12" spans="1:9" ht="15.75" customHeight="1">
      <c r="A12" s="234" t="s">
        <v>204</v>
      </c>
      <c r="B12" s="108"/>
      <c r="C12" s="108"/>
      <c r="D12" s="108"/>
      <c r="E12" s="147"/>
      <c r="F12" s="207">
        <v>12</v>
      </c>
      <c r="G12" s="108">
        <f>E12/F12</f>
        <v>0</v>
      </c>
      <c r="H12" s="61"/>
      <c r="I12" s="211">
        <f>G12</f>
        <v>0</v>
      </c>
    </row>
    <row r="13" spans="1:9" ht="15.75" customHeight="1">
      <c r="A13" s="58" t="s">
        <v>152</v>
      </c>
      <c r="B13" s="61"/>
      <c r="C13" s="61"/>
      <c r="D13" s="213">
        <f>B18+B19</f>
        <v>180</v>
      </c>
      <c r="E13" s="61"/>
      <c r="F13" s="200"/>
      <c r="G13" s="61"/>
      <c r="H13" s="209">
        <f>'Общие расходы ГЭ'!G16</f>
        <v>9.1731976502919679</v>
      </c>
      <c r="I13" s="211">
        <f t="shared" ref="I13:I15" si="3">D13*H13</f>
        <v>1651.1755770525542</v>
      </c>
    </row>
    <row r="14" spans="1:9" ht="15.75" customHeight="1">
      <c r="A14" s="58" t="s">
        <v>235</v>
      </c>
      <c r="B14" s="61"/>
      <c r="C14" s="61"/>
      <c r="D14" s="213">
        <f>B18+B19</f>
        <v>180</v>
      </c>
      <c r="E14" s="61"/>
      <c r="F14" s="200"/>
      <c r="G14" s="61"/>
      <c r="H14" s="209">
        <f>'Общие расходы г. Тюмень'!F4</f>
        <v>0.27439332347868928</v>
      </c>
      <c r="I14" s="211">
        <f t="shared" si="3"/>
        <v>49.390798226164073</v>
      </c>
    </row>
    <row r="15" spans="1:9" ht="15.75" customHeight="1">
      <c r="A15" s="58" t="s">
        <v>156</v>
      </c>
      <c r="B15" s="61"/>
      <c r="C15" s="61"/>
      <c r="D15" s="213">
        <f>B18+B19</f>
        <v>180</v>
      </c>
      <c r="E15" s="61"/>
      <c r="F15" s="200"/>
      <c r="G15" s="61"/>
      <c r="H15" s="201">
        <f>'Общие расходы г. Тюмень'!F30</f>
        <v>0.74801393423739049</v>
      </c>
      <c r="I15" s="211">
        <f t="shared" si="3"/>
        <v>134.64250816273028</v>
      </c>
    </row>
    <row r="16" spans="1:9" ht="15.75" customHeight="1">
      <c r="A16" s="230"/>
      <c r="B16" s="231"/>
      <c r="C16" s="231"/>
      <c r="D16" s="231"/>
      <c r="E16" s="231"/>
      <c r="F16" s="232"/>
      <c r="G16" s="231"/>
      <c r="H16" s="232"/>
      <c r="I16" s="211">
        <f>SUM(I3:I15)</f>
        <v>3542.4733226937847</v>
      </c>
    </row>
    <row r="17" spans="1:30" ht="15.75" customHeight="1">
      <c r="A17" s="202"/>
      <c r="B17" s="148"/>
      <c r="C17" s="148"/>
      <c r="D17" s="148"/>
      <c r="E17" s="148"/>
      <c r="F17" s="149"/>
      <c r="G17" s="148"/>
      <c r="H17" s="148"/>
      <c r="I17" s="223"/>
    </row>
    <row r="18" spans="1:30" ht="15.75" customHeight="1">
      <c r="A18" s="58" t="s">
        <v>205</v>
      </c>
      <c r="B18" s="210">
        <f>'Исходные данные'!B30</f>
        <v>90</v>
      </c>
      <c r="C18" s="148"/>
      <c r="D18" s="148"/>
      <c r="E18" s="148"/>
      <c r="F18" s="149"/>
      <c r="G18" s="148"/>
      <c r="H18" s="148"/>
      <c r="I18" s="223"/>
    </row>
    <row r="19" spans="1:30" ht="15.75" customHeight="1">
      <c r="A19" s="58" t="s">
        <v>206</v>
      </c>
      <c r="B19" s="210">
        <f>'Исходные данные'!C30</f>
        <v>90</v>
      </c>
      <c r="C19" s="148"/>
      <c r="D19" s="148"/>
      <c r="E19" s="148"/>
      <c r="F19" s="149"/>
      <c r="G19" s="148"/>
      <c r="H19" s="148"/>
      <c r="I19" s="223"/>
    </row>
    <row r="20" spans="1:30" ht="15.75" customHeight="1">
      <c r="A20" s="58" t="s">
        <v>207</v>
      </c>
      <c r="B20" s="210">
        <f>'Исходные данные'!D30</f>
        <v>0</v>
      </c>
      <c r="C20" s="148"/>
      <c r="D20" s="148"/>
      <c r="E20" s="148"/>
      <c r="F20" s="149"/>
      <c r="G20" s="148"/>
      <c r="H20" s="148"/>
      <c r="I20" s="223"/>
    </row>
    <row r="21" spans="1:30" ht="15.75" customHeight="1">
      <c r="A21" s="233"/>
      <c r="B21" s="62"/>
      <c r="C21" s="62"/>
      <c r="D21" s="62"/>
      <c r="E21" s="62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pans="1:30" ht="15.75" customHeight="1">
      <c r="A22" s="333" t="s">
        <v>208</v>
      </c>
      <c r="B22" s="332"/>
      <c r="C22" s="332"/>
      <c r="D22" s="321"/>
    </row>
    <row r="23" spans="1:30" ht="15.75" customHeight="1">
      <c r="A23" s="215" t="s">
        <v>209</v>
      </c>
      <c r="B23" s="216" t="s">
        <v>210</v>
      </c>
      <c r="C23" s="78" t="s">
        <v>5</v>
      </c>
      <c r="D23" s="216" t="s">
        <v>211</v>
      </c>
    </row>
    <row r="24" spans="1:30" ht="15.75" customHeight="1">
      <c r="A24" s="238" t="s">
        <v>254</v>
      </c>
      <c r="B24" s="239"/>
      <c r="C24" s="239">
        <v>12</v>
      </c>
      <c r="D24" s="239">
        <f>B24/C24</f>
        <v>0</v>
      </c>
    </row>
    <row r="25" spans="1:30" ht="15.75" customHeight="1">
      <c r="A25" s="58"/>
      <c r="B25" s="239"/>
      <c r="C25" s="239"/>
      <c r="D25" s="239"/>
    </row>
    <row r="26" spans="1:30" ht="15.75" customHeight="1">
      <c r="A26" s="241"/>
      <c r="B26" s="239"/>
      <c r="C26" s="239"/>
      <c r="D26" s="239"/>
    </row>
    <row r="27" spans="1:30" ht="15.75" customHeight="1">
      <c r="A27" s="58"/>
      <c r="B27" s="239"/>
      <c r="C27" s="239"/>
      <c r="D27" s="147"/>
    </row>
    <row r="28" spans="1:30" ht="15.75" customHeight="1">
      <c r="A28" s="58"/>
      <c r="B28" s="239"/>
      <c r="C28" s="239"/>
      <c r="D28" s="239"/>
    </row>
    <row r="29" spans="1:30" ht="15.75" customHeight="1">
      <c r="A29" s="202"/>
    </row>
    <row r="30" spans="1:30" ht="15.75" customHeight="1">
      <c r="A30" s="202"/>
    </row>
    <row r="31" spans="1:30" ht="15.75" customHeight="1">
      <c r="A31" s="202"/>
    </row>
    <row r="32" spans="1:30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  <row r="984" spans="1:1" ht="13">
      <c r="A984" s="202"/>
    </row>
    <row r="985" spans="1:1" ht="13">
      <c r="A985" s="202"/>
    </row>
    <row r="986" spans="1:1" ht="13">
      <c r="A986" s="202"/>
    </row>
    <row r="987" spans="1:1" ht="13">
      <c r="A987" s="202"/>
    </row>
    <row r="988" spans="1:1" ht="13">
      <c r="A988" s="202"/>
    </row>
    <row r="989" spans="1:1" ht="13">
      <c r="A989" s="202"/>
    </row>
    <row r="990" spans="1:1" ht="13">
      <c r="A990" s="202"/>
    </row>
    <row r="991" spans="1:1" ht="13">
      <c r="A991" s="202"/>
    </row>
  </sheetData>
  <mergeCells count="1">
    <mergeCell ref="A22:D22"/>
  </mergeCells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I981"/>
  <sheetViews>
    <sheetView workbookViewId="0"/>
  </sheetViews>
  <sheetFormatPr baseColWidth="10" defaultColWidth="12.6640625" defaultRowHeight="15.75" customHeight="1"/>
  <cols>
    <col min="1" max="1" width="29.1640625" customWidth="1"/>
    <col min="4" max="4" width="11.6640625" customWidth="1"/>
    <col min="6" max="6" width="9.6640625" customWidth="1"/>
    <col min="7" max="7" width="7.33203125" customWidth="1"/>
    <col min="8" max="8" width="12.1640625" customWidth="1"/>
    <col min="9" max="9" width="15.5" customWidth="1"/>
  </cols>
  <sheetData>
    <row r="1" spans="1:9" ht="15.75" customHeight="1">
      <c r="A1" s="202"/>
      <c r="B1" s="148"/>
      <c r="C1" s="148"/>
      <c r="D1" s="148"/>
      <c r="E1" s="148"/>
      <c r="F1" s="149"/>
      <c r="G1" s="149"/>
      <c r="H1" s="149"/>
      <c r="I1" s="148"/>
    </row>
    <row r="2" spans="1:9" ht="15.75" customHeight="1">
      <c r="A2" s="203"/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9</v>
      </c>
      <c r="H2" s="204" t="s">
        <v>6</v>
      </c>
      <c r="I2" s="205" t="s">
        <v>198</v>
      </c>
    </row>
    <row r="3" spans="1:9" ht="15.75" customHeight="1">
      <c r="A3" s="73" t="s">
        <v>232</v>
      </c>
      <c r="B3" s="83">
        <f>'Исходные данные'!D10</f>
        <v>276</v>
      </c>
      <c r="C3" s="108">
        <f>'Исходные данные'!E28</f>
        <v>36</v>
      </c>
      <c r="D3" s="108"/>
      <c r="E3" s="60">
        <v>402810</v>
      </c>
      <c r="F3" s="207">
        <v>12</v>
      </c>
      <c r="G3" s="200"/>
      <c r="H3" s="201">
        <f t="shared" ref="H3:H11" si="0">E3/F3</f>
        <v>33567.5</v>
      </c>
      <c r="I3" s="208">
        <f t="shared" ref="I3:I4" si="1">H3/B3*C3</f>
        <v>4378.369565217391</v>
      </c>
    </row>
    <row r="4" spans="1:9" ht="15.75" customHeight="1">
      <c r="A4" s="73" t="s">
        <v>233</v>
      </c>
      <c r="B4" s="83">
        <f>'Исходные данные'!E13</f>
        <v>30</v>
      </c>
      <c r="C4" s="108">
        <f>'Исходные данные'!H28</f>
        <v>3</v>
      </c>
      <c r="D4" s="108"/>
      <c r="E4" s="147">
        <v>305868</v>
      </c>
      <c r="F4" s="207">
        <v>12</v>
      </c>
      <c r="G4" s="200"/>
      <c r="H4" s="201">
        <f t="shared" si="0"/>
        <v>25489</v>
      </c>
      <c r="I4" s="208">
        <f t="shared" si="1"/>
        <v>2548.9</v>
      </c>
    </row>
    <row r="5" spans="1:9" ht="15.75" customHeight="1">
      <c r="A5" s="73" t="s">
        <v>147</v>
      </c>
      <c r="B5" s="83"/>
      <c r="C5" s="108"/>
      <c r="D5" s="108"/>
      <c r="E5" s="206"/>
      <c r="F5" s="207">
        <v>12</v>
      </c>
      <c r="G5" s="200"/>
      <c r="H5" s="201">
        <f t="shared" si="0"/>
        <v>0</v>
      </c>
      <c r="I5" s="208">
        <f t="shared" ref="I5:I12" si="2">H5</f>
        <v>0</v>
      </c>
    </row>
    <row r="6" spans="1:9" ht="15.75" customHeight="1">
      <c r="A6" s="73" t="s">
        <v>148</v>
      </c>
      <c r="B6" s="63"/>
      <c r="C6" s="63"/>
      <c r="D6" s="63"/>
      <c r="E6" s="147">
        <f>15256+16850</f>
        <v>32106</v>
      </c>
      <c r="F6" s="207">
        <v>12</v>
      </c>
      <c r="G6" s="200"/>
      <c r="H6" s="201">
        <f t="shared" si="0"/>
        <v>2675.5</v>
      </c>
      <c r="I6" s="208">
        <f t="shared" si="2"/>
        <v>2675.5</v>
      </c>
    </row>
    <row r="7" spans="1:9" ht="15.75" customHeight="1">
      <c r="A7" s="73" t="s">
        <v>150</v>
      </c>
      <c r="B7" s="63"/>
      <c r="C7" s="63"/>
      <c r="D7" s="63"/>
      <c r="E7" s="147">
        <v>0</v>
      </c>
      <c r="F7" s="207">
        <v>12</v>
      </c>
      <c r="G7" s="200"/>
      <c r="H7" s="201">
        <f t="shared" si="0"/>
        <v>0</v>
      </c>
      <c r="I7" s="208">
        <f t="shared" si="2"/>
        <v>0</v>
      </c>
    </row>
    <row r="8" spans="1:9" ht="15.75" customHeight="1">
      <c r="A8" s="73" t="s">
        <v>149</v>
      </c>
      <c r="B8" s="63"/>
      <c r="C8" s="63"/>
      <c r="D8" s="63"/>
      <c r="E8" s="147">
        <v>0</v>
      </c>
      <c r="F8" s="207">
        <v>12</v>
      </c>
      <c r="G8" s="200"/>
      <c r="H8" s="201">
        <f t="shared" si="0"/>
        <v>0</v>
      </c>
      <c r="I8" s="208">
        <f t="shared" si="2"/>
        <v>0</v>
      </c>
    </row>
    <row r="9" spans="1:9" ht="15.75" customHeight="1">
      <c r="A9" s="73" t="s">
        <v>255</v>
      </c>
      <c r="B9" s="63"/>
      <c r="C9" s="63"/>
      <c r="D9" s="63"/>
      <c r="E9" s="147">
        <v>2000</v>
      </c>
      <c r="F9" s="207">
        <v>12</v>
      </c>
      <c r="G9" s="200"/>
      <c r="H9" s="201">
        <f t="shared" si="0"/>
        <v>166.66666666666666</v>
      </c>
      <c r="I9" s="208">
        <f t="shared" si="2"/>
        <v>166.66666666666666</v>
      </c>
    </row>
    <row r="10" spans="1:9" ht="15.75" customHeight="1">
      <c r="A10" s="73" t="s">
        <v>204</v>
      </c>
      <c r="B10" s="63"/>
      <c r="C10" s="63"/>
      <c r="D10" s="63"/>
      <c r="E10" s="147">
        <v>844</v>
      </c>
      <c r="F10" s="207">
        <v>12</v>
      </c>
      <c r="G10" s="200"/>
      <c r="H10" s="201">
        <f t="shared" si="0"/>
        <v>70.333333333333329</v>
      </c>
      <c r="I10" s="208">
        <f t="shared" si="2"/>
        <v>70.333333333333329</v>
      </c>
    </row>
    <row r="11" spans="1:9" ht="15.75" customHeight="1">
      <c r="A11" s="73" t="s">
        <v>151</v>
      </c>
      <c r="B11" s="63"/>
      <c r="C11" s="63"/>
      <c r="D11" s="63"/>
      <c r="E11" s="147">
        <v>27365</v>
      </c>
      <c r="F11" s="207">
        <v>12</v>
      </c>
      <c r="G11" s="200"/>
      <c r="H11" s="201">
        <f t="shared" si="0"/>
        <v>2280.4166666666665</v>
      </c>
      <c r="I11" s="208">
        <f t="shared" si="2"/>
        <v>2280.4166666666665</v>
      </c>
    </row>
    <row r="12" spans="1:9" ht="15.75" customHeight="1">
      <c r="A12" s="58" t="s">
        <v>155</v>
      </c>
      <c r="B12" s="61"/>
      <c r="C12" s="61"/>
      <c r="D12" s="61"/>
      <c r="E12" s="61"/>
      <c r="F12" s="200"/>
      <c r="G12" s="209"/>
      <c r="H12" s="201">
        <f>D28</f>
        <v>0</v>
      </c>
      <c r="I12" s="208">
        <f t="shared" si="2"/>
        <v>0</v>
      </c>
    </row>
    <row r="13" spans="1:9" ht="15.75" customHeight="1">
      <c r="A13" s="58" t="s">
        <v>152</v>
      </c>
      <c r="B13" s="61"/>
      <c r="C13" s="61"/>
      <c r="D13" s="210">
        <f>B18+B19</f>
        <v>1476</v>
      </c>
      <c r="E13" s="61"/>
      <c r="F13" s="200"/>
      <c r="G13" s="209">
        <f>'Общие расходы ГЭ'!G16</f>
        <v>9.1731976502919679</v>
      </c>
      <c r="H13" s="200"/>
      <c r="I13" s="208">
        <f t="shared" ref="I13:I15" si="3">D13*G13</f>
        <v>13539.639731830945</v>
      </c>
    </row>
    <row r="14" spans="1:9" ht="15.75" customHeight="1">
      <c r="A14" s="58" t="s">
        <v>153</v>
      </c>
      <c r="B14" s="61"/>
      <c r="C14" s="61"/>
      <c r="D14" s="210">
        <f>B18+B19</f>
        <v>1476</v>
      </c>
      <c r="E14" s="61"/>
      <c r="F14" s="200"/>
      <c r="G14" s="209">
        <f>'Общие расходы г. Тюмень'!F4</f>
        <v>0.27439332347868928</v>
      </c>
      <c r="H14" s="200"/>
      <c r="I14" s="208">
        <f t="shared" si="3"/>
        <v>405.00454545454539</v>
      </c>
    </row>
    <row r="15" spans="1:9" ht="15.75" customHeight="1">
      <c r="A15" s="58" t="s">
        <v>156</v>
      </c>
      <c r="B15" s="61"/>
      <c r="C15" s="61"/>
      <c r="D15" s="210">
        <f>B18+B19</f>
        <v>1476</v>
      </c>
      <c r="E15" s="61"/>
      <c r="F15" s="200"/>
      <c r="G15" s="201">
        <f>'Общие расходы г. Тюмень'!F30</f>
        <v>0.74801393423739049</v>
      </c>
      <c r="H15" s="200"/>
      <c r="I15" s="208">
        <f t="shared" si="3"/>
        <v>1104.0685669343884</v>
      </c>
    </row>
    <row r="16" spans="1:9" ht="15.75" customHeight="1">
      <c r="A16" s="331" t="s">
        <v>62</v>
      </c>
      <c r="B16" s="332"/>
      <c r="C16" s="332"/>
      <c r="D16" s="332"/>
      <c r="E16" s="332"/>
      <c r="F16" s="332"/>
      <c r="G16" s="321"/>
      <c r="H16" s="212"/>
      <c r="I16" s="211">
        <f>SUM(I3:I15)</f>
        <v>27168.899076103939</v>
      </c>
    </row>
    <row r="17" spans="1:9" ht="15.75" customHeight="1">
      <c r="A17" s="202"/>
      <c r="B17" s="148"/>
      <c r="C17" s="148"/>
      <c r="D17" s="148"/>
      <c r="E17" s="148"/>
      <c r="F17" s="149"/>
      <c r="G17" s="149"/>
      <c r="H17" s="149"/>
      <c r="I17" s="148"/>
    </row>
    <row r="18" spans="1:9" ht="15.75" customHeight="1">
      <c r="A18" s="58" t="s">
        <v>205</v>
      </c>
      <c r="B18" s="210">
        <f>'Исходные данные'!B28</f>
        <v>997</v>
      </c>
      <c r="C18" s="148"/>
      <c r="D18" s="148"/>
      <c r="E18" s="148"/>
      <c r="F18" s="149"/>
      <c r="G18" s="149"/>
      <c r="H18" s="149"/>
      <c r="I18" s="148"/>
    </row>
    <row r="19" spans="1:9" ht="15.75" customHeight="1">
      <c r="A19" s="58" t="s">
        <v>206</v>
      </c>
      <c r="B19" s="210">
        <f>'Исходные данные'!C28</f>
        <v>479</v>
      </c>
      <c r="C19" s="148"/>
      <c r="D19" s="148"/>
      <c r="E19" s="148"/>
      <c r="F19" s="149"/>
      <c r="G19" s="149"/>
      <c r="H19" s="149"/>
      <c r="I19" s="148"/>
    </row>
    <row r="20" spans="1:9" ht="15.75" customHeight="1">
      <c r="A20" s="58" t="s">
        <v>207</v>
      </c>
      <c r="B20" s="210">
        <f>'Исходные данные'!D28</f>
        <v>0</v>
      </c>
      <c r="C20" s="148"/>
      <c r="D20" s="148"/>
      <c r="E20" s="148"/>
      <c r="F20" s="149"/>
      <c r="G20" s="149"/>
      <c r="H20" s="149"/>
      <c r="I20" s="148"/>
    </row>
    <row r="21" spans="1:9" ht="15.75" customHeight="1">
      <c r="A21" s="202"/>
      <c r="B21" s="148"/>
      <c r="C21" s="148"/>
      <c r="D21" s="148"/>
      <c r="E21" s="148"/>
      <c r="F21" s="149"/>
      <c r="G21" s="149"/>
      <c r="H21" s="149"/>
      <c r="I21" s="62"/>
    </row>
    <row r="22" spans="1:9" ht="15.75" customHeight="1">
      <c r="A22" s="333" t="s">
        <v>208</v>
      </c>
      <c r="B22" s="332"/>
      <c r="C22" s="332"/>
      <c r="D22" s="321"/>
      <c r="E22" s="214"/>
      <c r="F22" s="59"/>
      <c r="G22" s="59"/>
      <c r="H22" s="59"/>
      <c r="I22" s="59"/>
    </row>
    <row r="23" spans="1:9" ht="15.75" customHeight="1">
      <c r="A23" s="215" t="s">
        <v>209</v>
      </c>
      <c r="B23" s="216" t="s">
        <v>210</v>
      </c>
      <c r="C23" s="78" t="s">
        <v>5</v>
      </c>
      <c r="D23" s="216" t="s">
        <v>211</v>
      </c>
      <c r="E23" s="217"/>
    </row>
    <row r="24" spans="1:9" ht="15.75" customHeight="1">
      <c r="A24" s="219" t="s">
        <v>212</v>
      </c>
      <c r="B24" s="218"/>
      <c r="C24" s="108">
        <v>12</v>
      </c>
      <c r="D24" s="218">
        <f t="shared" ref="D24:D25" si="4">B24/C24</f>
        <v>0</v>
      </c>
      <c r="E24" s="62"/>
    </row>
    <row r="25" spans="1:9" ht="15.75" customHeight="1">
      <c r="A25" s="219" t="s">
        <v>222</v>
      </c>
      <c r="B25" s="218"/>
      <c r="C25" s="108">
        <v>12</v>
      </c>
      <c r="D25" s="218">
        <f t="shared" si="4"/>
        <v>0</v>
      </c>
      <c r="E25" s="62"/>
    </row>
    <row r="26" spans="1:9" ht="15.75" customHeight="1">
      <c r="A26" s="219"/>
      <c r="B26" s="218"/>
      <c r="C26" s="108"/>
      <c r="D26" s="218"/>
      <c r="E26" s="62"/>
    </row>
    <row r="27" spans="1:9" ht="15.75" customHeight="1">
      <c r="A27" s="219"/>
      <c r="B27" s="218"/>
      <c r="C27" s="108"/>
      <c r="D27" s="218"/>
      <c r="E27" s="62"/>
    </row>
    <row r="28" spans="1:9" ht="15.75" customHeight="1">
      <c r="A28" s="220"/>
      <c r="B28" s="221">
        <f>SUM(B24:B27)</f>
        <v>0</v>
      </c>
      <c r="C28" s="222">
        <v>12</v>
      </c>
      <c r="D28" s="221">
        <f>SUM(D24:D27)</f>
        <v>0</v>
      </c>
      <c r="E28" s="139"/>
      <c r="F28" s="140"/>
      <c r="G28" s="139"/>
    </row>
    <row r="29" spans="1:9" ht="15.75" customHeight="1">
      <c r="A29" s="202"/>
    </row>
    <row r="30" spans="1:9" ht="15.75" customHeight="1">
      <c r="A30" s="202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</sheetData>
  <mergeCells count="2">
    <mergeCell ref="A16:G16"/>
    <mergeCell ref="A22:D22"/>
  </mergeCells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I1004"/>
  <sheetViews>
    <sheetView workbookViewId="0"/>
  </sheetViews>
  <sheetFormatPr baseColWidth="10" defaultColWidth="12.6640625" defaultRowHeight="15.75" customHeight="1"/>
  <cols>
    <col min="1" max="1" width="27.1640625" customWidth="1"/>
    <col min="2" max="2" width="12.6640625" customWidth="1"/>
    <col min="6" max="6" width="9.6640625" customWidth="1"/>
    <col min="7" max="7" width="13" customWidth="1"/>
    <col min="8" max="8" width="7.5" customWidth="1"/>
    <col min="9" max="9" width="14.6640625" customWidth="1"/>
  </cols>
  <sheetData>
    <row r="1" spans="1:9" ht="15.75" customHeight="1">
      <c r="A1" s="58"/>
      <c r="B1" s="61"/>
      <c r="C1" s="61"/>
      <c r="D1" s="61"/>
      <c r="E1" s="61"/>
      <c r="F1" s="200"/>
      <c r="G1" s="61"/>
      <c r="H1" s="61"/>
      <c r="I1" s="200"/>
    </row>
    <row r="2" spans="1:9" ht="15.75" customHeight="1">
      <c r="A2" s="203" t="s">
        <v>48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6</v>
      </c>
      <c r="H2" s="204" t="s">
        <v>9</v>
      </c>
      <c r="I2" s="205" t="s">
        <v>198</v>
      </c>
    </row>
    <row r="3" spans="1:9" ht="15.75" customHeight="1">
      <c r="A3" s="73" t="s">
        <v>232</v>
      </c>
      <c r="B3" s="108">
        <f>'Исходные данные'!D10</f>
        <v>276</v>
      </c>
      <c r="C3" s="108">
        <f>'Исходные данные'!E23</f>
        <v>2</v>
      </c>
      <c r="D3" s="108"/>
      <c r="E3" s="60">
        <v>402810</v>
      </c>
      <c r="F3" s="207">
        <v>12</v>
      </c>
      <c r="G3" s="108">
        <f t="shared" ref="G3:G9" si="0">E3/F3</f>
        <v>33567.5</v>
      </c>
      <c r="H3" s="61"/>
      <c r="I3" s="246">
        <f t="shared" ref="I3:I5" si="1">G3/B3*C3</f>
        <v>243.24275362318841</v>
      </c>
    </row>
    <row r="4" spans="1:9" ht="15.75" customHeight="1">
      <c r="A4" s="73" t="s">
        <v>216</v>
      </c>
      <c r="B4" s="83">
        <f>'Исходные данные'!D11</f>
        <v>214</v>
      </c>
      <c r="C4" s="108">
        <f>'Исходные данные'!F23</f>
        <v>5</v>
      </c>
      <c r="D4" s="108"/>
      <c r="E4" s="108">
        <v>480420</v>
      </c>
      <c r="F4" s="207">
        <v>12</v>
      </c>
      <c r="G4" s="108">
        <f t="shared" si="0"/>
        <v>40035</v>
      </c>
      <c r="H4" s="61"/>
      <c r="I4" s="246">
        <f t="shared" si="1"/>
        <v>935.39719626168221</v>
      </c>
    </row>
    <row r="5" spans="1:9" ht="15.75" customHeight="1">
      <c r="A5" s="73" t="s">
        <v>233</v>
      </c>
      <c r="B5" s="83">
        <f>'Исходные данные'!E13</f>
        <v>30</v>
      </c>
      <c r="C5" s="108">
        <f>'Исходные данные'!H23</f>
        <v>1</v>
      </c>
      <c r="D5" s="108"/>
      <c r="E5" s="147">
        <v>305868</v>
      </c>
      <c r="F5" s="207">
        <v>12</v>
      </c>
      <c r="G5" s="108">
        <f t="shared" si="0"/>
        <v>25489</v>
      </c>
      <c r="H5" s="61"/>
      <c r="I5" s="246">
        <f t="shared" si="1"/>
        <v>849.63333333333333</v>
      </c>
    </row>
    <row r="6" spans="1:9" ht="15.75" customHeight="1">
      <c r="A6" s="73" t="s">
        <v>148</v>
      </c>
      <c r="B6" s="108"/>
      <c r="C6" s="108"/>
      <c r="D6" s="108"/>
      <c r="E6" s="206">
        <v>13640</v>
      </c>
      <c r="F6" s="207">
        <v>12</v>
      </c>
      <c r="G6" s="108">
        <f t="shared" si="0"/>
        <v>1136.6666666666667</v>
      </c>
      <c r="H6" s="200"/>
      <c r="I6" s="246">
        <f t="shared" ref="I6:I9" si="2">G6</f>
        <v>1136.6666666666667</v>
      </c>
    </row>
    <row r="7" spans="1:9" ht="15.75" customHeight="1">
      <c r="A7" s="73" t="s">
        <v>150</v>
      </c>
      <c r="B7" s="108"/>
      <c r="C7" s="108"/>
      <c r="D7" s="108"/>
      <c r="E7" s="206">
        <v>45178</v>
      </c>
      <c r="F7" s="207">
        <v>12</v>
      </c>
      <c r="G7" s="108">
        <f t="shared" si="0"/>
        <v>3764.8333333333335</v>
      </c>
      <c r="H7" s="200"/>
      <c r="I7" s="246">
        <f t="shared" si="2"/>
        <v>3764.8333333333335</v>
      </c>
    </row>
    <row r="8" spans="1:9" ht="15.75" customHeight="1">
      <c r="A8" s="73" t="s">
        <v>149</v>
      </c>
      <c r="B8" s="108"/>
      <c r="C8" s="108"/>
      <c r="D8" s="108"/>
      <c r="E8" s="206">
        <v>0</v>
      </c>
      <c r="F8" s="207">
        <v>12</v>
      </c>
      <c r="G8" s="108">
        <f t="shared" si="0"/>
        <v>0</v>
      </c>
      <c r="H8" s="200"/>
      <c r="I8" s="246">
        <f t="shared" si="2"/>
        <v>0</v>
      </c>
    </row>
    <row r="9" spans="1:9" ht="15.75" customHeight="1">
      <c r="A9" s="73" t="s">
        <v>93</v>
      </c>
      <c r="B9" s="108"/>
      <c r="C9" s="108"/>
      <c r="D9" s="108"/>
      <c r="E9" s="206">
        <v>304</v>
      </c>
      <c r="F9" s="207">
        <v>12</v>
      </c>
      <c r="G9" s="108">
        <f t="shared" si="0"/>
        <v>25.333333333333332</v>
      </c>
      <c r="H9" s="200"/>
      <c r="I9" s="246">
        <f t="shared" si="2"/>
        <v>25.333333333333332</v>
      </c>
    </row>
    <row r="10" spans="1:9" ht="15.75" customHeight="1">
      <c r="A10" s="73" t="s">
        <v>256</v>
      </c>
      <c r="B10" s="108"/>
      <c r="C10" s="108"/>
      <c r="D10" s="108"/>
      <c r="E10" s="206"/>
      <c r="F10" s="207"/>
      <c r="G10" s="108"/>
      <c r="H10" s="200"/>
      <c r="I10" s="246">
        <f>D27</f>
        <v>2262.4166666666665</v>
      </c>
    </row>
    <row r="11" spans="1:9" ht="15.75" customHeight="1">
      <c r="A11" s="73" t="s">
        <v>151</v>
      </c>
      <c r="B11" s="108"/>
      <c r="C11" s="108"/>
      <c r="D11" s="108"/>
      <c r="E11" s="206">
        <v>5188.93</v>
      </c>
      <c r="F11" s="207">
        <v>12</v>
      </c>
      <c r="G11" s="108">
        <f>E11/F11</f>
        <v>432.41083333333336</v>
      </c>
      <c r="H11" s="200"/>
      <c r="I11" s="246">
        <f>G11</f>
        <v>432.41083333333336</v>
      </c>
    </row>
    <row r="12" spans="1:9" ht="15.75" customHeight="1">
      <c r="A12" s="58" t="s">
        <v>152</v>
      </c>
      <c r="B12" s="61"/>
      <c r="C12" s="61"/>
      <c r="D12" s="61">
        <f>B17</f>
        <v>436</v>
      </c>
      <c r="E12" s="247"/>
      <c r="F12" s="200"/>
      <c r="G12" s="61"/>
      <c r="H12" s="209">
        <f>'Общие расходы ГЭ'!G16</f>
        <v>9.1731976502919679</v>
      </c>
      <c r="I12" s="246">
        <f t="shared" ref="I12:I14" si="3">D12*H12</f>
        <v>3999.514175527298</v>
      </c>
    </row>
    <row r="13" spans="1:9" ht="15.75" customHeight="1">
      <c r="A13" s="58" t="s">
        <v>235</v>
      </c>
      <c r="B13" s="61"/>
      <c r="C13" s="61"/>
      <c r="D13" s="61">
        <f>B17</f>
        <v>436</v>
      </c>
      <c r="E13" s="61"/>
      <c r="F13" s="200"/>
      <c r="G13" s="61"/>
      <c r="H13" s="209">
        <f>'Общие расходы г. Тюмень'!F4</f>
        <v>0.27439332347868928</v>
      </c>
      <c r="I13" s="246">
        <f t="shared" si="3"/>
        <v>119.63548903670852</v>
      </c>
    </row>
    <row r="14" spans="1:9" ht="15.75" customHeight="1">
      <c r="A14" s="234" t="s">
        <v>156</v>
      </c>
      <c r="B14" s="61"/>
      <c r="C14" s="61"/>
      <c r="D14" s="61">
        <f>B17</f>
        <v>436</v>
      </c>
      <c r="E14" s="61"/>
      <c r="F14" s="200"/>
      <c r="G14" s="61"/>
      <c r="H14" s="201">
        <f>'Общие расходы г. Тюмень'!F30</f>
        <v>0.74801393423739049</v>
      </c>
      <c r="I14" s="246">
        <f t="shared" si="3"/>
        <v>326.13407532750227</v>
      </c>
    </row>
    <row r="15" spans="1:9" ht="15.75" customHeight="1">
      <c r="A15" s="212"/>
      <c r="B15" s="74"/>
      <c r="C15" s="74"/>
      <c r="D15" s="74"/>
      <c r="E15" s="74"/>
      <c r="F15" s="248"/>
      <c r="G15" s="74"/>
      <c r="H15" s="74"/>
      <c r="I15" s="246">
        <f>SUM(I3:I14)</f>
        <v>14095.217856443047</v>
      </c>
    </row>
    <row r="16" spans="1:9" ht="15.75" customHeight="1">
      <c r="A16" s="202"/>
      <c r="B16" s="148"/>
      <c r="C16" s="148"/>
      <c r="D16" s="148"/>
      <c r="E16" s="206">
        <v>5188.93</v>
      </c>
      <c r="F16" s="149"/>
      <c r="G16" s="148"/>
      <c r="H16" s="148"/>
      <c r="I16" s="149"/>
    </row>
    <row r="17" spans="1:9" ht="15.75" customHeight="1">
      <c r="A17" s="58" t="s">
        <v>205</v>
      </c>
      <c r="B17" s="108">
        <v>436</v>
      </c>
      <c r="C17" s="148"/>
      <c r="D17" s="148"/>
      <c r="E17" s="148"/>
      <c r="F17" s="149"/>
      <c r="G17" s="148"/>
      <c r="H17" s="148"/>
      <c r="I17" s="149"/>
    </row>
    <row r="18" spans="1:9" ht="15.75" customHeight="1">
      <c r="A18" s="58" t="s">
        <v>206</v>
      </c>
      <c r="B18" s="108">
        <v>0</v>
      </c>
      <c r="C18" s="148"/>
      <c r="D18" s="148"/>
      <c r="E18" s="148"/>
      <c r="F18" s="149"/>
      <c r="G18" s="148"/>
      <c r="H18" s="148"/>
      <c r="I18" s="149"/>
    </row>
    <row r="19" spans="1:9" ht="15.75" customHeight="1">
      <c r="A19" s="58" t="s">
        <v>207</v>
      </c>
      <c r="B19" s="108">
        <v>5</v>
      </c>
      <c r="C19" s="62"/>
      <c r="D19" s="62"/>
      <c r="E19" s="62"/>
      <c r="F19" s="59"/>
      <c r="G19" s="59"/>
      <c r="H19" s="59"/>
    </row>
    <row r="20" spans="1:9" ht="15.75" customHeight="1">
      <c r="A20" s="202"/>
      <c r="B20" s="148"/>
      <c r="C20" s="148"/>
      <c r="D20" s="148"/>
      <c r="E20" s="148"/>
    </row>
    <row r="21" spans="1:9" ht="15.75" customHeight="1">
      <c r="A21" s="333" t="s">
        <v>208</v>
      </c>
      <c r="B21" s="332"/>
      <c r="C21" s="332"/>
      <c r="D21" s="321"/>
      <c r="E21" s="249"/>
    </row>
    <row r="22" spans="1:9" ht="15.75" customHeight="1">
      <c r="A22" s="215" t="s">
        <v>209</v>
      </c>
      <c r="B22" s="216" t="s">
        <v>210</v>
      </c>
      <c r="C22" s="78" t="s">
        <v>5</v>
      </c>
      <c r="D22" s="216" t="s">
        <v>211</v>
      </c>
      <c r="E22" s="148"/>
    </row>
    <row r="23" spans="1:9" ht="15.75" customHeight="1">
      <c r="A23" s="58" t="s">
        <v>147</v>
      </c>
      <c r="B23" s="239">
        <v>16000</v>
      </c>
      <c r="C23" s="239">
        <v>12</v>
      </c>
      <c r="D23" s="239">
        <f t="shared" ref="D23:D24" si="4">B23/C23</f>
        <v>1333.3333333333333</v>
      </c>
      <c r="E23" s="148"/>
    </row>
    <row r="24" spans="1:9" ht="15.75" customHeight="1">
      <c r="A24" s="58" t="s">
        <v>257</v>
      </c>
      <c r="B24" s="108">
        <f>10000+1149</f>
        <v>11149</v>
      </c>
      <c r="C24" s="239">
        <v>12</v>
      </c>
      <c r="D24" s="239">
        <f t="shared" si="4"/>
        <v>929.08333333333337</v>
      </c>
      <c r="E24" s="148"/>
    </row>
    <row r="25" spans="1:9" ht="15.75" customHeight="1">
      <c r="A25" s="241"/>
      <c r="B25" s="239"/>
      <c r="C25" s="239"/>
      <c r="D25" s="239"/>
      <c r="E25" s="148"/>
    </row>
    <row r="26" spans="1:9" ht="15.75" customHeight="1">
      <c r="A26" s="58"/>
      <c r="B26" s="239"/>
      <c r="C26" s="239"/>
      <c r="D26" s="239"/>
      <c r="E26" s="148"/>
    </row>
    <row r="27" spans="1:9" ht="15.75" customHeight="1">
      <c r="A27" s="58"/>
      <c r="B27" s="239"/>
      <c r="C27" s="239"/>
      <c r="D27" s="239">
        <f>SUM(D23:D26)</f>
        <v>2262.4166666666665</v>
      </c>
    </row>
    <row r="28" spans="1:9" ht="15.75" customHeight="1">
      <c r="A28" s="202"/>
    </row>
    <row r="29" spans="1:9" ht="15.75" customHeight="1">
      <c r="A29" s="202"/>
    </row>
    <row r="30" spans="1:9" ht="15.75" customHeight="1">
      <c r="A30" s="202"/>
    </row>
    <row r="31" spans="1:9" ht="15.75" customHeight="1">
      <c r="A31" s="202"/>
    </row>
    <row r="32" spans="1:9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  <row r="984" spans="1:1" ht="13">
      <c r="A984" s="202"/>
    </row>
    <row r="985" spans="1:1" ht="13">
      <c r="A985" s="202"/>
    </row>
    <row r="986" spans="1:1" ht="13">
      <c r="A986" s="202"/>
    </row>
    <row r="987" spans="1:1" ht="13">
      <c r="A987" s="202"/>
    </row>
    <row r="988" spans="1:1" ht="13">
      <c r="A988" s="202"/>
    </row>
    <row r="989" spans="1:1" ht="13">
      <c r="A989" s="202"/>
    </row>
    <row r="990" spans="1:1" ht="13">
      <c r="A990" s="202"/>
    </row>
    <row r="991" spans="1:1" ht="13">
      <c r="A991" s="202"/>
    </row>
    <row r="992" spans="1:1" ht="13">
      <c r="A992" s="202"/>
    </row>
    <row r="993" spans="1:1" ht="13">
      <c r="A993" s="202"/>
    </row>
    <row r="994" spans="1:1" ht="13">
      <c r="A994" s="202"/>
    </row>
    <row r="995" spans="1:1" ht="13">
      <c r="A995" s="202"/>
    </row>
    <row r="996" spans="1:1" ht="13">
      <c r="A996" s="202"/>
    </row>
    <row r="997" spans="1:1" ht="13">
      <c r="A997" s="202"/>
    </row>
    <row r="998" spans="1:1" ht="13">
      <c r="A998" s="202"/>
    </row>
    <row r="999" spans="1:1" ht="13">
      <c r="A999" s="202"/>
    </row>
    <row r="1000" spans="1:1" ht="13">
      <c r="A1000" s="202"/>
    </row>
    <row r="1001" spans="1:1" ht="13">
      <c r="A1001" s="202"/>
    </row>
    <row r="1002" spans="1:1" ht="13">
      <c r="A1002" s="202"/>
    </row>
    <row r="1003" spans="1:1" ht="13">
      <c r="A1003" s="202"/>
    </row>
    <row r="1004" spans="1:1" ht="13">
      <c r="A1004" s="202"/>
    </row>
  </sheetData>
  <mergeCells count="1">
    <mergeCell ref="A21:D21"/>
  </mergeCells>
  <pageMargins left="0.7" right="0.7" top="0.75" bottom="0.75" header="0.3" footer="0.3"/>
  <pageSetup paperSize="9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I26"/>
  <sheetViews>
    <sheetView workbookViewId="0"/>
  </sheetViews>
  <sheetFormatPr baseColWidth="10" defaultColWidth="12.6640625" defaultRowHeight="15.75" customHeight="1"/>
  <cols>
    <col min="1" max="1" width="24" customWidth="1"/>
    <col min="2" max="2" width="13.1640625" customWidth="1"/>
    <col min="6" max="6" width="9.6640625" customWidth="1"/>
    <col min="7" max="7" width="13.1640625" customWidth="1"/>
    <col min="8" max="8" width="9.1640625" customWidth="1"/>
    <col min="9" max="9" width="18.33203125" customWidth="1"/>
  </cols>
  <sheetData>
    <row r="1" spans="1:9" ht="15.75" customHeight="1">
      <c r="B1" s="148"/>
      <c r="C1" s="148"/>
      <c r="D1" s="148"/>
      <c r="E1" s="148"/>
      <c r="F1" s="149"/>
      <c r="G1" s="148"/>
      <c r="H1" s="148"/>
      <c r="I1" s="149"/>
    </row>
    <row r="2" spans="1:9" ht="15.75" customHeight="1">
      <c r="A2" s="226" t="s">
        <v>132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6</v>
      </c>
      <c r="H2" s="204" t="s">
        <v>9</v>
      </c>
      <c r="I2" s="205" t="s">
        <v>198</v>
      </c>
    </row>
    <row r="3" spans="1:9" ht="15.75" customHeight="1">
      <c r="A3" s="73" t="s">
        <v>216</v>
      </c>
      <c r="B3" s="83">
        <f>'Исходные данные'!D11</f>
        <v>214</v>
      </c>
      <c r="C3" s="83">
        <f>'Исходные данные'!F27</f>
        <v>8</v>
      </c>
      <c r="D3" s="108"/>
      <c r="E3" s="108">
        <v>480420</v>
      </c>
      <c r="F3" s="207">
        <v>12</v>
      </c>
      <c r="G3" s="250">
        <f t="shared" ref="G3:G8" si="0">E3/F3</f>
        <v>40035</v>
      </c>
      <c r="H3" s="61"/>
      <c r="I3" s="211">
        <f>G3/B3*C3</f>
        <v>1496.6355140186915</v>
      </c>
    </row>
    <row r="4" spans="1:9" ht="15.75" customHeight="1">
      <c r="A4" s="63" t="s">
        <v>258</v>
      </c>
      <c r="B4" s="108"/>
      <c r="C4" s="108"/>
      <c r="D4" s="108"/>
      <c r="E4" s="147">
        <v>9100</v>
      </c>
      <c r="F4" s="207">
        <v>12</v>
      </c>
      <c r="G4" s="108">
        <f t="shared" si="0"/>
        <v>758.33333333333337</v>
      </c>
      <c r="H4" s="61"/>
      <c r="I4" s="211">
        <f t="shared" ref="I4:I8" si="1">G4</f>
        <v>758.33333333333337</v>
      </c>
    </row>
    <row r="5" spans="1:9" ht="15.75" customHeight="1">
      <c r="A5" s="73" t="s">
        <v>148</v>
      </c>
      <c r="B5" s="108"/>
      <c r="C5" s="108"/>
      <c r="D5" s="83"/>
      <c r="E5" s="108">
        <v>18455</v>
      </c>
      <c r="F5" s="207">
        <v>12</v>
      </c>
      <c r="G5" s="108">
        <f t="shared" si="0"/>
        <v>1537.9166666666667</v>
      </c>
      <c r="H5" s="200"/>
      <c r="I5" s="211">
        <f t="shared" si="1"/>
        <v>1537.9166666666667</v>
      </c>
    </row>
    <row r="6" spans="1:9" ht="15.75" customHeight="1">
      <c r="A6" s="73" t="s">
        <v>150</v>
      </c>
      <c r="B6" s="108"/>
      <c r="C6" s="108"/>
      <c r="D6" s="83"/>
      <c r="E6" s="108">
        <v>0</v>
      </c>
      <c r="F6" s="207">
        <v>12</v>
      </c>
      <c r="G6" s="108">
        <f t="shared" si="0"/>
        <v>0</v>
      </c>
      <c r="H6" s="200"/>
      <c r="I6" s="211">
        <f t="shared" si="1"/>
        <v>0</v>
      </c>
    </row>
    <row r="7" spans="1:9" ht="15.75" customHeight="1">
      <c r="A7" s="73" t="s">
        <v>149</v>
      </c>
      <c r="B7" s="108"/>
      <c r="C7" s="108"/>
      <c r="D7" s="83"/>
      <c r="E7" s="108">
        <v>0</v>
      </c>
      <c r="F7" s="207">
        <v>12</v>
      </c>
      <c r="G7" s="108">
        <f t="shared" si="0"/>
        <v>0</v>
      </c>
      <c r="H7" s="200"/>
      <c r="I7" s="211">
        <f t="shared" si="1"/>
        <v>0</v>
      </c>
    </row>
    <row r="8" spans="1:9" ht="15.75" customHeight="1">
      <c r="A8" s="73" t="s">
        <v>259</v>
      </c>
      <c r="B8" s="108"/>
      <c r="C8" s="108"/>
      <c r="D8" s="83"/>
      <c r="E8" s="108"/>
      <c r="F8" s="207">
        <v>12</v>
      </c>
      <c r="G8" s="108">
        <f t="shared" si="0"/>
        <v>0</v>
      </c>
      <c r="H8" s="200"/>
      <c r="I8" s="211">
        <f t="shared" si="1"/>
        <v>0</v>
      </c>
    </row>
    <row r="9" spans="1:9" ht="15.75" customHeight="1">
      <c r="A9" s="58" t="s">
        <v>152</v>
      </c>
      <c r="B9" s="61"/>
      <c r="C9" s="61"/>
      <c r="D9" s="213">
        <f>B14</f>
        <v>286</v>
      </c>
      <c r="E9" s="61"/>
      <c r="F9" s="200"/>
      <c r="G9" s="61"/>
      <c r="H9" s="209">
        <f>'Общие расходы ГЭ'!G16</f>
        <v>9.1731976502919679</v>
      </c>
      <c r="I9" s="211">
        <f t="shared" ref="I9:I11" si="2">D9*H9</f>
        <v>2623.5345279835028</v>
      </c>
    </row>
    <row r="10" spans="1:9" ht="15.75" customHeight="1">
      <c r="A10" s="58" t="s">
        <v>235</v>
      </c>
      <c r="B10" s="61"/>
      <c r="C10" s="61"/>
      <c r="D10" s="213">
        <f>B14</f>
        <v>286</v>
      </c>
      <c r="E10" s="61"/>
      <c r="F10" s="200"/>
      <c r="G10" s="61"/>
      <c r="H10" s="209">
        <f>'Общие расходы г. Тюмень'!F4</f>
        <v>0.27439332347868928</v>
      </c>
      <c r="I10" s="211">
        <f t="shared" si="2"/>
        <v>78.476490514905137</v>
      </c>
    </row>
    <row r="11" spans="1:9" ht="15.75" customHeight="1">
      <c r="A11" s="58" t="s">
        <v>156</v>
      </c>
      <c r="B11" s="61"/>
      <c r="C11" s="61"/>
      <c r="D11" s="213">
        <f>B14</f>
        <v>286</v>
      </c>
      <c r="E11" s="61"/>
      <c r="F11" s="200"/>
      <c r="G11" s="61"/>
      <c r="H11" s="201">
        <f>'Общие расходы г. Тюмень'!F30</f>
        <v>0.74801393423739049</v>
      </c>
      <c r="I11" s="211">
        <f t="shared" si="2"/>
        <v>213.93198519189369</v>
      </c>
    </row>
    <row r="12" spans="1:9" ht="15.75" customHeight="1">
      <c r="A12" s="334" t="s">
        <v>62</v>
      </c>
      <c r="B12" s="332"/>
      <c r="C12" s="332"/>
      <c r="D12" s="332"/>
      <c r="E12" s="332"/>
      <c r="F12" s="332"/>
      <c r="G12" s="332"/>
      <c r="H12" s="321"/>
      <c r="I12" s="211">
        <f>SUM(I3:I11)</f>
        <v>6708.8285177089929</v>
      </c>
    </row>
    <row r="14" spans="1:9" ht="15.75" customHeight="1">
      <c r="A14" s="58" t="s">
        <v>205</v>
      </c>
      <c r="B14" s="210">
        <f>'Исходные данные'!B27</f>
        <v>286</v>
      </c>
    </row>
    <row r="15" spans="1:9" ht="15.75" customHeight="1">
      <c r="A15" s="58" t="s">
        <v>206</v>
      </c>
      <c r="B15" s="210">
        <f>'Исходные данные'!C27</f>
        <v>0</v>
      </c>
    </row>
    <row r="16" spans="1:9" ht="15.75" customHeight="1">
      <c r="A16" s="58" t="s">
        <v>207</v>
      </c>
      <c r="B16" s="210">
        <f>'Исходные данные'!D27</f>
        <v>0</v>
      </c>
    </row>
    <row r="17" spans="1:7" ht="15.75" customHeight="1">
      <c r="E17" s="64"/>
      <c r="F17" s="225"/>
      <c r="G17" s="59"/>
    </row>
    <row r="18" spans="1:7" ht="15.75" customHeight="1">
      <c r="A18" s="333" t="s">
        <v>208</v>
      </c>
      <c r="B18" s="332"/>
      <c r="C18" s="332"/>
      <c r="D18" s="321"/>
    </row>
    <row r="19" spans="1:7" ht="15.75" customHeight="1">
      <c r="A19" s="215" t="s">
        <v>209</v>
      </c>
      <c r="B19" s="216" t="s">
        <v>210</v>
      </c>
      <c r="C19" s="78" t="s">
        <v>5</v>
      </c>
      <c r="D19" s="216" t="s">
        <v>211</v>
      </c>
    </row>
    <row r="20" spans="1:7" ht="15.75" customHeight="1">
      <c r="A20" s="238"/>
      <c r="B20" s="239"/>
      <c r="C20" s="239"/>
      <c r="D20" s="239"/>
    </row>
    <row r="21" spans="1:7" ht="15.75" customHeight="1">
      <c r="A21" s="58"/>
      <c r="B21" s="239"/>
      <c r="C21" s="239"/>
      <c r="D21" s="239"/>
    </row>
    <row r="22" spans="1:7" ht="15.75" customHeight="1">
      <c r="A22" s="241"/>
      <c r="B22" s="239"/>
      <c r="C22" s="239"/>
      <c r="D22" s="239"/>
    </row>
    <row r="23" spans="1:7" ht="15.75" customHeight="1">
      <c r="A23" s="58"/>
      <c r="B23" s="239"/>
      <c r="C23" s="239"/>
      <c r="D23" s="147"/>
    </row>
    <row r="24" spans="1:7" ht="15.75" customHeight="1">
      <c r="A24" s="58"/>
      <c r="B24" s="239"/>
      <c r="C24" s="239"/>
      <c r="D24" s="239"/>
    </row>
    <row r="25" spans="1:7" ht="15.75" customHeight="1">
      <c r="A25" s="27"/>
      <c r="B25" s="61"/>
      <c r="C25" s="61"/>
      <c r="D25" s="61"/>
    </row>
    <row r="26" spans="1:7" ht="15.75" customHeight="1">
      <c r="A26" s="27"/>
      <c r="B26" s="61"/>
      <c r="C26" s="61"/>
      <c r="D26" s="61"/>
    </row>
  </sheetData>
  <mergeCells count="2">
    <mergeCell ref="A12:H12"/>
    <mergeCell ref="A18:D18"/>
  </mergeCells>
  <pageMargins left="0.7" right="0.7" top="0.75" bottom="0.75" header="0.3" footer="0.3"/>
  <pageSetup paperSize="9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D947"/>
  <sheetViews>
    <sheetView workbookViewId="0"/>
  </sheetViews>
  <sheetFormatPr baseColWidth="10" defaultColWidth="12.6640625" defaultRowHeight="15.75" customHeight="1"/>
  <cols>
    <col min="1" max="1" width="30" customWidth="1"/>
    <col min="6" max="6" width="9.1640625" customWidth="1"/>
    <col min="8" max="8" width="14" customWidth="1"/>
    <col min="9" max="9" width="13.5" customWidth="1"/>
  </cols>
  <sheetData>
    <row r="1" spans="1:30" ht="15.75" customHeight="1">
      <c r="A1" s="123"/>
      <c r="B1" s="122"/>
      <c r="C1" s="122"/>
      <c r="D1" s="122"/>
      <c r="E1" s="122"/>
      <c r="F1" s="123"/>
      <c r="G1" s="123"/>
      <c r="H1" s="122"/>
      <c r="I1" s="12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30" ht="15.75" customHeight="1">
      <c r="A2" s="251" t="s">
        <v>260</v>
      </c>
      <c r="B2" s="204" t="s">
        <v>261</v>
      </c>
      <c r="C2" s="204" t="s">
        <v>196</v>
      </c>
      <c r="D2" s="204" t="s">
        <v>197</v>
      </c>
      <c r="E2" s="252" t="s">
        <v>4</v>
      </c>
      <c r="F2" s="253" t="s">
        <v>9</v>
      </c>
      <c r="G2" s="253" t="s">
        <v>5</v>
      </c>
      <c r="H2" s="253" t="s">
        <v>6</v>
      </c>
      <c r="I2" s="205" t="s">
        <v>198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</row>
    <row r="3" spans="1:30" ht="15.75" customHeight="1">
      <c r="A3" s="254" t="s">
        <v>262</v>
      </c>
      <c r="B3" s="44">
        <f>'Исходные данные'!D43</f>
        <v>334</v>
      </c>
      <c r="C3" s="44">
        <f>'Исходные данные'!D40</f>
        <v>229</v>
      </c>
      <c r="D3" s="44"/>
      <c r="E3" s="119">
        <f>55500+13200+278297</f>
        <v>346997</v>
      </c>
      <c r="F3" s="255"/>
      <c r="G3" s="255">
        <v>12</v>
      </c>
      <c r="H3" s="44">
        <f t="shared" ref="H3:H11" si="0">E3/G3</f>
        <v>28916.416666666668</v>
      </c>
      <c r="I3" s="256">
        <f t="shared" ref="I3:I4" si="1">H3/B3*C3</f>
        <v>19825.926397205589</v>
      </c>
      <c r="J3" s="57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</row>
    <row r="4" spans="1:30" ht="15.75" customHeight="1">
      <c r="A4" s="254" t="s">
        <v>263</v>
      </c>
      <c r="B4" s="44">
        <f>'Исходные данные'!E43</f>
        <v>499</v>
      </c>
      <c r="C4" s="44">
        <f>'Исходные данные'!E40</f>
        <v>437</v>
      </c>
      <c r="D4" s="44"/>
      <c r="E4" s="119">
        <f>9000+82000+695981</f>
        <v>786981</v>
      </c>
      <c r="F4" s="255"/>
      <c r="G4" s="255">
        <v>12</v>
      </c>
      <c r="H4" s="44">
        <f t="shared" si="0"/>
        <v>65581.75</v>
      </c>
      <c r="I4" s="256">
        <f t="shared" si="1"/>
        <v>57433.316132264532</v>
      </c>
      <c r="J4" s="57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</row>
    <row r="5" spans="1:30" ht="15.75" customHeight="1">
      <c r="A5" s="257" t="s">
        <v>202</v>
      </c>
      <c r="B5" s="258"/>
      <c r="C5" s="258"/>
      <c r="D5" s="258"/>
      <c r="E5" s="258">
        <f>251513+3398+790</f>
        <v>255701</v>
      </c>
      <c r="F5" s="259"/>
      <c r="G5" s="259">
        <v>12</v>
      </c>
      <c r="H5" s="260">
        <f t="shared" si="0"/>
        <v>21308.416666666668</v>
      </c>
      <c r="I5" s="256">
        <f t="shared" ref="I5:I11" si="2">H5</f>
        <v>21308.416666666668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 spans="1:30" ht="15.75" customHeight="1">
      <c r="A6" s="73" t="s">
        <v>148</v>
      </c>
      <c r="B6" s="258"/>
      <c r="C6" s="258"/>
      <c r="D6" s="258"/>
      <c r="E6" s="260">
        <f>319016+5430</f>
        <v>324446</v>
      </c>
      <c r="F6" s="259"/>
      <c r="G6" s="259">
        <v>12</v>
      </c>
      <c r="H6" s="260">
        <f t="shared" si="0"/>
        <v>27037.166666666668</v>
      </c>
      <c r="I6" s="256">
        <f t="shared" si="2"/>
        <v>27037.166666666668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</row>
    <row r="7" spans="1:30" ht="15.75" customHeight="1">
      <c r="A7" s="73" t="s">
        <v>150</v>
      </c>
      <c r="B7" s="258"/>
      <c r="C7" s="258"/>
      <c r="D7" s="258"/>
      <c r="E7" s="260">
        <v>102100</v>
      </c>
      <c r="F7" s="259"/>
      <c r="G7" s="259">
        <v>12</v>
      </c>
      <c r="H7" s="260">
        <f t="shared" si="0"/>
        <v>8508.3333333333339</v>
      </c>
      <c r="I7" s="256">
        <f t="shared" si="2"/>
        <v>8508.3333333333339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</row>
    <row r="8" spans="1:30" ht="15.75" customHeight="1">
      <c r="A8" s="73" t="s">
        <v>149</v>
      </c>
      <c r="B8" s="258"/>
      <c r="C8" s="258"/>
      <c r="D8" s="258"/>
      <c r="E8" s="260">
        <v>80693</v>
      </c>
      <c r="F8" s="259"/>
      <c r="G8" s="259">
        <v>12</v>
      </c>
      <c r="H8" s="260">
        <f t="shared" si="0"/>
        <v>6724.416666666667</v>
      </c>
      <c r="I8" s="256">
        <f t="shared" si="2"/>
        <v>6724.416666666667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</row>
    <row r="9" spans="1:30" ht="15.75" customHeight="1">
      <c r="A9" s="257" t="s">
        <v>236</v>
      </c>
      <c r="B9" s="258"/>
      <c r="C9" s="258"/>
      <c r="D9" s="258"/>
      <c r="E9" s="260">
        <f>468+818+1371+513+2746+4000+1299</f>
        <v>11215</v>
      </c>
      <c r="F9" s="259"/>
      <c r="G9" s="259">
        <v>12</v>
      </c>
      <c r="H9" s="260">
        <f t="shared" si="0"/>
        <v>934.58333333333337</v>
      </c>
      <c r="I9" s="256">
        <f t="shared" si="2"/>
        <v>934.58333333333337</v>
      </c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spans="1:30" ht="15.75" customHeight="1">
      <c r="A10" s="261" t="s">
        <v>264</v>
      </c>
      <c r="B10" s="258"/>
      <c r="C10" s="258"/>
      <c r="D10" s="258"/>
      <c r="E10" s="262"/>
      <c r="F10" s="259"/>
      <c r="G10" s="259">
        <v>12</v>
      </c>
      <c r="H10" s="260">
        <f t="shared" si="0"/>
        <v>0</v>
      </c>
      <c r="I10" s="256">
        <f t="shared" si="2"/>
        <v>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 spans="1:30" ht="15.75" customHeight="1">
      <c r="A11" s="261" t="s">
        <v>265</v>
      </c>
      <c r="B11" s="258"/>
      <c r="C11" s="258"/>
      <c r="D11" s="258"/>
      <c r="E11" s="262">
        <v>30759</v>
      </c>
      <c r="F11" s="259"/>
      <c r="G11" s="259">
        <v>12</v>
      </c>
      <c r="H11" s="260">
        <f t="shared" si="0"/>
        <v>2563.25</v>
      </c>
      <c r="I11" s="256">
        <f t="shared" si="2"/>
        <v>2563.25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 spans="1:30" ht="15.75" customHeight="1">
      <c r="A12" s="261" t="s">
        <v>155</v>
      </c>
      <c r="B12" s="258"/>
      <c r="C12" s="258"/>
      <c r="D12" s="258"/>
      <c r="E12" s="262"/>
      <c r="F12" s="259"/>
      <c r="G12" s="259"/>
      <c r="H12" s="260"/>
      <c r="I12" s="256">
        <f>D31</f>
        <v>23448.083333333336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</row>
    <row r="13" spans="1:30" ht="15.75" customHeight="1">
      <c r="A13" s="261" t="s">
        <v>266</v>
      </c>
      <c r="B13" s="258"/>
      <c r="C13" s="258"/>
      <c r="D13" s="258"/>
      <c r="E13" s="263">
        <v>720000</v>
      </c>
      <c r="F13" s="259"/>
      <c r="G13" s="259">
        <v>12</v>
      </c>
      <c r="H13" s="260">
        <f>E13/G13</f>
        <v>60000</v>
      </c>
      <c r="I13" s="256">
        <f>H13</f>
        <v>60000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 spans="1:30" ht="15.75" customHeight="1">
      <c r="A14" s="254" t="s">
        <v>267</v>
      </c>
      <c r="B14" s="119"/>
      <c r="C14" s="44"/>
      <c r="D14" s="264">
        <f>B19+B20</f>
        <v>13011</v>
      </c>
      <c r="E14" s="258"/>
      <c r="F14" s="265">
        <f>'Общие расходы г. Альметьевск'!F4</f>
        <v>0.57570105149806805</v>
      </c>
      <c r="G14" s="255"/>
      <c r="H14" s="119"/>
      <c r="I14" s="256">
        <f t="shared" ref="I14:I16" si="3">D14*F14</f>
        <v>7490.4463810413636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</row>
    <row r="15" spans="1:30" ht="15.75" customHeight="1">
      <c r="A15" s="254" t="s">
        <v>152</v>
      </c>
      <c r="B15" s="119"/>
      <c r="C15" s="44"/>
      <c r="D15" s="264">
        <f>B19+B20</f>
        <v>13011</v>
      </c>
      <c r="E15" s="258"/>
      <c r="F15" s="266">
        <f>'Общие расходы ГЭ'!G16</f>
        <v>9.1731976502919679</v>
      </c>
      <c r="G15" s="255"/>
      <c r="H15" s="119"/>
      <c r="I15" s="256">
        <f t="shared" si="3"/>
        <v>119352.47462794879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</row>
    <row r="16" spans="1:30" ht="15.75" customHeight="1">
      <c r="A16" s="254" t="s">
        <v>156</v>
      </c>
      <c r="B16" s="119"/>
      <c r="C16" s="44"/>
      <c r="D16" s="264">
        <f>B19+B20</f>
        <v>13011</v>
      </c>
      <c r="E16" s="258"/>
      <c r="F16" s="266">
        <f>'Общие расходы г. Тюмень'!F30</f>
        <v>0.74801393423739049</v>
      </c>
      <c r="G16" s="255"/>
      <c r="H16" s="119"/>
      <c r="I16" s="256">
        <f t="shared" si="3"/>
        <v>9732.409298362687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 spans="1:30" ht="15.75" customHeight="1">
      <c r="A17" s="267"/>
      <c r="B17" s="268"/>
      <c r="C17" s="268"/>
      <c r="D17" s="268"/>
      <c r="E17" s="268"/>
      <c r="F17" s="269"/>
      <c r="G17" s="269"/>
      <c r="H17" s="268"/>
      <c r="I17" s="256">
        <f>SUM(I3:I16)</f>
        <v>364358.822836823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 spans="1:30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</row>
    <row r="19" spans="1:30" ht="15.75" customHeight="1">
      <c r="A19" s="58" t="s">
        <v>205</v>
      </c>
      <c r="B19" s="210">
        <f>'Исходные данные'!B40</f>
        <v>7606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 spans="1:30" ht="15.75" customHeight="1">
      <c r="A20" s="58" t="s">
        <v>206</v>
      </c>
      <c r="B20" s="210">
        <f>'Исходные данные'!C40</f>
        <v>5405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</row>
    <row r="21" spans="1:30" ht="15.75" customHeight="1">
      <c r="A21" s="58" t="s">
        <v>207</v>
      </c>
      <c r="B21" s="210">
        <f>'Исходные данные'!D40</f>
        <v>229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</row>
    <row r="22" spans="1:30" ht="15.75" customHeight="1"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 spans="1:30" ht="15.75" customHeight="1">
      <c r="A23" s="333" t="s">
        <v>208</v>
      </c>
      <c r="B23" s="332"/>
      <c r="C23" s="332"/>
      <c r="D23" s="321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</row>
    <row r="24" spans="1:30" ht="15.75" customHeight="1">
      <c r="A24" s="215" t="s">
        <v>209</v>
      </c>
      <c r="B24" s="216" t="s">
        <v>210</v>
      </c>
      <c r="C24" s="78" t="s">
        <v>5</v>
      </c>
      <c r="D24" s="216" t="s">
        <v>211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 spans="1:30" ht="15.75" customHeight="1">
      <c r="A25" s="261" t="s">
        <v>268</v>
      </c>
      <c r="B25" s="270">
        <v>270500</v>
      </c>
      <c r="C25" s="270">
        <v>12</v>
      </c>
      <c r="D25" s="270">
        <f t="shared" ref="D25:D28" si="4">B25/C25</f>
        <v>22541.666666666668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</row>
    <row r="26" spans="1:30" ht="15.75" customHeight="1">
      <c r="A26" s="261" t="s">
        <v>269</v>
      </c>
      <c r="B26" s="270">
        <v>6500</v>
      </c>
      <c r="C26" s="270">
        <v>12</v>
      </c>
      <c r="D26" s="270">
        <f t="shared" si="4"/>
        <v>541.66666666666663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  <row r="27" spans="1:30" ht="15.75" customHeight="1">
      <c r="A27" s="261" t="s">
        <v>270</v>
      </c>
      <c r="B27" s="270">
        <v>4377</v>
      </c>
      <c r="C27" s="270">
        <v>12</v>
      </c>
      <c r="D27" s="270">
        <f t="shared" si="4"/>
        <v>364.75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 spans="1:30" ht="15.75" customHeight="1">
      <c r="A28" s="73"/>
      <c r="B28" s="270"/>
      <c r="C28" s="270">
        <v>12</v>
      </c>
      <c r="D28" s="270">
        <f t="shared" si="4"/>
        <v>0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</row>
    <row r="29" spans="1:30" ht="15.75" customHeight="1">
      <c r="A29" s="58"/>
      <c r="B29" s="239"/>
      <c r="C29" s="239"/>
      <c r="D29" s="2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</row>
    <row r="30" spans="1:30" ht="15.75" customHeight="1">
      <c r="A30" s="27"/>
      <c r="B30" s="61"/>
      <c r="C30" s="239"/>
      <c r="D30" s="2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</row>
    <row r="31" spans="1:30" ht="15.75" customHeight="1">
      <c r="A31" s="84" t="s">
        <v>62</v>
      </c>
      <c r="B31" s="271"/>
      <c r="C31" s="271"/>
      <c r="D31" s="271">
        <f>SUM(D25:D30)</f>
        <v>23448.083333333336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 spans="1:30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 spans="1:30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 spans="1:30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</row>
    <row r="35" spans="1:30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</row>
    <row r="36" spans="1:30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</row>
    <row r="37" spans="1:30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</row>
    <row r="38" spans="1:30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</row>
    <row r="39" spans="1:30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</row>
    <row r="40" spans="1:3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</row>
    <row r="41" spans="1:30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</row>
    <row r="42" spans="1:30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</row>
    <row r="43" spans="1:30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</row>
    <row r="44" spans="1:30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</row>
    <row r="45" spans="1:30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 spans="1:30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30" ht="1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 spans="1:30" ht="1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 spans="1:30" ht="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</row>
    <row r="50" spans="1:30" ht="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</row>
    <row r="51" spans="1:30" ht="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</row>
    <row r="52" spans="1:30" ht="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</row>
    <row r="53" spans="1:30" ht="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</row>
    <row r="54" spans="1:30" ht="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</row>
    <row r="55" spans="1:30" ht="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</row>
    <row r="56" spans="1:30" ht="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</row>
    <row r="57" spans="1:30" ht="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</row>
    <row r="58" spans="1:30" ht="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</row>
    <row r="59" spans="1:30" ht="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</row>
    <row r="60" spans="1:30" ht="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</row>
    <row r="61" spans="1:30" ht="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</row>
    <row r="62" spans="1:30" ht="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</row>
    <row r="63" spans="1:30" ht="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</row>
    <row r="64" spans="1:30" ht="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</row>
    <row r="65" spans="1:30" ht="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</row>
    <row r="66" spans="1:30" ht="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</row>
    <row r="67" spans="1:30" ht="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</row>
    <row r="68" spans="1:30" ht="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</row>
    <row r="69" spans="1:30" ht="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</row>
    <row r="70" spans="1:30" ht="1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</row>
    <row r="71" spans="1:30" ht="13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</row>
    <row r="72" spans="1:30" ht="13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</row>
    <row r="73" spans="1:30" ht="1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</row>
    <row r="74" spans="1:30" ht="13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</row>
    <row r="75" spans="1:30" ht="13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</row>
    <row r="76" spans="1:30" ht="13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</row>
    <row r="77" spans="1:30" ht="13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</row>
    <row r="78" spans="1:30" ht="13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</row>
    <row r="79" spans="1:30" ht="13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</row>
    <row r="80" spans="1:30" ht="13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</row>
    <row r="81" spans="1:30" ht="1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</row>
    <row r="82" spans="1:30" ht="1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</row>
    <row r="83" spans="1:30" ht="1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</row>
    <row r="84" spans="1:30" ht="1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</row>
    <row r="85" spans="1:30" ht="1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 spans="1:30" ht="1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</row>
    <row r="87" spans="1:30" ht="1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 spans="1:30" ht="1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</row>
    <row r="89" spans="1:30" ht="1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</row>
    <row r="90" spans="1:30" ht="1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</row>
    <row r="91" spans="1:30" ht="1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</row>
    <row r="92" spans="1:30" ht="1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</row>
    <row r="93" spans="1:30" ht="1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</row>
    <row r="94" spans="1:30" ht="1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 spans="1:30" ht="1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</row>
    <row r="96" spans="1:30" ht="1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</row>
    <row r="97" spans="1:30" ht="1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</row>
    <row r="98" spans="1:30" ht="13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</row>
    <row r="99" spans="1:30" ht="13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</row>
    <row r="100" spans="1:30" ht="13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</row>
    <row r="101" spans="1:30" ht="1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</row>
    <row r="102" spans="1:30" ht="1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</row>
    <row r="103" spans="1:30" ht="1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</row>
    <row r="104" spans="1:30" ht="13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</row>
    <row r="105" spans="1:30" ht="13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</row>
    <row r="106" spans="1:30" ht="13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</row>
    <row r="107" spans="1:30" ht="13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</row>
    <row r="108" spans="1:30" ht="13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</row>
    <row r="109" spans="1:30" ht="13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</row>
    <row r="110" spans="1:30" ht="13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</row>
    <row r="111" spans="1:30" ht="13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 spans="1:30" ht="13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 spans="1:30" ht="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 spans="1:30" ht="13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 spans="1:30" ht="13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 spans="1:30" ht="13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 spans="1:30" ht="1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 spans="1:30" ht="13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 spans="1:30" ht="13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</row>
    <row r="120" spans="1:30" ht="13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</row>
    <row r="121" spans="1:30" ht="13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</row>
    <row r="122" spans="1:30" ht="13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</row>
    <row r="123" spans="1:30" ht="1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</row>
    <row r="124" spans="1:30" ht="13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</row>
    <row r="125" spans="1:30" ht="13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</row>
    <row r="126" spans="1:30" ht="13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</row>
    <row r="127" spans="1:30" ht="13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</row>
    <row r="128" spans="1:30" ht="13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</row>
    <row r="129" spans="1:30" ht="13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</row>
    <row r="130" spans="1:30" ht="13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</row>
    <row r="131" spans="1:30" ht="13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</row>
    <row r="132" spans="1:30" ht="13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</row>
    <row r="133" spans="1:30" ht="1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</row>
    <row r="134" spans="1:30" ht="13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</row>
    <row r="135" spans="1:30" ht="13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</row>
    <row r="136" spans="1:30" ht="13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</row>
    <row r="137" spans="1:30" ht="13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</row>
    <row r="138" spans="1:30" ht="13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</row>
    <row r="139" spans="1:30" ht="13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</row>
    <row r="140" spans="1:30" ht="13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</row>
    <row r="141" spans="1:30" ht="13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</row>
    <row r="142" spans="1:30" ht="13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</row>
    <row r="143" spans="1:30" ht="1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</row>
    <row r="144" spans="1:30" ht="13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</row>
    <row r="145" spans="1:30" ht="13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</row>
    <row r="146" spans="1:30" ht="13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</row>
    <row r="147" spans="1:30" ht="13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</row>
    <row r="148" spans="1:30" ht="13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</row>
    <row r="149" spans="1:30" ht="13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</row>
    <row r="150" spans="1:30" ht="13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</row>
    <row r="151" spans="1:30" ht="13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</row>
    <row r="152" spans="1:30" ht="13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</row>
    <row r="153" spans="1:30" ht="1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</row>
    <row r="154" spans="1:30" ht="13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</row>
    <row r="155" spans="1:30" ht="13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</row>
    <row r="156" spans="1:30" ht="13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</row>
    <row r="157" spans="1:30" ht="13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</row>
    <row r="158" spans="1:30" ht="13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</row>
    <row r="159" spans="1:30" ht="13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</row>
    <row r="160" spans="1:30" ht="13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</row>
    <row r="161" spans="1:30" ht="13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</row>
    <row r="162" spans="1:30" ht="13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</row>
    <row r="163" spans="1:30" ht="1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</row>
    <row r="164" spans="1:30" ht="13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</row>
    <row r="165" spans="1:30" ht="13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</row>
    <row r="166" spans="1:30" ht="13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</row>
    <row r="167" spans="1:30" ht="13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</row>
    <row r="168" spans="1:30" ht="13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</row>
    <row r="169" spans="1:30" ht="13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</row>
    <row r="170" spans="1:30" ht="13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</row>
    <row r="171" spans="1:30" ht="13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</row>
    <row r="172" spans="1:30" ht="13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</row>
    <row r="173" spans="1:30" ht="1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</row>
    <row r="174" spans="1:30" ht="13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</row>
    <row r="175" spans="1:30" ht="13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</row>
    <row r="176" spans="1:30" ht="13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</row>
    <row r="177" spans="1:30" ht="13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</row>
    <row r="178" spans="1:30" ht="13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</row>
    <row r="179" spans="1:30" ht="13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</row>
    <row r="180" spans="1:30" ht="13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</row>
    <row r="181" spans="1:30" ht="13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</row>
    <row r="182" spans="1:30" ht="13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</row>
    <row r="183" spans="1:30" ht="1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</row>
    <row r="184" spans="1:30" ht="13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</row>
    <row r="185" spans="1:30" ht="13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</row>
    <row r="186" spans="1:30" ht="13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</row>
    <row r="187" spans="1:30" ht="13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</row>
    <row r="188" spans="1:30" ht="13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</row>
    <row r="189" spans="1:30" ht="13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</row>
    <row r="190" spans="1:30" ht="13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</row>
    <row r="191" spans="1:30" ht="13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</row>
    <row r="192" spans="1:30" ht="13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</row>
    <row r="193" spans="1:30" ht="1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</row>
    <row r="194" spans="1:30" ht="13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</row>
    <row r="195" spans="1:30" ht="13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</row>
    <row r="196" spans="1:30" ht="13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</row>
    <row r="197" spans="1:30" ht="13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</row>
    <row r="198" spans="1:30" ht="13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</row>
    <row r="199" spans="1:30" ht="13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</row>
    <row r="200" spans="1:30" ht="13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</row>
    <row r="201" spans="1:30" ht="13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</row>
    <row r="202" spans="1:30" ht="13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</row>
    <row r="203" spans="1:30" ht="1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</row>
    <row r="204" spans="1:30" ht="13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</row>
    <row r="205" spans="1:30" ht="13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</row>
    <row r="206" spans="1:30" ht="13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</row>
    <row r="207" spans="1:30" ht="13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</row>
    <row r="208" spans="1:30" ht="13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</row>
    <row r="209" spans="1:30" ht="13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</row>
    <row r="210" spans="1:30" ht="13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</row>
    <row r="211" spans="1:30" ht="13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</row>
    <row r="212" spans="1:30" ht="13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</row>
    <row r="213" spans="1:30" ht="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</row>
    <row r="214" spans="1:30" ht="13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</row>
    <row r="215" spans="1:30" ht="13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</row>
    <row r="216" spans="1:30" ht="13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</row>
    <row r="217" spans="1:30" ht="13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</row>
    <row r="218" spans="1:30" ht="13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</row>
    <row r="219" spans="1:30" ht="13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</row>
    <row r="220" spans="1:30" ht="13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</row>
    <row r="221" spans="1:30" ht="13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</row>
    <row r="222" spans="1:30" ht="13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</row>
    <row r="223" spans="1:30" ht="1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</row>
    <row r="224" spans="1:30" ht="13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</row>
    <row r="225" spans="1:30" ht="13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</row>
    <row r="226" spans="1:30" ht="13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</row>
    <row r="227" spans="1:30" ht="13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</row>
    <row r="228" spans="1:30" ht="13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</row>
    <row r="229" spans="1:30" ht="13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</row>
    <row r="230" spans="1:30" ht="13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</row>
    <row r="231" spans="1:30" ht="13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</row>
    <row r="232" spans="1:30" ht="13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</row>
    <row r="233" spans="1:30" ht="1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</row>
    <row r="234" spans="1:30" ht="13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</row>
    <row r="235" spans="1:30" ht="13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</row>
    <row r="236" spans="1:30" ht="13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</row>
    <row r="237" spans="1:30" ht="13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</row>
    <row r="238" spans="1:30" ht="13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</row>
    <row r="239" spans="1:30" ht="13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</row>
    <row r="240" spans="1:30" ht="13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</row>
    <row r="241" spans="1:30" ht="13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</row>
    <row r="242" spans="1:30" ht="13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</row>
    <row r="243" spans="1:30" ht="1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</row>
    <row r="244" spans="1:30" ht="13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</row>
    <row r="245" spans="1:30" ht="13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</row>
    <row r="246" spans="1:30" ht="13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</row>
    <row r="247" spans="1:30" ht="13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</row>
    <row r="248" spans="1:30" ht="13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</row>
    <row r="249" spans="1:30" ht="13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</row>
    <row r="250" spans="1:30" ht="13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</row>
    <row r="251" spans="1:30" ht="13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</row>
    <row r="252" spans="1:30" ht="13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</row>
    <row r="253" spans="1:30" ht="1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</row>
    <row r="254" spans="1:30" ht="13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</row>
    <row r="255" spans="1:30" ht="13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</row>
    <row r="256" spans="1:30" ht="13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</row>
    <row r="257" spans="1:30" ht="13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</row>
    <row r="258" spans="1:30" ht="13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</row>
    <row r="259" spans="1:30" ht="13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</row>
    <row r="260" spans="1:30" ht="13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</row>
    <row r="261" spans="1:30" ht="13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</row>
    <row r="262" spans="1:30" ht="13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</row>
    <row r="263" spans="1:30" ht="1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</row>
    <row r="264" spans="1:30" ht="13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</row>
    <row r="265" spans="1:30" ht="13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</row>
    <row r="266" spans="1:30" ht="13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</row>
    <row r="267" spans="1:30" ht="13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</row>
    <row r="268" spans="1:30" ht="13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</row>
    <row r="269" spans="1:30" ht="13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</row>
    <row r="270" spans="1:30" ht="13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</row>
    <row r="271" spans="1:30" ht="13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</row>
    <row r="272" spans="1:30" ht="13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</row>
    <row r="273" spans="1:30" ht="1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</row>
    <row r="274" spans="1:30" ht="13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</row>
    <row r="275" spans="1:30" ht="13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</row>
    <row r="276" spans="1:30" ht="13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</row>
    <row r="277" spans="1:30" ht="13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</row>
    <row r="278" spans="1:30" ht="13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</row>
    <row r="279" spans="1:30" ht="13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</row>
    <row r="280" spans="1:30" ht="13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</row>
    <row r="281" spans="1:30" ht="13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</row>
    <row r="282" spans="1:30" ht="13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</row>
    <row r="283" spans="1:30" ht="1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</row>
    <row r="284" spans="1:30" ht="13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</row>
    <row r="285" spans="1:30" ht="13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</row>
    <row r="286" spans="1:30" ht="13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</row>
    <row r="287" spans="1:30" ht="13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</row>
    <row r="288" spans="1:30" ht="13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</row>
    <row r="289" spans="1:30" ht="13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</row>
    <row r="290" spans="1:30" ht="13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</row>
    <row r="291" spans="1:30" ht="13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</row>
    <row r="292" spans="1:30" ht="13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</row>
    <row r="293" spans="1:30" ht="1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</row>
    <row r="294" spans="1:30" ht="13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</row>
    <row r="295" spans="1:30" ht="13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</row>
    <row r="296" spans="1:30" ht="13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</row>
    <row r="297" spans="1:30" ht="13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</row>
    <row r="298" spans="1:30" ht="13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</row>
    <row r="299" spans="1:30" ht="13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</row>
    <row r="300" spans="1:30" ht="13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</row>
    <row r="301" spans="1:30" ht="13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</row>
    <row r="302" spans="1:30" ht="13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</row>
    <row r="303" spans="1:30" ht="1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</row>
    <row r="304" spans="1:30" ht="13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</row>
    <row r="305" spans="1:30" ht="13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</row>
    <row r="306" spans="1:30" ht="13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</row>
    <row r="307" spans="1:30" ht="13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</row>
    <row r="308" spans="1:30" ht="13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</row>
    <row r="309" spans="1:30" ht="13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</row>
    <row r="310" spans="1:30" ht="13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</row>
    <row r="311" spans="1:30" ht="13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</row>
    <row r="312" spans="1:30" ht="13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</row>
    <row r="313" spans="1:30" ht="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</row>
    <row r="314" spans="1:30" ht="13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</row>
    <row r="315" spans="1:30" ht="13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</row>
    <row r="316" spans="1:30" ht="13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</row>
    <row r="317" spans="1:30" ht="13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</row>
    <row r="318" spans="1:30" ht="13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</row>
    <row r="319" spans="1:30" ht="13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</row>
    <row r="320" spans="1:30" ht="13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</row>
    <row r="321" spans="1:30" ht="13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</row>
    <row r="322" spans="1:30" ht="13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</row>
    <row r="323" spans="1:30" ht="1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</row>
    <row r="324" spans="1:30" ht="13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</row>
    <row r="325" spans="1:30" ht="13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</row>
    <row r="326" spans="1:30" ht="13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</row>
    <row r="327" spans="1:30" ht="13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</row>
    <row r="328" spans="1:30" ht="13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</row>
    <row r="329" spans="1:30" ht="13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</row>
    <row r="330" spans="1:30" ht="13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</row>
    <row r="331" spans="1:30" ht="13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</row>
    <row r="332" spans="1:30" ht="13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</row>
    <row r="333" spans="1:30" ht="1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</row>
    <row r="334" spans="1:30" ht="13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</row>
    <row r="335" spans="1:30" ht="13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</row>
    <row r="336" spans="1:30" ht="13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</row>
    <row r="337" spans="1:30" ht="13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</row>
    <row r="338" spans="1:30" ht="13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</row>
    <row r="339" spans="1:30" ht="13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</row>
    <row r="340" spans="1:30" ht="13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</row>
    <row r="341" spans="1:30" ht="13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</row>
    <row r="342" spans="1:30" ht="13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</row>
    <row r="343" spans="1:30" ht="1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</row>
    <row r="344" spans="1:30" ht="13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</row>
    <row r="345" spans="1:30" ht="13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</row>
    <row r="346" spans="1:30" ht="13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</row>
    <row r="347" spans="1:30" ht="13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</row>
    <row r="348" spans="1:30" ht="13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</row>
    <row r="349" spans="1:30" ht="13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</row>
    <row r="350" spans="1:30" ht="13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</row>
    <row r="351" spans="1:30" ht="13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</row>
    <row r="352" spans="1:30" ht="13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</row>
    <row r="353" spans="1:30" ht="1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</row>
    <row r="354" spans="1:30" ht="13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</row>
    <row r="355" spans="1:30" ht="13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</row>
    <row r="356" spans="1:30" ht="13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</row>
    <row r="357" spans="1:30" ht="13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</row>
    <row r="358" spans="1:30" ht="13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</row>
    <row r="359" spans="1:30" ht="13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</row>
    <row r="360" spans="1:30" ht="13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</row>
    <row r="361" spans="1:30" ht="13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</row>
    <row r="362" spans="1:30" ht="13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</row>
    <row r="363" spans="1:30" ht="1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</row>
    <row r="364" spans="1:30" ht="13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</row>
    <row r="365" spans="1:30" ht="13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</row>
    <row r="366" spans="1:30" ht="13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</row>
    <row r="367" spans="1:30" ht="13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</row>
    <row r="368" spans="1:30" ht="13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</row>
    <row r="369" spans="1:30" ht="13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</row>
    <row r="370" spans="1:30" ht="13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</row>
    <row r="371" spans="1:30" ht="13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</row>
    <row r="372" spans="1:30" ht="13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</row>
    <row r="373" spans="1:30" ht="1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</row>
    <row r="374" spans="1:30" ht="13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</row>
    <row r="375" spans="1:30" ht="13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</row>
    <row r="376" spans="1:30" ht="13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</row>
    <row r="377" spans="1:30" ht="13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</row>
    <row r="378" spans="1:30" ht="13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</row>
    <row r="379" spans="1:30" ht="13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</row>
    <row r="380" spans="1:30" ht="13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</row>
    <row r="381" spans="1:30" ht="13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</row>
    <row r="382" spans="1:30" ht="13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</row>
    <row r="383" spans="1:30" ht="1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</row>
    <row r="384" spans="1:30" ht="13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</row>
    <row r="385" spans="1:30" ht="13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</row>
    <row r="386" spans="1:30" ht="13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</row>
    <row r="387" spans="1:30" ht="13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</row>
    <row r="388" spans="1:30" ht="13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</row>
    <row r="389" spans="1:30" ht="13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</row>
    <row r="390" spans="1:30" ht="13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</row>
    <row r="391" spans="1:30" ht="13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</row>
    <row r="392" spans="1:30" ht="13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</row>
    <row r="393" spans="1:30" ht="1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</row>
    <row r="394" spans="1:30" ht="13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</row>
    <row r="395" spans="1:30" ht="13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</row>
    <row r="396" spans="1:30" ht="13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</row>
    <row r="397" spans="1:30" ht="13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</row>
    <row r="398" spans="1:30" ht="13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</row>
    <row r="399" spans="1:30" ht="13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</row>
    <row r="400" spans="1:30" ht="13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</row>
    <row r="401" spans="1:30" ht="13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</row>
    <row r="402" spans="1:30" ht="13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</row>
    <row r="403" spans="1:30" ht="1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</row>
    <row r="404" spans="1:30" ht="13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</row>
    <row r="405" spans="1:30" ht="13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</row>
    <row r="406" spans="1:30" ht="13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</row>
    <row r="407" spans="1:30" ht="13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</row>
    <row r="408" spans="1:30" ht="13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</row>
    <row r="409" spans="1:30" ht="13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</row>
    <row r="410" spans="1:30" ht="13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</row>
    <row r="411" spans="1:30" ht="13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</row>
    <row r="412" spans="1:30" ht="13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</row>
    <row r="413" spans="1:30" ht="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</row>
    <row r="414" spans="1:30" ht="13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</row>
    <row r="415" spans="1:30" ht="13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</row>
    <row r="416" spans="1:30" ht="13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</row>
    <row r="417" spans="1:30" ht="13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</row>
    <row r="418" spans="1:30" ht="13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</row>
    <row r="419" spans="1:30" ht="13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</row>
    <row r="420" spans="1:30" ht="13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</row>
    <row r="421" spans="1:30" ht="13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</row>
    <row r="422" spans="1:30" ht="13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</row>
    <row r="423" spans="1:30" ht="1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</row>
    <row r="424" spans="1:30" ht="13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</row>
    <row r="425" spans="1:30" ht="13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</row>
    <row r="426" spans="1:30" ht="13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</row>
    <row r="427" spans="1:30" ht="13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</row>
    <row r="428" spans="1:30" ht="13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</row>
    <row r="429" spans="1:30" ht="13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</row>
    <row r="430" spans="1:30" ht="13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</row>
    <row r="431" spans="1:30" ht="13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</row>
    <row r="432" spans="1:30" ht="13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</row>
    <row r="433" spans="1:30" ht="1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</row>
    <row r="434" spans="1:30" ht="13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</row>
    <row r="435" spans="1:30" ht="13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</row>
    <row r="436" spans="1:30" ht="13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</row>
    <row r="437" spans="1:30" ht="13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</row>
    <row r="438" spans="1:30" ht="13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</row>
    <row r="439" spans="1:30" ht="13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</row>
    <row r="440" spans="1:30" ht="13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</row>
    <row r="441" spans="1:30" ht="13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</row>
    <row r="442" spans="1:30" ht="13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</row>
    <row r="443" spans="1:30" ht="1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</row>
    <row r="444" spans="1:30" ht="13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</row>
    <row r="445" spans="1:30" ht="13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</row>
    <row r="446" spans="1:30" ht="13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</row>
    <row r="447" spans="1:30" ht="13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</row>
    <row r="448" spans="1:30" ht="13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</row>
    <row r="449" spans="1:30" ht="13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</row>
    <row r="450" spans="1:30" ht="13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</row>
    <row r="451" spans="1:30" ht="13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</row>
    <row r="452" spans="1:30" ht="13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</row>
    <row r="453" spans="1:30" ht="1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</row>
    <row r="454" spans="1:30" ht="13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</row>
    <row r="455" spans="1:30" ht="13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</row>
    <row r="456" spans="1:30" ht="13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</row>
    <row r="457" spans="1:30" ht="13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</row>
    <row r="458" spans="1:30" ht="13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</row>
    <row r="459" spans="1:30" ht="13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</row>
    <row r="460" spans="1:30" ht="13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</row>
    <row r="461" spans="1:30" ht="13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</row>
    <row r="462" spans="1:30" ht="13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</row>
    <row r="463" spans="1:30" ht="1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</row>
    <row r="464" spans="1:30" ht="13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</row>
    <row r="465" spans="1:30" ht="13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</row>
    <row r="466" spans="1:30" ht="13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</row>
    <row r="467" spans="1:30" ht="13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</row>
    <row r="468" spans="1:30" ht="13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</row>
    <row r="469" spans="1:30" ht="13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</row>
    <row r="470" spans="1:30" ht="13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</row>
    <row r="471" spans="1:30" ht="13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</row>
    <row r="472" spans="1:30" ht="13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</row>
    <row r="473" spans="1:30" ht="1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</row>
    <row r="474" spans="1:30" ht="13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</row>
    <row r="475" spans="1:30" ht="13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</row>
    <row r="476" spans="1:30" ht="13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</row>
    <row r="477" spans="1:30" ht="13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</row>
    <row r="478" spans="1:30" ht="13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</row>
    <row r="479" spans="1:30" ht="13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</row>
    <row r="480" spans="1:30" ht="13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</row>
    <row r="481" spans="1:30" ht="13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</row>
    <row r="482" spans="1:30" ht="13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</row>
    <row r="483" spans="1:30" ht="1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</row>
    <row r="484" spans="1:30" ht="13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</row>
    <row r="485" spans="1:30" ht="13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</row>
    <row r="486" spans="1:30" ht="13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</row>
    <row r="487" spans="1:30" ht="13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</row>
    <row r="488" spans="1:30" ht="13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</row>
    <row r="489" spans="1:30" ht="13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</row>
    <row r="490" spans="1:30" ht="13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</row>
    <row r="491" spans="1:30" ht="13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</row>
    <row r="492" spans="1:30" ht="13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</row>
    <row r="493" spans="1:30" ht="1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</row>
    <row r="494" spans="1:30" ht="13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</row>
    <row r="495" spans="1:30" ht="13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</row>
    <row r="496" spans="1:30" ht="13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</row>
    <row r="497" spans="1:30" ht="13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</row>
    <row r="498" spans="1:30" ht="13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</row>
    <row r="499" spans="1:30" ht="13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</row>
    <row r="500" spans="1:30" ht="13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</row>
    <row r="501" spans="1:30" ht="13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</row>
    <row r="502" spans="1:30" ht="13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</row>
    <row r="503" spans="1:30" ht="1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</row>
    <row r="504" spans="1:30" ht="13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</row>
    <row r="505" spans="1:30" ht="13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</row>
    <row r="506" spans="1:30" ht="13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</row>
    <row r="507" spans="1:30" ht="13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</row>
    <row r="508" spans="1:30" ht="13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</row>
    <row r="509" spans="1:30" ht="13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</row>
    <row r="510" spans="1:30" ht="13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</row>
    <row r="511" spans="1:30" ht="13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</row>
    <row r="512" spans="1:30" ht="13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</row>
    <row r="513" spans="1:30" ht="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</row>
    <row r="514" spans="1:30" ht="13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</row>
    <row r="515" spans="1:30" ht="13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</row>
    <row r="516" spans="1:30" ht="13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</row>
    <row r="517" spans="1:30" ht="13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</row>
    <row r="518" spans="1:30" ht="13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</row>
    <row r="519" spans="1:30" ht="13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</row>
    <row r="520" spans="1:30" ht="13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</row>
    <row r="521" spans="1:30" ht="13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</row>
    <row r="522" spans="1:30" ht="13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</row>
    <row r="523" spans="1:30" ht="1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</row>
    <row r="524" spans="1:30" ht="13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</row>
    <row r="525" spans="1:30" ht="13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</row>
    <row r="526" spans="1:30" ht="13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</row>
    <row r="527" spans="1:30" ht="13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</row>
    <row r="528" spans="1:30" ht="13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</row>
    <row r="529" spans="1:30" ht="13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</row>
    <row r="530" spans="1:30" ht="13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</row>
    <row r="531" spans="1:30" ht="13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</row>
    <row r="532" spans="1:30" ht="13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</row>
    <row r="533" spans="1:30" ht="1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</row>
    <row r="534" spans="1:30" ht="13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</row>
    <row r="535" spans="1:30" ht="13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</row>
    <row r="536" spans="1:30" ht="13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</row>
    <row r="537" spans="1:30" ht="13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</row>
    <row r="538" spans="1:30" ht="13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</row>
    <row r="539" spans="1:30" ht="13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</row>
    <row r="540" spans="1:30" ht="13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</row>
    <row r="541" spans="1:30" ht="13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</row>
    <row r="542" spans="1:30" ht="13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</row>
    <row r="543" spans="1:30" ht="1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</row>
    <row r="544" spans="1:30" ht="13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</row>
    <row r="545" spans="1:30" ht="13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</row>
    <row r="546" spans="1:30" ht="13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</row>
    <row r="547" spans="1:30" ht="13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</row>
    <row r="548" spans="1:30" ht="13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</row>
    <row r="549" spans="1:30" ht="13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</row>
    <row r="550" spans="1:30" ht="13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</row>
    <row r="551" spans="1:30" ht="13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</row>
    <row r="552" spans="1:30" ht="13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</row>
    <row r="553" spans="1:30" ht="1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</row>
    <row r="554" spans="1:30" ht="13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</row>
    <row r="555" spans="1:30" ht="13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</row>
    <row r="556" spans="1:30" ht="13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</row>
    <row r="557" spans="1:30" ht="13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</row>
    <row r="558" spans="1:30" ht="13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</row>
    <row r="559" spans="1:30" ht="13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</row>
    <row r="560" spans="1:30" ht="13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</row>
    <row r="561" spans="1:30" ht="13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</row>
    <row r="562" spans="1:30" ht="13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</row>
    <row r="563" spans="1:30" ht="1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</row>
    <row r="564" spans="1:30" ht="13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</row>
    <row r="565" spans="1:30" ht="13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</row>
    <row r="566" spans="1:30" ht="13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</row>
    <row r="567" spans="1:30" ht="13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</row>
    <row r="568" spans="1:30" ht="13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</row>
    <row r="569" spans="1:30" ht="13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</row>
    <row r="570" spans="1:30" ht="13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</row>
    <row r="571" spans="1:30" ht="13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</row>
    <row r="572" spans="1:30" ht="13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</row>
    <row r="573" spans="1:30" ht="1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</row>
    <row r="574" spans="1:30" ht="13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</row>
    <row r="575" spans="1:30" ht="13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</row>
    <row r="576" spans="1:30" ht="13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</row>
    <row r="577" spans="1:30" ht="13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</row>
    <row r="578" spans="1:30" ht="13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</row>
    <row r="579" spans="1:30" ht="13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</row>
    <row r="580" spans="1:30" ht="13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</row>
    <row r="581" spans="1:30" ht="13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</row>
    <row r="582" spans="1:30" ht="13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</row>
    <row r="583" spans="1:30" ht="1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</row>
    <row r="584" spans="1:30" ht="13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</row>
    <row r="585" spans="1:30" ht="13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</row>
    <row r="586" spans="1:30" ht="13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</row>
    <row r="587" spans="1:30" ht="13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</row>
    <row r="588" spans="1:30" ht="13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</row>
    <row r="589" spans="1:30" ht="13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</row>
    <row r="590" spans="1:30" ht="13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</row>
    <row r="591" spans="1:30" ht="13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</row>
    <row r="592" spans="1:30" ht="13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</row>
    <row r="593" spans="1:30" ht="1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</row>
    <row r="594" spans="1:30" ht="13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</row>
    <row r="595" spans="1:30" ht="13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</row>
    <row r="596" spans="1:30" ht="13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</row>
    <row r="597" spans="1:30" ht="13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</row>
    <row r="598" spans="1:30" ht="13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</row>
    <row r="599" spans="1:30" ht="13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</row>
    <row r="600" spans="1:30" ht="13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</row>
    <row r="601" spans="1:30" ht="13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</row>
    <row r="602" spans="1:30" ht="13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</row>
    <row r="603" spans="1:30" ht="1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</row>
    <row r="604" spans="1:30" ht="13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</row>
    <row r="605" spans="1:30" ht="13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</row>
    <row r="606" spans="1:30" ht="13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</row>
    <row r="607" spans="1:30" ht="13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</row>
    <row r="608" spans="1:30" ht="13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</row>
    <row r="609" spans="1:30" ht="13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</row>
    <row r="610" spans="1:30" ht="13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</row>
    <row r="611" spans="1:30" ht="13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</row>
    <row r="612" spans="1:30" ht="13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</row>
    <row r="613" spans="1:30" ht="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</row>
    <row r="614" spans="1:30" ht="13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</row>
    <row r="615" spans="1:30" ht="13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</row>
    <row r="616" spans="1:30" ht="13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</row>
    <row r="617" spans="1:30" ht="13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</row>
    <row r="618" spans="1:30" ht="13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</row>
    <row r="619" spans="1:30" ht="13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</row>
    <row r="620" spans="1:30" ht="13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</row>
    <row r="621" spans="1:30" ht="13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</row>
    <row r="622" spans="1:30" ht="13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</row>
    <row r="623" spans="1:30" ht="1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</row>
    <row r="624" spans="1:30" ht="13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</row>
    <row r="625" spans="1:30" ht="13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</row>
    <row r="626" spans="1:30" ht="13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</row>
    <row r="627" spans="1:30" ht="13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</row>
    <row r="628" spans="1:30" ht="13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</row>
    <row r="629" spans="1:30" ht="13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</row>
    <row r="630" spans="1:30" ht="13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</row>
    <row r="631" spans="1:30" ht="13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</row>
    <row r="632" spans="1:30" ht="13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</row>
    <row r="633" spans="1:30" ht="1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</row>
    <row r="634" spans="1:30" ht="13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</row>
    <row r="635" spans="1:30" ht="13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</row>
    <row r="636" spans="1:30" ht="13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</row>
    <row r="637" spans="1:30" ht="13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</row>
    <row r="638" spans="1:30" ht="13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</row>
    <row r="639" spans="1:30" ht="13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</row>
    <row r="640" spans="1:30" ht="13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</row>
    <row r="641" spans="1:30" ht="13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</row>
    <row r="642" spans="1:30" ht="13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</row>
    <row r="643" spans="1:30" ht="1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</row>
    <row r="644" spans="1:30" ht="13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</row>
    <row r="645" spans="1:30" ht="13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</row>
    <row r="646" spans="1:30" ht="13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</row>
    <row r="647" spans="1:30" ht="13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</row>
    <row r="648" spans="1:30" ht="13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</row>
    <row r="649" spans="1:30" ht="13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</row>
    <row r="650" spans="1:30" ht="13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</row>
    <row r="651" spans="1:30" ht="13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</row>
    <row r="652" spans="1:30" ht="13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</row>
    <row r="653" spans="1:30" ht="1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</row>
    <row r="654" spans="1:30" ht="13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</row>
    <row r="655" spans="1:30" ht="13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</row>
    <row r="656" spans="1:30" ht="13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</row>
    <row r="657" spans="1:30" ht="13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</row>
    <row r="658" spans="1:30" ht="13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</row>
    <row r="659" spans="1:30" ht="13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</row>
    <row r="660" spans="1:30" ht="13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</row>
    <row r="661" spans="1:30" ht="13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</row>
    <row r="662" spans="1:30" ht="13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</row>
    <row r="663" spans="1:30" ht="1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</row>
    <row r="664" spans="1:30" ht="13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</row>
    <row r="665" spans="1:30" ht="13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</row>
    <row r="666" spans="1:30" ht="13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</row>
    <row r="667" spans="1:30" ht="13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</row>
    <row r="668" spans="1:30" ht="13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</row>
    <row r="669" spans="1:30" ht="13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</row>
    <row r="670" spans="1:30" ht="13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</row>
    <row r="671" spans="1:30" ht="13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</row>
    <row r="672" spans="1:30" ht="13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</row>
    <row r="673" spans="1:30" ht="1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</row>
    <row r="674" spans="1:30" ht="13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</row>
    <row r="675" spans="1:30" ht="13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</row>
    <row r="676" spans="1:30" ht="13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</row>
    <row r="677" spans="1:30" ht="13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</row>
    <row r="678" spans="1:30" ht="13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</row>
    <row r="679" spans="1:30" ht="13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</row>
    <row r="680" spans="1:30" ht="13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</row>
    <row r="681" spans="1:30" ht="13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</row>
    <row r="682" spans="1:30" ht="13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</row>
    <row r="683" spans="1:30" ht="1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</row>
    <row r="684" spans="1:30" ht="13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</row>
    <row r="685" spans="1:30" ht="13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</row>
    <row r="686" spans="1:30" ht="13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</row>
    <row r="687" spans="1:30" ht="13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</row>
    <row r="688" spans="1:30" ht="13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</row>
    <row r="689" spans="1:30" ht="13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</row>
    <row r="690" spans="1:30" ht="13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</row>
    <row r="691" spans="1:30" ht="13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</row>
    <row r="692" spans="1:30" ht="13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</row>
    <row r="693" spans="1:30" ht="1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</row>
    <row r="694" spans="1:30" ht="13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</row>
    <row r="695" spans="1:30" ht="13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</row>
    <row r="696" spans="1:30" ht="13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</row>
    <row r="697" spans="1:30" ht="13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</row>
    <row r="698" spans="1:30" ht="13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</row>
    <row r="699" spans="1:30" ht="13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</row>
    <row r="700" spans="1:30" ht="13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</row>
    <row r="701" spans="1:30" ht="13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</row>
    <row r="702" spans="1:30" ht="13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</row>
    <row r="703" spans="1:30" ht="1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</row>
    <row r="704" spans="1:30" ht="13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</row>
    <row r="705" spans="1:30" ht="13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</row>
    <row r="706" spans="1:30" ht="13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</row>
    <row r="707" spans="1:30" ht="13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</row>
    <row r="708" spans="1:30" ht="13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</row>
    <row r="709" spans="1:30" ht="13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</row>
    <row r="710" spans="1:30" ht="13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</row>
    <row r="711" spans="1:30" ht="13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</row>
    <row r="712" spans="1:30" ht="13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</row>
    <row r="713" spans="1:30" ht="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</row>
    <row r="714" spans="1:30" ht="13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</row>
    <row r="715" spans="1:30" ht="13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</row>
    <row r="716" spans="1:30" ht="13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</row>
    <row r="717" spans="1:30" ht="13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</row>
    <row r="718" spans="1:30" ht="13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</row>
    <row r="719" spans="1:30" ht="13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</row>
    <row r="720" spans="1:30" ht="13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</row>
    <row r="721" spans="1:30" ht="13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</row>
    <row r="722" spans="1:30" ht="13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</row>
    <row r="723" spans="1:30" ht="1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</row>
    <row r="724" spans="1:30" ht="13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</row>
    <row r="725" spans="1:30" ht="13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</row>
    <row r="726" spans="1:30" ht="13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</row>
    <row r="727" spans="1:30" ht="13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</row>
    <row r="728" spans="1:30" ht="13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</row>
    <row r="729" spans="1:30" ht="13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</row>
    <row r="730" spans="1:30" ht="13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</row>
    <row r="731" spans="1:30" ht="13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</row>
    <row r="732" spans="1:30" ht="13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</row>
    <row r="733" spans="1:30" ht="1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</row>
    <row r="734" spans="1:30" ht="13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</row>
    <row r="735" spans="1:30" ht="13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</row>
    <row r="736" spans="1:30" ht="13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</row>
    <row r="737" spans="1:30" ht="13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</row>
    <row r="738" spans="1:30" ht="13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</row>
    <row r="739" spans="1:30" ht="13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</row>
    <row r="740" spans="1:30" ht="13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</row>
    <row r="741" spans="1:30" ht="13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</row>
    <row r="742" spans="1:30" ht="13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</row>
    <row r="743" spans="1:30" ht="1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</row>
    <row r="744" spans="1:30" ht="13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</row>
    <row r="745" spans="1:30" ht="13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</row>
    <row r="746" spans="1:30" ht="13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</row>
    <row r="747" spans="1:30" ht="13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</row>
    <row r="748" spans="1:30" ht="13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</row>
    <row r="749" spans="1:30" ht="13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</row>
    <row r="750" spans="1:30" ht="13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</row>
    <row r="751" spans="1:30" ht="13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</row>
    <row r="752" spans="1:30" ht="13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</row>
    <row r="753" spans="1:30" ht="1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</row>
    <row r="754" spans="1:30" ht="13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</row>
    <row r="755" spans="1:30" ht="13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</row>
    <row r="756" spans="1:30" ht="13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</row>
    <row r="757" spans="1:30" ht="13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</row>
    <row r="758" spans="1:30" ht="13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</row>
    <row r="759" spans="1:30" ht="13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</row>
    <row r="760" spans="1:30" ht="13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</row>
    <row r="761" spans="1:30" ht="13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</row>
    <row r="762" spans="1:30" ht="13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</row>
    <row r="763" spans="1:30" ht="1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</row>
    <row r="764" spans="1:30" ht="13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</row>
    <row r="765" spans="1:30" ht="13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</row>
    <row r="766" spans="1:30" ht="13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</row>
    <row r="767" spans="1:30" ht="13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</row>
    <row r="768" spans="1:30" ht="13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</row>
    <row r="769" spans="1:30" ht="13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</row>
    <row r="770" spans="1:30" ht="13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</row>
    <row r="771" spans="1:30" ht="13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</row>
    <row r="772" spans="1:30" ht="13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</row>
    <row r="773" spans="1:30" ht="1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</row>
    <row r="774" spans="1:30" ht="13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</row>
    <row r="775" spans="1:30" ht="13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</row>
    <row r="776" spans="1:30" ht="13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</row>
    <row r="777" spans="1:30" ht="13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</row>
    <row r="778" spans="1:30" ht="13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</row>
    <row r="779" spans="1:30" ht="13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</row>
    <row r="780" spans="1:30" ht="13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</row>
    <row r="781" spans="1:30" ht="13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</row>
    <row r="782" spans="1:30" ht="13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</row>
    <row r="783" spans="1:30" ht="1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</row>
    <row r="784" spans="1:30" ht="13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</row>
    <row r="785" spans="1:30" ht="13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</row>
    <row r="786" spans="1:30" ht="13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</row>
    <row r="787" spans="1:30" ht="13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</row>
    <row r="788" spans="1:30" ht="13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</row>
    <row r="789" spans="1:30" ht="13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</row>
    <row r="790" spans="1:30" ht="13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</row>
    <row r="791" spans="1:30" ht="13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</row>
    <row r="792" spans="1:30" ht="13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</row>
    <row r="793" spans="1:30" ht="1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</row>
    <row r="794" spans="1:30" ht="13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</row>
    <row r="795" spans="1:30" ht="13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</row>
    <row r="796" spans="1:30" ht="13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</row>
    <row r="797" spans="1:30" ht="13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</row>
    <row r="798" spans="1:30" ht="13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</row>
    <row r="799" spans="1:30" ht="13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</row>
    <row r="800" spans="1:30" ht="13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</row>
    <row r="801" spans="1:30" ht="13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</row>
    <row r="802" spans="1:30" ht="13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</row>
    <row r="803" spans="1:30" ht="1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</row>
    <row r="804" spans="1:30" ht="13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</row>
    <row r="805" spans="1:30" ht="13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</row>
    <row r="806" spans="1:30" ht="13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</row>
    <row r="807" spans="1:30" ht="13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</row>
    <row r="808" spans="1:30" ht="13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</row>
    <row r="809" spans="1:30" ht="13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</row>
    <row r="810" spans="1:30" ht="13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</row>
    <row r="811" spans="1:30" ht="13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</row>
    <row r="812" spans="1:30" ht="13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</row>
    <row r="813" spans="1:30" ht="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</row>
    <row r="814" spans="1:30" ht="13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</row>
    <row r="815" spans="1:30" ht="13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</row>
    <row r="816" spans="1:30" ht="13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</row>
    <row r="817" spans="1:30" ht="13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</row>
    <row r="818" spans="1:30" ht="13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</row>
    <row r="819" spans="1:30" ht="13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</row>
    <row r="820" spans="1:30" ht="13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</row>
    <row r="821" spans="1:30" ht="13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</row>
    <row r="822" spans="1:30" ht="13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</row>
    <row r="823" spans="1:30" ht="1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</row>
    <row r="824" spans="1:30" ht="13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</row>
    <row r="825" spans="1:30" ht="13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</row>
    <row r="826" spans="1:30" ht="13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</row>
    <row r="827" spans="1:30" ht="13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</row>
    <row r="828" spans="1:30" ht="13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</row>
    <row r="829" spans="1:30" ht="13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</row>
    <row r="830" spans="1:30" ht="13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</row>
    <row r="831" spans="1:30" ht="13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</row>
    <row r="832" spans="1:30" ht="13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</row>
    <row r="833" spans="1:30" ht="1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</row>
    <row r="834" spans="1:30" ht="13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</row>
    <row r="835" spans="1:30" ht="13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</row>
    <row r="836" spans="1:30" ht="13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</row>
    <row r="837" spans="1:30" ht="13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</row>
    <row r="838" spans="1:30" ht="13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</row>
    <row r="839" spans="1:30" ht="13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</row>
    <row r="840" spans="1:30" ht="13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</row>
    <row r="841" spans="1:30" ht="13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</row>
    <row r="842" spans="1:30" ht="13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</row>
    <row r="843" spans="1:30" ht="1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</row>
    <row r="844" spans="1:30" ht="13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</row>
    <row r="845" spans="1:30" ht="13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</row>
    <row r="846" spans="1:30" ht="13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</row>
    <row r="847" spans="1:30" ht="13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</row>
    <row r="848" spans="1:30" ht="13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</row>
    <row r="849" spans="1:30" ht="13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</row>
    <row r="850" spans="1:30" ht="13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</row>
    <row r="851" spans="1:30" ht="13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</row>
    <row r="852" spans="1:30" ht="13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</row>
    <row r="853" spans="1:30" ht="1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</row>
    <row r="854" spans="1:30" ht="13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</row>
    <row r="855" spans="1:30" ht="13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</row>
    <row r="856" spans="1:30" ht="13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</row>
    <row r="857" spans="1:30" ht="13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</row>
    <row r="858" spans="1:30" ht="13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</row>
    <row r="859" spans="1:30" ht="13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</row>
    <row r="860" spans="1:30" ht="13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</row>
    <row r="861" spans="1:30" ht="13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</row>
    <row r="862" spans="1:30" ht="13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</row>
    <row r="863" spans="1:30" ht="1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</row>
    <row r="864" spans="1:30" ht="13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</row>
    <row r="865" spans="1:30" ht="13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</row>
    <row r="866" spans="1:30" ht="13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</row>
    <row r="867" spans="1:30" ht="13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</row>
    <row r="868" spans="1:30" ht="13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</row>
    <row r="869" spans="1:30" ht="13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</row>
    <row r="870" spans="1:30" ht="13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</row>
    <row r="871" spans="1:30" ht="13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</row>
    <row r="872" spans="1:30" ht="13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</row>
    <row r="873" spans="1:30" ht="1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</row>
    <row r="874" spans="1:30" ht="13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</row>
    <row r="875" spans="1:30" ht="13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</row>
    <row r="876" spans="1:30" ht="13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</row>
    <row r="877" spans="1:30" ht="13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</row>
    <row r="878" spans="1:30" ht="13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</row>
    <row r="879" spans="1:30" ht="13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</row>
    <row r="880" spans="1:30" ht="13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</row>
    <row r="881" spans="1:30" ht="13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</row>
    <row r="882" spans="1:30" ht="13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</row>
    <row r="883" spans="1:30" ht="1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</row>
    <row r="884" spans="1:30" ht="13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</row>
    <row r="885" spans="1:30" ht="13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</row>
    <row r="886" spans="1:30" ht="13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</row>
    <row r="887" spans="1:30" ht="13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</row>
    <row r="888" spans="1:30" ht="13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</row>
    <row r="889" spans="1:30" ht="13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</row>
    <row r="890" spans="1:30" ht="13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</row>
    <row r="891" spans="1:30" ht="13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</row>
    <row r="892" spans="1:30" ht="13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</row>
    <row r="893" spans="1:30" ht="1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</row>
    <row r="894" spans="1:30" ht="13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</row>
    <row r="895" spans="1:30" ht="13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</row>
    <row r="896" spans="1:30" ht="13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</row>
    <row r="897" spans="1:30" ht="13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</row>
    <row r="898" spans="1:30" ht="13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</row>
    <row r="899" spans="1:30" ht="13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</row>
    <row r="900" spans="1:30" ht="13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</row>
    <row r="901" spans="1:30" ht="13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</row>
    <row r="902" spans="1:30" ht="13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</row>
    <row r="903" spans="1:30" ht="1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</row>
    <row r="904" spans="1:30" ht="13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</row>
    <row r="905" spans="1:30" ht="13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</row>
    <row r="906" spans="1:30" ht="13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</row>
    <row r="907" spans="1:30" ht="13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</row>
    <row r="908" spans="1:30" ht="13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</row>
    <row r="909" spans="1:30" ht="13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</row>
    <row r="910" spans="1:30" ht="13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</row>
    <row r="911" spans="1:30" ht="13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</row>
    <row r="912" spans="1:30" ht="13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</row>
    <row r="913" spans="1:30" ht="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</row>
    <row r="914" spans="1:30" ht="13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</row>
    <row r="915" spans="1:30" ht="13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</row>
    <row r="916" spans="1:30" ht="13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</row>
    <row r="917" spans="1:30" ht="13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</row>
    <row r="918" spans="1:30" ht="13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</row>
    <row r="919" spans="1:30" ht="13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</row>
    <row r="920" spans="1:30" ht="13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</row>
    <row r="921" spans="1:30" ht="13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</row>
    <row r="922" spans="1:30" ht="13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</row>
    <row r="923" spans="1:30" ht="1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</row>
    <row r="924" spans="1:30" ht="13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</row>
    <row r="925" spans="1:30" ht="13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</row>
    <row r="926" spans="1:30" ht="13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</row>
    <row r="927" spans="1:30" ht="13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</row>
    <row r="928" spans="1:30" ht="13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</row>
    <row r="929" spans="1:30" ht="13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</row>
    <row r="930" spans="1:30" ht="13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</row>
    <row r="931" spans="1:30" ht="13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</row>
    <row r="932" spans="1:30" ht="13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</row>
    <row r="933" spans="1:30" ht="1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</row>
    <row r="934" spans="1:30" ht="13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</row>
    <row r="935" spans="1:30" ht="13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</row>
    <row r="936" spans="1:30" ht="13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</row>
    <row r="937" spans="1:30" ht="13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</row>
    <row r="938" spans="1:30" ht="13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</row>
    <row r="939" spans="1:30" ht="13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</row>
    <row r="940" spans="1:30" ht="13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</row>
    <row r="941" spans="1:30" ht="13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</row>
    <row r="942" spans="1:30" ht="13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</row>
    <row r="943" spans="1:30" ht="1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</row>
    <row r="944" spans="1:30" ht="13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</row>
    <row r="945" spans="1:30" ht="13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</row>
    <row r="946" spans="1:30" ht="13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</row>
    <row r="947" spans="1:30" ht="13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</row>
  </sheetData>
  <mergeCells count="1">
    <mergeCell ref="A23:D23"/>
  </mergeCells>
  <pageMargins left="0.7" right="0.7" top="0.75" bottom="0.75" header="0.3" footer="0.3"/>
  <pageSetup paperSize="9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A20"/>
  <sheetViews>
    <sheetView workbookViewId="0"/>
  </sheetViews>
  <sheetFormatPr baseColWidth="10" defaultColWidth="12.6640625" defaultRowHeight="15.75" customHeight="1"/>
  <cols>
    <col min="1" max="1" width="6.33203125" customWidth="1"/>
    <col min="13" max="13" width="8.83203125" customWidth="1"/>
    <col min="14" max="14" width="8.6640625" customWidth="1"/>
  </cols>
  <sheetData>
    <row r="1" spans="1:27" ht="15.75" customHeight="1">
      <c r="A1" s="60" t="s">
        <v>119</v>
      </c>
      <c r="B1" s="27"/>
      <c r="C1" s="27">
        <v>1</v>
      </c>
      <c r="D1" s="27">
        <v>2</v>
      </c>
      <c r="E1" s="27">
        <v>3</v>
      </c>
      <c r="F1" s="27">
        <v>4</v>
      </c>
      <c r="G1" s="27">
        <v>5</v>
      </c>
      <c r="H1" s="27">
        <v>6</v>
      </c>
      <c r="I1" s="27">
        <v>7</v>
      </c>
      <c r="J1" s="27">
        <v>8</v>
      </c>
      <c r="K1" s="27">
        <v>9</v>
      </c>
      <c r="L1" s="27">
        <v>10</v>
      </c>
      <c r="M1" s="27">
        <v>11</v>
      </c>
      <c r="N1" s="27">
        <v>12</v>
      </c>
      <c r="O1" s="27" t="s">
        <v>271</v>
      </c>
      <c r="P1" s="59"/>
      <c r="Q1" s="59"/>
      <c r="R1" s="59"/>
      <c r="S1" s="59"/>
      <c r="T1" s="59"/>
      <c r="U1" s="59"/>
    </row>
    <row r="2" spans="1:27" ht="15.75" customHeight="1">
      <c r="A2" s="60" t="s">
        <v>41</v>
      </c>
      <c r="B2" s="27" t="s">
        <v>272</v>
      </c>
      <c r="C2" s="27">
        <v>1437.72</v>
      </c>
      <c r="D2" s="27">
        <v>1437.72</v>
      </c>
      <c r="E2" s="27">
        <v>1437.72</v>
      </c>
      <c r="F2" s="27">
        <v>1437.72</v>
      </c>
      <c r="G2" s="27">
        <v>1437.72</v>
      </c>
      <c r="H2" s="27">
        <v>1437.72</v>
      </c>
      <c r="I2" s="27">
        <v>1437.72</v>
      </c>
      <c r="J2" s="27">
        <v>1437.72</v>
      </c>
      <c r="K2" s="27">
        <v>1437.72</v>
      </c>
      <c r="L2" s="27">
        <f>-1066.7-1437.72</f>
        <v>-2504.42</v>
      </c>
      <c r="M2" s="27"/>
      <c r="N2" s="27"/>
      <c r="O2" s="27">
        <f t="shared" ref="O2:O18" si="0">SUM(B2:N2)</f>
        <v>10435.059999999998</v>
      </c>
      <c r="P2" s="59"/>
      <c r="Q2" s="59"/>
      <c r="R2" s="59"/>
      <c r="S2" s="59"/>
      <c r="T2" s="59"/>
      <c r="U2" s="59"/>
    </row>
    <row r="3" spans="1:27" ht="15.75" customHeight="1">
      <c r="A3" s="60" t="s">
        <v>41</v>
      </c>
      <c r="B3" s="27" t="s">
        <v>273</v>
      </c>
      <c r="C3" s="27">
        <v>1061.78</v>
      </c>
      <c r="D3" s="27">
        <v>1061.78</v>
      </c>
      <c r="E3" s="27">
        <v>1061.78</v>
      </c>
      <c r="F3" s="27">
        <v>1061.78</v>
      </c>
      <c r="G3" s="27">
        <v>1061.78</v>
      </c>
      <c r="H3" s="27">
        <v>1061.78</v>
      </c>
      <c r="I3" s="27">
        <v>1061.78</v>
      </c>
      <c r="J3" s="27">
        <v>1061.78</v>
      </c>
      <c r="K3" s="27">
        <v>1061.78</v>
      </c>
      <c r="L3" s="27">
        <f>-787.77-1061.78</f>
        <v>-1849.55</v>
      </c>
      <c r="M3" s="27"/>
      <c r="N3" s="27"/>
      <c r="O3" s="27">
        <f t="shared" si="0"/>
        <v>7706.47</v>
      </c>
      <c r="P3" s="59"/>
      <c r="Q3" s="59"/>
      <c r="R3" s="59"/>
      <c r="S3" s="59"/>
      <c r="T3" s="59"/>
      <c r="U3" s="59"/>
    </row>
    <row r="4" spans="1:27" ht="15.75" customHeight="1">
      <c r="A4" s="272" t="s">
        <v>50</v>
      </c>
      <c r="B4" s="273" t="s">
        <v>274</v>
      </c>
      <c r="C4" s="273">
        <v>1934.79</v>
      </c>
      <c r="D4" s="273">
        <v>1934.79</v>
      </c>
      <c r="E4" s="273">
        <v>1934.79</v>
      </c>
      <c r="F4" s="273">
        <v>1934.79</v>
      </c>
      <c r="G4" s="273">
        <v>1934.79</v>
      </c>
      <c r="H4" s="273">
        <f>-1934.79-1934.79</f>
        <v>-3869.58</v>
      </c>
      <c r="I4" s="273"/>
      <c r="J4" s="273"/>
      <c r="K4" s="273"/>
      <c r="L4" s="273"/>
      <c r="M4" s="273"/>
      <c r="N4" s="273"/>
      <c r="O4" s="273">
        <f t="shared" si="0"/>
        <v>5804.3700000000008</v>
      </c>
      <c r="P4" s="59"/>
      <c r="Q4" s="59"/>
      <c r="R4" s="59"/>
      <c r="S4" s="59"/>
      <c r="T4" s="59"/>
      <c r="U4" s="59"/>
      <c r="V4" s="272"/>
      <c r="W4" s="272"/>
      <c r="X4" s="272"/>
      <c r="Y4" s="272"/>
      <c r="Z4" s="272"/>
      <c r="AA4" s="272"/>
    </row>
    <row r="5" spans="1:27" ht="15.75" customHeight="1">
      <c r="A5" s="272" t="s">
        <v>50</v>
      </c>
      <c r="B5" s="273" t="s">
        <v>275</v>
      </c>
      <c r="C5" s="273">
        <v>3289.14</v>
      </c>
      <c r="D5" s="273">
        <v>3289.14</v>
      </c>
      <c r="E5" s="273">
        <v>3289.14</v>
      </c>
      <c r="F5" s="273">
        <v>3289.14</v>
      </c>
      <c r="G5" s="273">
        <v>3289.14</v>
      </c>
      <c r="H5" s="273">
        <f>-3289.14-3289.14</f>
        <v>-6578.28</v>
      </c>
      <c r="I5" s="273"/>
      <c r="J5" s="273"/>
      <c r="K5" s="273"/>
      <c r="L5" s="273"/>
      <c r="M5" s="273"/>
      <c r="N5" s="273"/>
      <c r="O5" s="273">
        <f t="shared" si="0"/>
        <v>9867.4200000000019</v>
      </c>
      <c r="P5" s="59"/>
      <c r="Q5" s="59"/>
      <c r="R5" s="59"/>
      <c r="S5" s="59"/>
      <c r="T5" s="59"/>
      <c r="U5" s="59"/>
      <c r="V5" s="272"/>
      <c r="W5" s="272"/>
      <c r="X5" s="272"/>
      <c r="Y5" s="272"/>
      <c r="Z5" s="272"/>
      <c r="AA5" s="272"/>
    </row>
    <row r="6" spans="1:27" ht="15.75" customHeight="1">
      <c r="A6" s="272" t="s">
        <v>50</v>
      </c>
      <c r="B6" s="273" t="s">
        <v>276</v>
      </c>
      <c r="C6" s="273">
        <v>849.42</v>
      </c>
      <c r="D6" s="273">
        <v>849.42</v>
      </c>
      <c r="E6" s="273">
        <v>849.42</v>
      </c>
      <c r="F6" s="273">
        <v>849.42</v>
      </c>
      <c r="G6" s="273">
        <v>849.42</v>
      </c>
      <c r="H6" s="273">
        <v>849.42</v>
      </c>
      <c r="I6" s="273">
        <v>849.42</v>
      </c>
      <c r="J6" s="273">
        <f>849.42+42.47</f>
        <v>891.89</v>
      </c>
      <c r="K6" s="273">
        <v>891.89</v>
      </c>
      <c r="L6" s="273">
        <v>891.89</v>
      </c>
      <c r="M6" s="273">
        <v>891.89</v>
      </c>
      <c r="N6" s="273">
        <v>891.89</v>
      </c>
      <c r="O6" s="273">
        <f t="shared" si="0"/>
        <v>10405.39</v>
      </c>
      <c r="P6" s="59"/>
      <c r="Q6" s="59"/>
      <c r="R6" s="59"/>
      <c r="S6" s="59"/>
      <c r="T6" s="59"/>
      <c r="U6" s="59"/>
      <c r="V6" s="272"/>
      <c r="W6" s="272"/>
      <c r="X6" s="272"/>
      <c r="Y6" s="272"/>
      <c r="Z6" s="272"/>
      <c r="AA6" s="272"/>
    </row>
    <row r="7" spans="1:27" ht="15.75" customHeight="1">
      <c r="A7" s="272" t="s">
        <v>50</v>
      </c>
      <c r="B7" s="273" t="s">
        <v>277</v>
      </c>
      <c r="C7" s="273">
        <v>1437.72</v>
      </c>
      <c r="D7" s="273">
        <v>1437.72</v>
      </c>
      <c r="E7" s="273">
        <v>1437.72</v>
      </c>
      <c r="F7" s="273">
        <v>1437.72</v>
      </c>
      <c r="G7" s="273">
        <v>1437.72</v>
      </c>
      <c r="H7" s="273">
        <v>1437.72</v>
      </c>
      <c r="I7" s="273">
        <v>1437.72</v>
      </c>
      <c r="J7" s="273">
        <v>1437.72</v>
      </c>
      <c r="K7" s="273">
        <f>71.89+1509.61</f>
        <v>1581.5</v>
      </c>
      <c r="L7" s="273">
        <v>1509.61</v>
      </c>
      <c r="M7" s="273">
        <v>1509.61</v>
      </c>
      <c r="N7" s="273">
        <v>1509.61</v>
      </c>
      <c r="O7" s="273">
        <f t="shared" si="0"/>
        <v>17612.09</v>
      </c>
      <c r="P7" s="59"/>
      <c r="Q7" s="59"/>
      <c r="R7" s="59"/>
      <c r="S7" s="59"/>
      <c r="T7" s="59"/>
      <c r="U7" s="59"/>
      <c r="V7" s="272"/>
      <c r="W7" s="272"/>
      <c r="X7" s="272"/>
      <c r="Y7" s="272"/>
      <c r="Z7" s="272"/>
      <c r="AA7" s="272"/>
    </row>
    <row r="8" spans="1:27" ht="15.75" customHeight="1">
      <c r="A8" s="272" t="s">
        <v>50</v>
      </c>
      <c r="B8" s="273" t="s">
        <v>278</v>
      </c>
      <c r="C8" s="273">
        <v>3289.14</v>
      </c>
      <c r="D8" s="273">
        <v>3289.14</v>
      </c>
      <c r="E8" s="273">
        <v>3289.14</v>
      </c>
      <c r="F8" s="273">
        <v>3289.14</v>
      </c>
      <c r="G8" s="273">
        <v>3289.14</v>
      </c>
      <c r="H8" s="273">
        <f>-3289.14-3289.14</f>
        <v>-6578.28</v>
      </c>
      <c r="I8" s="273"/>
      <c r="J8" s="273"/>
      <c r="K8" s="273"/>
      <c r="L8" s="273"/>
      <c r="M8" s="273"/>
      <c r="N8" s="273"/>
      <c r="O8" s="273">
        <f t="shared" si="0"/>
        <v>9867.4200000000019</v>
      </c>
      <c r="P8" s="59"/>
      <c r="Q8" s="59"/>
      <c r="R8" s="59"/>
      <c r="S8" s="59"/>
      <c r="T8" s="59"/>
      <c r="U8" s="59"/>
      <c r="V8" s="272"/>
      <c r="W8" s="272"/>
      <c r="X8" s="272"/>
      <c r="Y8" s="272"/>
      <c r="Z8" s="272"/>
      <c r="AA8" s="272"/>
    </row>
    <row r="9" spans="1:27" ht="15.75" customHeight="1">
      <c r="A9" s="60" t="s">
        <v>41</v>
      </c>
      <c r="B9" s="27" t="s">
        <v>279</v>
      </c>
      <c r="C9" s="27">
        <v>4091.37</v>
      </c>
      <c r="D9" s="27">
        <v>4091.37</v>
      </c>
      <c r="E9" s="27">
        <v>4091.37</v>
      </c>
      <c r="F9" s="27">
        <v>4091.37</v>
      </c>
      <c r="G9" s="27">
        <v>4091.37</v>
      </c>
      <c r="H9" s="27">
        <f>-4091.37-4097.37</f>
        <v>-8188.74</v>
      </c>
      <c r="I9" s="27"/>
      <c r="J9" s="27"/>
      <c r="K9" s="27"/>
      <c r="L9" s="27"/>
      <c r="M9" s="27"/>
      <c r="N9" s="27"/>
      <c r="O9" s="27">
        <f t="shared" si="0"/>
        <v>12268.109999999999</v>
      </c>
      <c r="P9" s="59"/>
      <c r="Q9" s="59"/>
      <c r="R9" s="59"/>
      <c r="S9" s="59"/>
      <c r="T9" s="59"/>
      <c r="U9" s="59"/>
    </row>
    <row r="10" spans="1:27" ht="15.75" customHeight="1">
      <c r="A10" s="272" t="s">
        <v>50</v>
      </c>
      <c r="B10" s="273" t="s">
        <v>280</v>
      </c>
      <c r="C10" s="273">
        <v>1437.72</v>
      </c>
      <c r="D10" s="273">
        <v>1437.72</v>
      </c>
      <c r="E10" s="273">
        <v>1437.72</v>
      </c>
      <c r="F10" s="273">
        <v>1437.72</v>
      </c>
      <c r="G10" s="273">
        <v>1437.72</v>
      </c>
      <c r="H10" s="273">
        <v>1437.72</v>
      </c>
      <c r="I10" s="273">
        <v>1437.72</v>
      </c>
      <c r="J10" s="273">
        <v>1437.72</v>
      </c>
      <c r="K10" s="273">
        <f>71.79+1509.61</f>
        <v>1581.3999999999999</v>
      </c>
      <c r="L10" s="273">
        <v>1509.61</v>
      </c>
      <c r="M10" s="273">
        <v>1509.61</v>
      </c>
      <c r="N10" s="273">
        <v>1509.61</v>
      </c>
      <c r="O10" s="273">
        <f t="shared" si="0"/>
        <v>17611.989999999998</v>
      </c>
      <c r="P10" s="59"/>
      <c r="Q10" s="59"/>
      <c r="R10" s="59"/>
      <c r="S10" s="59"/>
      <c r="T10" s="59"/>
      <c r="U10" s="59"/>
      <c r="V10" s="272"/>
      <c r="W10" s="272"/>
      <c r="X10" s="272"/>
      <c r="Y10" s="272"/>
      <c r="Z10" s="272"/>
      <c r="AA10" s="272"/>
    </row>
    <row r="11" spans="1:27" ht="15.75" customHeight="1">
      <c r="A11" s="60" t="s">
        <v>41</v>
      </c>
      <c r="B11" s="27" t="s">
        <v>281</v>
      </c>
      <c r="C11" s="27">
        <v>1061.78</v>
      </c>
      <c r="D11" s="27">
        <v>1061.78</v>
      </c>
      <c r="E11" s="27">
        <v>1061.78</v>
      </c>
      <c r="F11" s="27">
        <v>1061.78</v>
      </c>
      <c r="G11" s="27">
        <v>1061.78</v>
      </c>
      <c r="H11" s="27">
        <v>1061.78</v>
      </c>
      <c r="I11" s="27">
        <v>1061.78</v>
      </c>
      <c r="J11" s="27">
        <v>1061.78</v>
      </c>
      <c r="K11" s="27">
        <f>53.08+114.68</f>
        <v>167.76</v>
      </c>
      <c r="L11" s="27">
        <v>1114.8599999999999</v>
      </c>
      <c r="M11" s="27">
        <v>1114.8599999999999</v>
      </c>
      <c r="N11" s="27">
        <v>1114.8599999999999</v>
      </c>
      <c r="O11" s="63">
        <f t="shared" si="0"/>
        <v>12006.580000000002</v>
      </c>
      <c r="P11" s="59"/>
      <c r="Q11" s="59"/>
      <c r="R11" s="59"/>
      <c r="S11" s="59"/>
      <c r="T11" s="59"/>
      <c r="U11" s="59"/>
    </row>
    <row r="12" spans="1:27" ht="15.75" customHeight="1">
      <c r="A12" s="60" t="s">
        <v>41</v>
      </c>
      <c r="B12" s="27" t="s">
        <v>282</v>
      </c>
      <c r="C12" s="27">
        <v>1132.56</v>
      </c>
      <c r="D12" s="27">
        <v>1132.56</v>
      </c>
      <c r="E12" s="27">
        <v>1132.56</v>
      </c>
      <c r="F12" s="27">
        <v>1132.56</v>
      </c>
      <c r="G12" s="27">
        <v>1132.56</v>
      </c>
      <c r="H12" s="60">
        <v>3132.56</v>
      </c>
      <c r="I12" s="27">
        <f>-913.35-1132.56</f>
        <v>-2045.9099999999999</v>
      </c>
      <c r="K12" s="27"/>
      <c r="L12" s="27"/>
      <c r="M12" s="27"/>
      <c r="N12" s="27"/>
      <c r="O12" s="63">
        <f t="shared" si="0"/>
        <v>6749.4499999999989</v>
      </c>
      <c r="P12" s="59"/>
      <c r="Q12" s="59"/>
      <c r="R12" s="59"/>
      <c r="S12" s="59"/>
      <c r="T12" s="59"/>
      <c r="U12" s="59"/>
    </row>
    <row r="13" spans="1:27" ht="15.75" customHeight="1">
      <c r="A13" s="60" t="s">
        <v>41</v>
      </c>
      <c r="B13" s="27" t="s">
        <v>283</v>
      </c>
      <c r="C13" s="27">
        <v>1934.79</v>
      </c>
      <c r="D13" s="27">
        <v>1934.79</v>
      </c>
      <c r="E13" s="27">
        <v>1934.79</v>
      </c>
      <c r="F13" s="27">
        <v>1934.79</v>
      </c>
      <c r="G13" s="27">
        <v>1934.79</v>
      </c>
      <c r="H13" s="27">
        <v>1934.79</v>
      </c>
      <c r="I13" s="27">
        <v>1934.79</v>
      </c>
      <c r="J13" s="27">
        <v>1934.79</v>
      </c>
      <c r="K13" s="27">
        <f>96.74+2031.53</f>
        <v>2128.27</v>
      </c>
      <c r="L13" s="27">
        <v>2031.53</v>
      </c>
      <c r="M13" s="27">
        <v>2031.53</v>
      </c>
      <c r="N13" s="27">
        <v>2031.53</v>
      </c>
      <c r="O13" s="63">
        <f t="shared" si="0"/>
        <v>23701.18</v>
      </c>
      <c r="P13" s="59"/>
      <c r="Q13" s="59"/>
      <c r="R13" s="59"/>
      <c r="S13" s="59"/>
      <c r="T13" s="59"/>
      <c r="U13" s="59"/>
    </row>
    <row r="14" spans="1:27" ht="15.75" customHeight="1">
      <c r="A14" s="60" t="s">
        <v>41</v>
      </c>
      <c r="B14" s="27" t="s">
        <v>284</v>
      </c>
      <c r="C14" s="27">
        <v>1132.26</v>
      </c>
      <c r="D14" s="27">
        <v>1132.26</v>
      </c>
      <c r="E14" s="27">
        <v>1132.26</v>
      </c>
      <c r="F14" s="27">
        <v>1132.26</v>
      </c>
      <c r="G14" s="27">
        <v>1132.26</v>
      </c>
      <c r="H14" s="27">
        <v>1132.26</v>
      </c>
      <c r="I14" s="27">
        <v>1132.26</v>
      </c>
      <c r="J14" s="27">
        <v>1132.26</v>
      </c>
      <c r="K14" s="27">
        <f>56.63+1189.19</f>
        <v>1245.8200000000002</v>
      </c>
      <c r="L14" s="27">
        <v>1189.19</v>
      </c>
      <c r="M14" s="27">
        <v>1189.19</v>
      </c>
      <c r="N14" s="27">
        <v>1189.19</v>
      </c>
      <c r="O14" s="63">
        <f t="shared" si="0"/>
        <v>13871.470000000001</v>
      </c>
      <c r="P14" s="59"/>
      <c r="Q14" s="59"/>
      <c r="R14" s="59"/>
      <c r="S14" s="59"/>
      <c r="T14" s="59"/>
      <c r="U14" s="59"/>
    </row>
    <row r="15" spans="1:27" ht="15.75" customHeight="1">
      <c r="A15" s="274" t="s">
        <v>50</v>
      </c>
      <c r="B15" s="50" t="s">
        <v>285</v>
      </c>
      <c r="C15" s="50">
        <v>2312.31</v>
      </c>
      <c r="D15" s="50">
        <v>2312.31</v>
      </c>
      <c r="E15" s="50">
        <v>2312.31</v>
      </c>
      <c r="F15" s="50">
        <v>2312.31</v>
      </c>
      <c r="G15" s="50">
        <v>2312.31</v>
      </c>
      <c r="H15" s="50">
        <f>-2312.31-2312.31</f>
        <v>-4624.62</v>
      </c>
      <c r="I15" s="50"/>
      <c r="J15" s="50"/>
      <c r="K15" s="50"/>
      <c r="L15" s="50"/>
      <c r="M15" s="50"/>
      <c r="N15" s="50"/>
      <c r="O15" s="273">
        <f t="shared" si="0"/>
        <v>6936.9299999999994</v>
      </c>
      <c r="P15" s="59"/>
      <c r="Q15" s="59"/>
      <c r="R15" s="59"/>
      <c r="S15" s="59"/>
      <c r="T15" s="59"/>
      <c r="U15" s="59"/>
      <c r="V15" s="274"/>
      <c r="W15" s="274"/>
      <c r="X15" s="274"/>
      <c r="Y15" s="274"/>
      <c r="Z15" s="274"/>
      <c r="AA15" s="274"/>
    </row>
    <row r="16" spans="1:27" ht="15.75" customHeight="1">
      <c r="A16" s="274" t="s">
        <v>50</v>
      </c>
      <c r="B16" s="50" t="s">
        <v>286</v>
      </c>
      <c r="C16" s="50">
        <f t="shared" ref="C16:J16" si="1">1132.56+3289.14</f>
        <v>4421.7</v>
      </c>
      <c r="D16" s="50">
        <f t="shared" si="1"/>
        <v>4421.7</v>
      </c>
      <c r="E16" s="50">
        <f t="shared" si="1"/>
        <v>4421.7</v>
      </c>
      <c r="F16" s="50">
        <f t="shared" si="1"/>
        <v>4421.7</v>
      </c>
      <c r="G16" s="50">
        <f t="shared" si="1"/>
        <v>4421.7</v>
      </c>
      <c r="H16" s="50">
        <f t="shared" si="1"/>
        <v>4421.7</v>
      </c>
      <c r="I16" s="50">
        <f t="shared" si="1"/>
        <v>4421.7</v>
      </c>
      <c r="J16" s="50">
        <f t="shared" si="1"/>
        <v>4421.7</v>
      </c>
      <c r="K16" s="50">
        <f>56.63+1189.19+164.46+3463.6</f>
        <v>4873.88</v>
      </c>
      <c r="L16" s="50">
        <f t="shared" ref="L16:N16" si="2">1189.19+3453.6</f>
        <v>4642.79</v>
      </c>
      <c r="M16" s="50">
        <f t="shared" si="2"/>
        <v>4642.79</v>
      </c>
      <c r="N16" s="50">
        <f t="shared" si="2"/>
        <v>4642.79</v>
      </c>
      <c r="O16" s="273">
        <f t="shared" si="0"/>
        <v>54175.85</v>
      </c>
      <c r="P16" s="59"/>
      <c r="Q16" s="59"/>
      <c r="R16" s="59"/>
      <c r="S16" s="59"/>
      <c r="T16" s="59"/>
      <c r="U16" s="59"/>
      <c r="V16" s="274"/>
      <c r="W16" s="274"/>
      <c r="X16" s="274"/>
      <c r="Y16" s="274"/>
      <c r="Z16" s="274"/>
      <c r="AA16" s="274"/>
    </row>
    <row r="17" spans="1:27" ht="15.75" customHeight="1">
      <c r="A17" s="274" t="s">
        <v>50</v>
      </c>
      <c r="B17" s="50" t="s">
        <v>287</v>
      </c>
      <c r="C17" s="50">
        <v>849.42</v>
      </c>
      <c r="D17" s="50">
        <v>849.42</v>
      </c>
      <c r="E17" s="50">
        <v>849.42</v>
      </c>
      <c r="F17" s="50">
        <v>849.42</v>
      </c>
      <c r="G17" s="50">
        <v>849.42</v>
      </c>
      <c r="H17" s="50">
        <v>849.42</v>
      </c>
      <c r="I17" s="50">
        <v>849.42</v>
      </c>
      <c r="J17" s="50">
        <v>849.42</v>
      </c>
      <c r="K17" s="50">
        <f>42.47+891.89</f>
        <v>934.36</v>
      </c>
      <c r="L17" s="50">
        <v>891.89</v>
      </c>
      <c r="M17" s="50">
        <v>891.89</v>
      </c>
      <c r="N17" s="50">
        <v>891.89</v>
      </c>
      <c r="O17" s="273">
        <f t="shared" si="0"/>
        <v>10405.389999999998</v>
      </c>
      <c r="P17" s="59"/>
      <c r="Q17" s="59"/>
      <c r="R17" s="59"/>
      <c r="S17" s="59"/>
      <c r="T17" s="59"/>
      <c r="U17" s="59"/>
      <c r="V17" s="274"/>
      <c r="W17" s="274"/>
      <c r="X17" s="274"/>
      <c r="Y17" s="274"/>
      <c r="Z17" s="274"/>
      <c r="AA17" s="274"/>
    </row>
    <row r="18" spans="1:27" ht="15.75" customHeight="1">
      <c r="A18" s="274" t="s">
        <v>50</v>
      </c>
      <c r="B18" s="50" t="s">
        <v>288</v>
      </c>
      <c r="C18" s="50">
        <v>3289.14</v>
      </c>
      <c r="D18" s="50">
        <v>3289.14</v>
      </c>
      <c r="E18" s="50">
        <v>3289.14</v>
      </c>
      <c r="F18" s="50">
        <v>3289.14</v>
      </c>
      <c r="G18" s="50">
        <v>3289.14</v>
      </c>
      <c r="H18" s="50">
        <f>-3289.14-3289.14</f>
        <v>-6578.28</v>
      </c>
      <c r="I18" s="50"/>
      <c r="J18" s="50"/>
      <c r="K18" s="50"/>
      <c r="L18" s="50"/>
      <c r="M18" s="50"/>
      <c r="N18" s="50"/>
      <c r="O18" s="273">
        <f t="shared" si="0"/>
        <v>9867.4200000000019</v>
      </c>
      <c r="P18" s="59"/>
      <c r="Q18" s="59"/>
      <c r="R18" s="59"/>
      <c r="S18" s="59"/>
      <c r="T18" s="59"/>
      <c r="U18" s="59"/>
      <c r="V18" s="274"/>
      <c r="W18" s="274"/>
      <c r="X18" s="274"/>
      <c r="Y18" s="274"/>
      <c r="Z18" s="274"/>
      <c r="AA18" s="274"/>
    </row>
    <row r="19" spans="1:27" ht="15.75" customHeight="1">
      <c r="P19" s="27" t="s">
        <v>289</v>
      </c>
      <c r="Q19" s="61">
        <f>SUM(O4+O5+O6+O7+O8+O10+O15+O16+O17+O18)</f>
        <v>152554.26999999999</v>
      </c>
    </row>
    <row r="20" spans="1:27" ht="15.75" customHeight="1">
      <c r="P20" s="27" t="s">
        <v>41</v>
      </c>
      <c r="Q20" s="61">
        <f>SUM(O2+O3+O9+O11+O12+O13+O14)</f>
        <v>86738.32</v>
      </c>
    </row>
  </sheetData>
  <pageMargins left="0.7" right="0.7" top="0.75" bottom="0.75" header="0.3" footer="0.3"/>
  <pageSetup paperSize="9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J1007"/>
  <sheetViews>
    <sheetView workbookViewId="0"/>
  </sheetViews>
  <sheetFormatPr baseColWidth="10" defaultColWidth="12.6640625" defaultRowHeight="15.75" customHeight="1"/>
  <cols>
    <col min="1" max="1" width="23.83203125" customWidth="1"/>
    <col min="6" max="6" width="9.6640625" customWidth="1"/>
    <col min="7" max="7" width="14" customWidth="1"/>
    <col min="8" max="8" width="10.5" customWidth="1"/>
  </cols>
  <sheetData>
    <row r="1" spans="1:10" ht="15.75" customHeight="1">
      <c r="A1" s="275" t="s">
        <v>26</v>
      </c>
      <c r="B1" s="204" t="s">
        <v>195</v>
      </c>
      <c r="C1" s="204" t="s">
        <v>196</v>
      </c>
      <c r="D1" s="204" t="s">
        <v>197</v>
      </c>
      <c r="E1" s="276" t="s">
        <v>4</v>
      </c>
      <c r="F1" s="277" t="s">
        <v>5</v>
      </c>
      <c r="G1" s="277" t="s">
        <v>6</v>
      </c>
      <c r="H1" s="253" t="s">
        <v>9</v>
      </c>
      <c r="I1" s="205" t="s">
        <v>198</v>
      </c>
      <c r="J1" s="59"/>
    </row>
    <row r="2" spans="1:10" ht="15.75" customHeight="1">
      <c r="A2" s="254" t="s">
        <v>262</v>
      </c>
      <c r="B2" s="44">
        <f>'Исходные данные'!D43</f>
        <v>334</v>
      </c>
      <c r="C2" s="44">
        <f>'Исходные данные'!D41</f>
        <v>50</v>
      </c>
      <c r="D2" s="44"/>
      <c r="E2" s="119">
        <v>278297</v>
      </c>
      <c r="F2" s="253">
        <v>12</v>
      </c>
      <c r="G2" s="44">
        <f t="shared" ref="G2:G12" si="0">E2/F2</f>
        <v>23191.416666666668</v>
      </c>
      <c r="H2" s="119"/>
      <c r="I2" s="278">
        <f t="shared" ref="I2:I3" si="1">G2/B2*C2</f>
        <v>3471.7689620758483</v>
      </c>
      <c r="J2" s="59"/>
    </row>
    <row r="3" spans="1:10" ht="15.75" customHeight="1">
      <c r="A3" s="254" t="s">
        <v>263</v>
      </c>
      <c r="B3" s="44">
        <f>'Исходные данные'!E43</f>
        <v>499</v>
      </c>
      <c r="C3" s="44">
        <f>'Исходные данные'!E41</f>
        <v>62</v>
      </c>
      <c r="D3" s="44"/>
      <c r="E3" s="279">
        <v>695981</v>
      </c>
      <c r="F3" s="253">
        <v>12</v>
      </c>
      <c r="G3" s="44">
        <f t="shared" si="0"/>
        <v>57998.416666666664</v>
      </c>
      <c r="H3" s="119"/>
      <c r="I3" s="278">
        <f t="shared" si="1"/>
        <v>7206.2160988643946</v>
      </c>
      <c r="J3" s="59"/>
    </row>
    <row r="4" spans="1:10" ht="15.75" customHeight="1">
      <c r="A4" s="254" t="s">
        <v>147</v>
      </c>
      <c r="B4" s="44"/>
      <c r="C4" s="44"/>
      <c r="D4" s="44"/>
      <c r="E4" s="279"/>
      <c r="F4" s="253">
        <v>12</v>
      </c>
      <c r="G4" s="44">
        <f t="shared" si="0"/>
        <v>0</v>
      </c>
      <c r="H4" s="119"/>
      <c r="I4" s="278">
        <f t="shared" ref="I4:I12" si="2">G4</f>
        <v>0</v>
      </c>
      <c r="J4" s="59"/>
    </row>
    <row r="5" spans="1:10" ht="15.75" customHeight="1">
      <c r="A5" s="257" t="s">
        <v>202</v>
      </c>
      <c r="B5" s="258"/>
      <c r="C5" s="280"/>
      <c r="D5" s="280"/>
      <c r="E5" s="263">
        <f>59635+3231</f>
        <v>62866</v>
      </c>
      <c r="F5" s="281">
        <v>12</v>
      </c>
      <c r="G5" s="260">
        <f t="shared" si="0"/>
        <v>5238.833333333333</v>
      </c>
      <c r="H5" s="119"/>
      <c r="I5" s="278">
        <f t="shared" si="2"/>
        <v>5238.833333333333</v>
      </c>
      <c r="J5" s="59"/>
    </row>
    <row r="6" spans="1:10" ht="15.75" customHeight="1">
      <c r="A6" s="257" t="s">
        <v>259</v>
      </c>
      <c r="B6" s="258"/>
      <c r="C6" s="258"/>
      <c r="D6" s="258"/>
      <c r="E6" s="263"/>
      <c r="F6" s="281">
        <v>12</v>
      </c>
      <c r="G6" s="260">
        <f t="shared" si="0"/>
        <v>0</v>
      </c>
      <c r="H6" s="119"/>
      <c r="I6" s="278">
        <f t="shared" si="2"/>
        <v>0</v>
      </c>
      <c r="J6" s="59"/>
    </row>
    <row r="7" spans="1:10" ht="15.75" customHeight="1">
      <c r="A7" s="254" t="s">
        <v>203</v>
      </c>
      <c r="B7" s="119"/>
      <c r="C7" s="119"/>
      <c r="D7" s="119"/>
      <c r="E7" s="263"/>
      <c r="F7" s="253">
        <v>12</v>
      </c>
      <c r="G7" s="44">
        <f t="shared" si="0"/>
        <v>0</v>
      </c>
      <c r="H7" s="119"/>
      <c r="I7" s="278">
        <f t="shared" si="2"/>
        <v>0</v>
      </c>
      <c r="J7" s="59"/>
    </row>
    <row r="8" spans="1:10" ht="15.75" customHeight="1">
      <c r="A8" s="282" t="s">
        <v>93</v>
      </c>
      <c r="B8" s="119"/>
      <c r="C8" s="263"/>
      <c r="D8" s="263"/>
      <c r="E8" s="263"/>
      <c r="F8" s="253">
        <v>12</v>
      </c>
      <c r="G8" s="44">
        <f t="shared" si="0"/>
        <v>0</v>
      </c>
      <c r="H8" s="119"/>
      <c r="I8" s="278">
        <f t="shared" si="2"/>
        <v>0</v>
      </c>
      <c r="J8" s="59"/>
    </row>
    <row r="9" spans="1:10" ht="15.75" customHeight="1">
      <c r="A9" s="261" t="s">
        <v>265</v>
      </c>
      <c r="B9" s="119"/>
      <c r="C9" s="263"/>
      <c r="D9" s="263"/>
      <c r="E9" s="263">
        <v>9970</v>
      </c>
      <c r="F9" s="253">
        <v>12</v>
      </c>
      <c r="G9" s="44">
        <f t="shared" si="0"/>
        <v>830.83333333333337</v>
      </c>
      <c r="H9" s="119"/>
      <c r="I9" s="278">
        <f t="shared" si="2"/>
        <v>830.83333333333337</v>
      </c>
      <c r="J9" s="59"/>
    </row>
    <row r="10" spans="1:10" ht="15.75" customHeight="1">
      <c r="A10" s="73" t="s">
        <v>148</v>
      </c>
      <c r="B10" s="119"/>
      <c r="C10" s="263"/>
      <c r="D10" s="263"/>
      <c r="E10" s="263">
        <f>50397+2299+4000</f>
        <v>56696</v>
      </c>
      <c r="F10" s="253">
        <v>12</v>
      </c>
      <c r="G10" s="44">
        <f t="shared" si="0"/>
        <v>4724.666666666667</v>
      </c>
      <c r="H10" s="119"/>
      <c r="I10" s="278">
        <f t="shared" si="2"/>
        <v>4724.666666666667</v>
      </c>
      <c r="J10" s="59"/>
    </row>
    <row r="11" spans="1:10" ht="15.75" customHeight="1">
      <c r="A11" s="73" t="s">
        <v>150</v>
      </c>
      <c r="B11" s="119"/>
      <c r="C11" s="263"/>
      <c r="D11" s="263"/>
      <c r="E11" s="263">
        <v>101207</v>
      </c>
      <c r="F11" s="253">
        <v>12</v>
      </c>
      <c r="G11" s="44">
        <f t="shared" si="0"/>
        <v>8433.9166666666661</v>
      </c>
      <c r="H11" s="119"/>
      <c r="I11" s="278">
        <f t="shared" si="2"/>
        <v>8433.9166666666661</v>
      </c>
      <c r="J11" s="59"/>
    </row>
    <row r="12" spans="1:10" ht="15.75" customHeight="1">
      <c r="A12" s="73" t="s">
        <v>149</v>
      </c>
      <c r="B12" s="119"/>
      <c r="C12" s="263"/>
      <c r="D12" s="263"/>
      <c r="E12" s="263"/>
      <c r="F12" s="253">
        <v>12</v>
      </c>
      <c r="G12" s="44">
        <f t="shared" si="0"/>
        <v>0</v>
      </c>
      <c r="H12" s="119"/>
      <c r="I12" s="278">
        <f t="shared" si="2"/>
        <v>0</v>
      </c>
      <c r="J12" s="59"/>
    </row>
    <row r="13" spans="1:10" ht="15.75" customHeight="1">
      <c r="A13" s="261" t="s">
        <v>241</v>
      </c>
      <c r="B13" s="119"/>
      <c r="C13" s="263"/>
      <c r="D13" s="263"/>
      <c r="E13" s="263"/>
      <c r="F13" s="281"/>
      <c r="G13" s="44"/>
      <c r="H13" s="119"/>
      <c r="I13" s="278">
        <f>D32</f>
        <v>0</v>
      </c>
      <c r="J13" s="59"/>
    </row>
    <row r="14" spans="1:10" ht="15.75" customHeight="1">
      <c r="A14" s="261" t="s">
        <v>154</v>
      </c>
      <c r="B14" s="119"/>
      <c r="C14" s="263"/>
      <c r="D14" s="263"/>
      <c r="E14" s="263">
        <v>182000</v>
      </c>
      <c r="F14" s="281">
        <v>12</v>
      </c>
      <c r="G14" s="44">
        <f>E14/F14</f>
        <v>15166.666666666666</v>
      </c>
      <c r="H14" s="119"/>
      <c r="I14" s="278">
        <f>G14</f>
        <v>15166.666666666666</v>
      </c>
      <c r="J14" s="59"/>
    </row>
    <row r="15" spans="1:10" ht="15.75" customHeight="1">
      <c r="A15" s="254" t="s">
        <v>290</v>
      </c>
      <c r="B15" s="119"/>
      <c r="C15" s="44"/>
      <c r="D15" s="264">
        <f>B20+B21</f>
        <v>1888</v>
      </c>
      <c r="E15" s="263"/>
      <c r="F15" s="253"/>
      <c r="G15" s="119"/>
      <c r="H15" s="266">
        <f>'Общие расходы г. Альметьевск'!F4</f>
        <v>0.57570105149806805</v>
      </c>
      <c r="I15" s="278">
        <f t="shared" ref="I15:I17" si="3">D15*H15</f>
        <v>1086.9235852283525</v>
      </c>
      <c r="J15" s="59"/>
    </row>
    <row r="16" spans="1:10" ht="15.75" customHeight="1">
      <c r="A16" s="254" t="s">
        <v>152</v>
      </c>
      <c r="B16" s="119"/>
      <c r="C16" s="44"/>
      <c r="D16" s="264">
        <f>B20+B21</f>
        <v>1888</v>
      </c>
      <c r="E16" s="263"/>
      <c r="F16" s="253"/>
      <c r="G16" s="119"/>
      <c r="H16" s="266">
        <f>'Общие расходы ГЭ'!G16</f>
        <v>9.1731976502919679</v>
      </c>
      <c r="I16" s="278">
        <f t="shared" si="3"/>
        <v>17318.997163751235</v>
      </c>
      <c r="J16" s="59"/>
    </row>
    <row r="17" spans="1:10" ht="15.75" customHeight="1">
      <c r="A17" s="254" t="s">
        <v>156</v>
      </c>
      <c r="B17" s="119"/>
      <c r="C17" s="44"/>
      <c r="D17" s="264">
        <f>B20+B21</f>
        <v>1888</v>
      </c>
      <c r="E17" s="263"/>
      <c r="F17" s="253"/>
      <c r="G17" s="119"/>
      <c r="H17" s="279">
        <f>'Общие расходы г. Тюмень'!F30</f>
        <v>0.74801393423739049</v>
      </c>
      <c r="I17" s="278">
        <f t="shared" si="3"/>
        <v>1412.2503078401933</v>
      </c>
      <c r="J17" s="59"/>
    </row>
    <row r="18" spans="1:10" ht="15.75" customHeight="1">
      <c r="A18" s="267"/>
      <c r="B18" s="268"/>
      <c r="C18" s="268"/>
      <c r="D18" s="268"/>
      <c r="E18" s="268"/>
      <c r="F18" s="269"/>
      <c r="G18" s="268"/>
      <c r="H18" s="268"/>
      <c r="I18" s="283">
        <f>SUM(I2:I17)</f>
        <v>64891.072784426688</v>
      </c>
      <c r="J18" s="59"/>
    </row>
    <row r="19" spans="1:10" ht="15.75" customHeight="1">
      <c r="J19" s="59"/>
    </row>
    <row r="20" spans="1:10" ht="15.75" customHeight="1">
      <c r="A20" s="58" t="s">
        <v>205</v>
      </c>
      <c r="B20" s="210">
        <f>'Исходные данные'!B41</f>
        <v>1219</v>
      </c>
      <c r="J20" s="59"/>
    </row>
    <row r="21" spans="1:10" ht="15.75" customHeight="1">
      <c r="A21" s="58" t="s">
        <v>206</v>
      </c>
      <c r="B21" s="210">
        <f>'Исходные данные'!C41</f>
        <v>669</v>
      </c>
      <c r="J21" s="59"/>
    </row>
    <row r="22" spans="1:10" ht="15.75" customHeight="1">
      <c r="A22" s="58" t="s">
        <v>207</v>
      </c>
      <c r="B22" s="210">
        <f>'Исходные данные'!D41</f>
        <v>50</v>
      </c>
      <c r="J22" s="59"/>
    </row>
    <row r="23" spans="1:10" ht="15.75" customHeight="1">
      <c r="J23" s="59"/>
    </row>
    <row r="24" spans="1:10" ht="15.75" customHeight="1">
      <c r="A24" s="333" t="s">
        <v>208</v>
      </c>
      <c r="B24" s="332"/>
      <c r="C24" s="332"/>
      <c r="D24" s="321"/>
      <c r="J24" s="59"/>
    </row>
    <row r="25" spans="1:10" ht="15.75" customHeight="1">
      <c r="A25" s="215" t="s">
        <v>209</v>
      </c>
      <c r="B25" s="216" t="s">
        <v>210</v>
      </c>
      <c r="C25" s="78" t="s">
        <v>5</v>
      </c>
      <c r="D25" s="216" t="s">
        <v>211</v>
      </c>
      <c r="J25" s="59"/>
    </row>
    <row r="26" spans="1:10" ht="15.75" customHeight="1">
      <c r="A26" s="238" t="s">
        <v>254</v>
      </c>
      <c r="B26" s="239"/>
      <c r="C26" s="239">
        <v>12</v>
      </c>
      <c r="D26" s="239">
        <f>B26/C26</f>
        <v>0</v>
      </c>
      <c r="J26" s="59"/>
    </row>
    <row r="27" spans="1:10" ht="15.75" customHeight="1">
      <c r="A27" s="58"/>
      <c r="B27" s="239"/>
      <c r="C27" s="239"/>
      <c r="D27" s="239"/>
      <c r="J27" s="59"/>
    </row>
    <row r="28" spans="1:10" ht="15.75" customHeight="1">
      <c r="A28" s="241"/>
      <c r="B28" s="239"/>
      <c r="C28" s="239"/>
      <c r="D28" s="239"/>
      <c r="J28" s="59"/>
    </row>
    <row r="29" spans="1:10" ht="15.75" customHeight="1">
      <c r="A29" s="58"/>
      <c r="B29" s="239"/>
      <c r="C29" s="239"/>
      <c r="D29" s="147"/>
      <c r="J29" s="59"/>
    </row>
    <row r="30" spans="1:10" ht="15.75" customHeight="1">
      <c r="A30" s="58"/>
      <c r="B30" s="239"/>
      <c r="C30" s="239"/>
      <c r="D30" s="239"/>
      <c r="J30" s="59"/>
    </row>
    <row r="31" spans="1:10" ht="15.75" customHeight="1">
      <c r="A31" s="27"/>
      <c r="B31" s="61"/>
      <c r="C31" s="61"/>
      <c r="D31" s="61"/>
      <c r="J31" s="59"/>
    </row>
    <row r="32" spans="1:10" ht="15.75" customHeight="1">
      <c r="A32" s="284" t="s">
        <v>62</v>
      </c>
      <c r="B32" s="285"/>
      <c r="C32" s="285"/>
      <c r="D32" s="285">
        <f>SUM(D26:D31)</f>
        <v>0</v>
      </c>
      <c r="J32" s="59"/>
    </row>
    <row r="33" spans="10:10" ht="15.75" customHeight="1">
      <c r="J33" s="59"/>
    </row>
    <row r="34" spans="10:10" ht="15.75" customHeight="1">
      <c r="J34" s="59"/>
    </row>
    <row r="35" spans="10:10" ht="15.75" customHeight="1">
      <c r="J35" s="59"/>
    </row>
    <row r="36" spans="10:10" ht="15.75" customHeight="1">
      <c r="J36" s="59"/>
    </row>
    <row r="37" spans="10:10" ht="15.75" customHeight="1">
      <c r="J37" s="59"/>
    </row>
    <row r="38" spans="10:10" ht="15.75" customHeight="1">
      <c r="J38" s="59"/>
    </row>
    <row r="39" spans="10:10" ht="15.75" customHeight="1">
      <c r="J39" s="59"/>
    </row>
    <row r="40" spans="10:10" ht="15.75" customHeight="1">
      <c r="J40" s="59"/>
    </row>
    <row r="41" spans="10:10" ht="15.75" customHeight="1">
      <c r="J41" s="59"/>
    </row>
    <row r="42" spans="10:10" ht="15.75" customHeight="1">
      <c r="J42" s="59"/>
    </row>
    <row r="43" spans="10:10" ht="15.75" customHeight="1">
      <c r="J43" s="59"/>
    </row>
    <row r="44" spans="10:10" ht="15.75" customHeight="1">
      <c r="J44" s="59"/>
    </row>
    <row r="45" spans="10:10" ht="15.75" customHeight="1">
      <c r="J45" s="59"/>
    </row>
    <row r="46" spans="10:10" ht="15.75" customHeight="1">
      <c r="J46" s="59"/>
    </row>
    <row r="47" spans="10:10" ht="13">
      <c r="J47" s="59"/>
    </row>
    <row r="48" spans="10:10" ht="13">
      <c r="J48" s="59"/>
    </row>
    <row r="49" spans="10:10" ht="13">
      <c r="J49" s="59"/>
    </row>
    <row r="50" spans="10:10" ht="13">
      <c r="J50" s="59"/>
    </row>
    <row r="51" spans="10:10" ht="13">
      <c r="J51" s="59"/>
    </row>
    <row r="52" spans="10:10" ht="13">
      <c r="J52" s="59"/>
    </row>
    <row r="53" spans="10:10" ht="13">
      <c r="J53" s="59"/>
    </row>
    <row r="54" spans="10:10" ht="13">
      <c r="J54" s="59"/>
    </row>
    <row r="55" spans="10:10" ht="13">
      <c r="J55" s="59"/>
    </row>
    <row r="56" spans="10:10" ht="13">
      <c r="J56" s="59"/>
    </row>
    <row r="57" spans="10:10" ht="13">
      <c r="J57" s="59"/>
    </row>
    <row r="58" spans="10:10" ht="13">
      <c r="J58" s="59"/>
    </row>
    <row r="59" spans="10:10" ht="13">
      <c r="J59" s="59"/>
    </row>
    <row r="60" spans="10:10" ht="13">
      <c r="J60" s="59"/>
    </row>
    <row r="61" spans="10:10" ht="13">
      <c r="J61" s="59"/>
    </row>
    <row r="62" spans="10:10" ht="13">
      <c r="J62" s="59"/>
    </row>
    <row r="63" spans="10:10" ht="13">
      <c r="J63" s="59"/>
    </row>
    <row r="64" spans="10:10" ht="13">
      <c r="J64" s="59"/>
    </row>
    <row r="65" spans="10:10" ht="13">
      <c r="J65" s="59"/>
    </row>
    <row r="66" spans="10:10" ht="13">
      <c r="J66" s="59"/>
    </row>
    <row r="67" spans="10:10" ht="13">
      <c r="J67" s="59"/>
    </row>
    <row r="68" spans="10:10" ht="13">
      <c r="J68" s="59"/>
    </row>
    <row r="69" spans="10:10" ht="13">
      <c r="J69" s="59"/>
    </row>
    <row r="70" spans="10:10" ht="13">
      <c r="J70" s="59"/>
    </row>
    <row r="71" spans="10:10" ht="13">
      <c r="J71" s="59"/>
    </row>
    <row r="72" spans="10:10" ht="13">
      <c r="J72" s="59"/>
    </row>
    <row r="73" spans="10:10" ht="13">
      <c r="J73" s="59"/>
    </row>
    <row r="74" spans="10:10" ht="13">
      <c r="J74" s="59"/>
    </row>
    <row r="75" spans="10:10" ht="13">
      <c r="J75" s="59"/>
    </row>
    <row r="76" spans="10:10" ht="13">
      <c r="J76" s="59"/>
    </row>
    <row r="77" spans="10:10" ht="13">
      <c r="J77" s="59"/>
    </row>
    <row r="78" spans="10:10" ht="13">
      <c r="J78" s="59"/>
    </row>
    <row r="79" spans="10:10" ht="13">
      <c r="J79" s="59"/>
    </row>
    <row r="80" spans="10:10" ht="13">
      <c r="J80" s="59"/>
    </row>
    <row r="81" spans="10:10" ht="13">
      <c r="J81" s="59"/>
    </row>
    <row r="82" spans="10:10" ht="13">
      <c r="J82" s="59"/>
    </row>
    <row r="83" spans="10:10" ht="13">
      <c r="J83" s="59"/>
    </row>
    <row r="84" spans="10:10" ht="13">
      <c r="J84" s="59"/>
    </row>
    <row r="85" spans="10:10" ht="13">
      <c r="J85" s="59"/>
    </row>
    <row r="86" spans="10:10" ht="13">
      <c r="J86" s="59"/>
    </row>
    <row r="87" spans="10:10" ht="13">
      <c r="J87" s="59"/>
    </row>
    <row r="88" spans="10:10" ht="13">
      <c r="J88" s="59"/>
    </row>
    <row r="89" spans="10:10" ht="13">
      <c r="J89" s="59"/>
    </row>
    <row r="90" spans="10:10" ht="13">
      <c r="J90" s="59"/>
    </row>
    <row r="91" spans="10:10" ht="13">
      <c r="J91" s="59"/>
    </row>
    <row r="92" spans="10:10" ht="13">
      <c r="J92" s="59"/>
    </row>
    <row r="93" spans="10:10" ht="13">
      <c r="J93" s="59"/>
    </row>
    <row r="94" spans="10:10" ht="13">
      <c r="J94" s="59"/>
    </row>
    <row r="95" spans="10:10" ht="13">
      <c r="J95" s="59"/>
    </row>
    <row r="96" spans="10:10" ht="13">
      <c r="J96" s="59"/>
    </row>
    <row r="97" spans="10:10" ht="13">
      <c r="J97" s="59"/>
    </row>
    <row r="98" spans="10:10" ht="13">
      <c r="J98" s="59"/>
    </row>
    <row r="99" spans="10:10" ht="13">
      <c r="J99" s="59"/>
    </row>
    <row r="100" spans="10:10" ht="13">
      <c r="J100" s="59"/>
    </row>
    <row r="101" spans="10:10" ht="13">
      <c r="J101" s="59"/>
    </row>
    <row r="102" spans="10:10" ht="13">
      <c r="J102" s="59"/>
    </row>
    <row r="103" spans="10:10" ht="13">
      <c r="J103" s="59"/>
    </row>
    <row r="104" spans="10:10" ht="13">
      <c r="J104" s="59"/>
    </row>
    <row r="105" spans="10:10" ht="13">
      <c r="J105" s="59"/>
    </row>
    <row r="106" spans="10:10" ht="13">
      <c r="J106" s="59"/>
    </row>
    <row r="107" spans="10:10" ht="13">
      <c r="J107" s="59"/>
    </row>
    <row r="108" spans="10:10" ht="13">
      <c r="J108" s="59"/>
    </row>
    <row r="109" spans="10:10" ht="13">
      <c r="J109" s="59"/>
    </row>
    <row r="110" spans="10:10" ht="13">
      <c r="J110" s="59"/>
    </row>
    <row r="111" spans="10:10" ht="13">
      <c r="J111" s="59"/>
    </row>
    <row r="112" spans="10:10" ht="13">
      <c r="J112" s="59"/>
    </row>
    <row r="113" spans="10:10" ht="13">
      <c r="J113" s="59"/>
    </row>
    <row r="114" spans="10:10" ht="13">
      <c r="J114" s="59"/>
    </row>
    <row r="115" spans="10:10" ht="13">
      <c r="J115" s="59"/>
    </row>
    <row r="116" spans="10:10" ht="13">
      <c r="J116" s="59"/>
    </row>
    <row r="117" spans="10:10" ht="13">
      <c r="J117" s="59"/>
    </row>
    <row r="118" spans="10:10" ht="13">
      <c r="J118" s="59"/>
    </row>
    <row r="119" spans="10:10" ht="13">
      <c r="J119" s="59"/>
    </row>
    <row r="120" spans="10:10" ht="13">
      <c r="J120" s="59"/>
    </row>
    <row r="121" spans="10:10" ht="13">
      <c r="J121" s="59"/>
    </row>
    <row r="122" spans="10:10" ht="13">
      <c r="J122" s="59"/>
    </row>
    <row r="123" spans="10:10" ht="13">
      <c r="J123" s="59"/>
    </row>
    <row r="124" spans="10:10" ht="13">
      <c r="J124" s="59"/>
    </row>
    <row r="125" spans="10:10" ht="13">
      <c r="J125" s="59"/>
    </row>
    <row r="126" spans="10:10" ht="13">
      <c r="J126" s="59"/>
    </row>
    <row r="127" spans="10:10" ht="13">
      <c r="J127" s="59"/>
    </row>
    <row r="128" spans="10:10" ht="13">
      <c r="J128" s="59"/>
    </row>
    <row r="129" spans="10:10" ht="13">
      <c r="J129" s="59"/>
    </row>
    <row r="130" spans="10:10" ht="13">
      <c r="J130" s="59"/>
    </row>
    <row r="131" spans="10:10" ht="13">
      <c r="J131" s="59"/>
    </row>
    <row r="132" spans="10:10" ht="13">
      <c r="J132" s="59"/>
    </row>
    <row r="133" spans="10:10" ht="13">
      <c r="J133" s="59"/>
    </row>
    <row r="134" spans="10:10" ht="13">
      <c r="J134" s="59"/>
    </row>
    <row r="135" spans="10:10" ht="13">
      <c r="J135" s="59"/>
    </row>
    <row r="136" spans="10:10" ht="13">
      <c r="J136" s="59"/>
    </row>
    <row r="137" spans="10:10" ht="13">
      <c r="J137" s="59"/>
    </row>
    <row r="138" spans="10:10" ht="13">
      <c r="J138" s="59"/>
    </row>
    <row r="139" spans="10:10" ht="13">
      <c r="J139" s="59"/>
    </row>
    <row r="140" spans="10:10" ht="13">
      <c r="J140" s="59"/>
    </row>
    <row r="141" spans="10:10" ht="13">
      <c r="J141" s="59"/>
    </row>
    <row r="142" spans="10:10" ht="13">
      <c r="J142" s="59"/>
    </row>
    <row r="143" spans="10:10" ht="13">
      <c r="J143" s="59"/>
    </row>
    <row r="144" spans="10:10" ht="13">
      <c r="J144" s="59"/>
    </row>
    <row r="145" spans="10:10" ht="13">
      <c r="J145" s="59"/>
    </row>
    <row r="146" spans="10:10" ht="13">
      <c r="J146" s="59"/>
    </row>
    <row r="147" spans="10:10" ht="13">
      <c r="J147" s="59"/>
    </row>
    <row r="148" spans="10:10" ht="13">
      <c r="J148" s="59"/>
    </row>
    <row r="149" spans="10:10" ht="13">
      <c r="J149" s="59"/>
    </row>
    <row r="150" spans="10:10" ht="13">
      <c r="J150" s="59"/>
    </row>
    <row r="151" spans="10:10" ht="13">
      <c r="J151" s="59"/>
    </row>
    <row r="152" spans="10:10" ht="13">
      <c r="J152" s="59"/>
    </row>
    <row r="153" spans="10:10" ht="13">
      <c r="J153" s="59"/>
    </row>
    <row r="154" spans="10:10" ht="13">
      <c r="J154" s="59"/>
    </row>
    <row r="155" spans="10:10" ht="13">
      <c r="J155" s="59"/>
    </row>
    <row r="156" spans="10:10" ht="13">
      <c r="J156" s="59"/>
    </row>
    <row r="157" spans="10:10" ht="13">
      <c r="J157" s="59"/>
    </row>
    <row r="158" spans="10:10" ht="13">
      <c r="J158" s="59"/>
    </row>
    <row r="159" spans="10:10" ht="13">
      <c r="J159" s="59"/>
    </row>
    <row r="160" spans="10:10" ht="13">
      <c r="J160" s="59"/>
    </row>
    <row r="161" spans="10:10" ht="13">
      <c r="J161" s="59"/>
    </row>
    <row r="162" spans="10:10" ht="13">
      <c r="J162" s="59"/>
    </row>
    <row r="163" spans="10:10" ht="13">
      <c r="J163" s="59"/>
    </row>
    <row r="164" spans="10:10" ht="13">
      <c r="J164" s="59"/>
    </row>
    <row r="165" spans="10:10" ht="13">
      <c r="J165" s="59"/>
    </row>
    <row r="166" spans="10:10" ht="13">
      <c r="J166" s="59"/>
    </row>
    <row r="167" spans="10:10" ht="13">
      <c r="J167" s="59"/>
    </row>
    <row r="168" spans="10:10" ht="13">
      <c r="J168" s="59"/>
    </row>
    <row r="169" spans="10:10" ht="13">
      <c r="J169" s="59"/>
    </row>
    <row r="170" spans="10:10" ht="13">
      <c r="J170" s="59"/>
    </row>
    <row r="171" spans="10:10" ht="13">
      <c r="J171" s="59"/>
    </row>
    <row r="172" spans="10:10" ht="13">
      <c r="J172" s="59"/>
    </row>
    <row r="173" spans="10:10" ht="13">
      <c r="J173" s="59"/>
    </row>
    <row r="174" spans="10:10" ht="13">
      <c r="J174" s="59"/>
    </row>
    <row r="175" spans="10:10" ht="13">
      <c r="J175" s="59"/>
    </row>
    <row r="176" spans="10:10" ht="13">
      <c r="J176" s="59"/>
    </row>
    <row r="177" spans="10:10" ht="13">
      <c r="J177" s="59"/>
    </row>
    <row r="178" spans="10:10" ht="13">
      <c r="J178" s="59"/>
    </row>
    <row r="179" spans="10:10" ht="13">
      <c r="J179" s="59"/>
    </row>
    <row r="180" spans="10:10" ht="13">
      <c r="J180" s="59"/>
    </row>
    <row r="181" spans="10:10" ht="13">
      <c r="J181" s="59"/>
    </row>
    <row r="182" spans="10:10" ht="13">
      <c r="J182" s="59"/>
    </row>
    <row r="183" spans="10:10" ht="13">
      <c r="J183" s="59"/>
    </row>
    <row r="184" spans="10:10" ht="13">
      <c r="J184" s="59"/>
    </row>
    <row r="185" spans="10:10" ht="13">
      <c r="J185" s="59"/>
    </row>
    <row r="186" spans="10:10" ht="13">
      <c r="J186" s="59"/>
    </row>
    <row r="187" spans="10:10" ht="13">
      <c r="J187" s="59"/>
    </row>
    <row r="188" spans="10:10" ht="13">
      <c r="J188" s="59"/>
    </row>
    <row r="189" spans="10:10" ht="13">
      <c r="J189" s="59"/>
    </row>
    <row r="190" spans="10:10" ht="13">
      <c r="J190" s="59"/>
    </row>
    <row r="191" spans="10:10" ht="13">
      <c r="J191" s="59"/>
    </row>
    <row r="192" spans="10:10" ht="13">
      <c r="J192" s="59"/>
    </row>
    <row r="193" spans="10:10" ht="13">
      <c r="J193" s="59"/>
    </row>
    <row r="194" spans="10:10" ht="13">
      <c r="J194" s="59"/>
    </row>
    <row r="195" spans="10:10" ht="13">
      <c r="J195" s="59"/>
    </row>
    <row r="196" spans="10:10" ht="13">
      <c r="J196" s="59"/>
    </row>
    <row r="197" spans="10:10" ht="13">
      <c r="J197" s="59"/>
    </row>
    <row r="198" spans="10:10" ht="13">
      <c r="J198" s="59"/>
    </row>
    <row r="199" spans="10:10" ht="13">
      <c r="J199" s="59"/>
    </row>
    <row r="200" spans="10:10" ht="13">
      <c r="J200" s="59"/>
    </row>
    <row r="201" spans="10:10" ht="13">
      <c r="J201" s="59"/>
    </row>
    <row r="202" spans="10:10" ht="13">
      <c r="J202" s="59"/>
    </row>
    <row r="203" spans="10:10" ht="13">
      <c r="J203" s="59"/>
    </row>
    <row r="204" spans="10:10" ht="13">
      <c r="J204" s="59"/>
    </row>
    <row r="205" spans="10:10" ht="13">
      <c r="J205" s="59"/>
    </row>
    <row r="206" spans="10:10" ht="13">
      <c r="J206" s="59"/>
    </row>
    <row r="207" spans="10:10" ht="13">
      <c r="J207" s="59"/>
    </row>
    <row r="208" spans="10:10" ht="13">
      <c r="J208" s="59"/>
    </row>
    <row r="209" spans="10:10" ht="13">
      <c r="J209" s="59"/>
    </row>
    <row r="210" spans="10:10" ht="13">
      <c r="J210" s="59"/>
    </row>
    <row r="211" spans="10:10" ht="13">
      <c r="J211" s="59"/>
    </row>
    <row r="212" spans="10:10" ht="13">
      <c r="J212" s="59"/>
    </row>
    <row r="213" spans="10:10" ht="13">
      <c r="J213" s="59"/>
    </row>
    <row r="214" spans="10:10" ht="13">
      <c r="J214" s="59"/>
    </row>
    <row r="215" spans="10:10" ht="13">
      <c r="J215" s="59"/>
    </row>
    <row r="216" spans="10:10" ht="13">
      <c r="J216" s="59"/>
    </row>
    <row r="217" spans="10:10" ht="13">
      <c r="J217" s="59"/>
    </row>
    <row r="218" spans="10:10" ht="13">
      <c r="J218" s="59"/>
    </row>
    <row r="219" spans="10:10" ht="13">
      <c r="J219" s="59"/>
    </row>
    <row r="220" spans="10:10" ht="13">
      <c r="J220" s="59"/>
    </row>
    <row r="221" spans="10:10" ht="13">
      <c r="J221" s="59"/>
    </row>
    <row r="222" spans="10:10" ht="13">
      <c r="J222" s="59"/>
    </row>
    <row r="223" spans="10:10" ht="13">
      <c r="J223" s="59"/>
    </row>
    <row r="224" spans="10:10" ht="13">
      <c r="J224" s="59"/>
    </row>
    <row r="225" spans="10:10" ht="13">
      <c r="J225" s="59"/>
    </row>
    <row r="226" spans="10:10" ht="13">
      <c r="J226" s="59"/>
    </row>
    <row r="227" spans="10:10" ht="13">
      <c r="J227" s="59"/>
    </row>
    <row r="228" spans="10:10" ht="13">
      <c r="J228" s="59"/>
    </row>
    <row r="229" spans="10:10" ht="13">
      <c r="J229" s="59"/>
    </row>
    <row r="230" spans="10:10" ht="13">
      <c r="J230" s="59"/>
    </row>
    <row r="231" spans="10:10" ht="13">
      <c r="J231" s="59"/>
    </row>
    <row r="232" spans="10:10" ht="13">
      <c r="J232" s="59"/>
    </row>
    <row r="233" spans="10:10" ht="13">
      <c r="J233" s="59"/>
    </row>
    <row r="234" spans="10:10" ht="13">
      <c r="J234" s="59"/>
    </row>
    <row r="235" spans="10:10" ht="13">
      <c r="J235" s="59"/>
    </row>
    <row r="236" spans="10:10" ht="13">
      <c r="J236" s="59"/>
    </row>
    <row r="237" spans="10:10" ht="13">
      <c r="J237" s="59"/>
    </row>
    <row r="238" spans="10:10" ht="13">
      <c r="J238" s="59"/>
    </row>
    <row r="239" spans="10:10" ht="13">
      <c r="J239" s="59"/>
    </row>
    <row r="240" spans="10:10" ht="13">
      <c r="J240" s="59"/>
    </row>
    <row r="241" spans="10:10" ht="13">
      <c r="J241" s="59"/>
    </row>
    <row r="242" spans="10:10" ht="13">
      <c r="J242" s="59"/>
    </row>
    <row r="243" spans="10:10" ht="13">
      <c r="J243" s="59"/>
    </row>
    <row r="244" spans="10:10" ht="13">
      <c r="J244" s="59"/>
    </row>
    <row r="245" spans="10:10" ht="13">
      <c r="J245" s="59"/>
    </row>
    <row r="246" spans="10:10" ht="13">
      <c r="J246" s="59"/>
    </row>
    <row r="247" spans="10:10" ht="13">
      <c r="J247" s="59"/>
    </row>
    <row r="248" spans="10:10" ht="13">
      <c r="J248" s="59"/>
    </row>
    <row r="249" spans="10:10" ht="13">
      <c r="J249" s="59"/>
    </row>
    <row r="250" spans="10:10" ht="13">
      <c r="J250" s="59"/>
    </row>
    <row r="251" spans="10:10" ht="13">
      <c r="J251" s="59"/>
    </row>
    <row r="252" spans="10:10" ht="13">
      <c r="J252" s="59"/>
    </row>
    <row r="253" spans="10:10" ht="13">
      <c r="J253" s="59"/>
    </row>
    <row r="254" spans="10:10" ht="13">
      <c r="J254" s="59"/>
    </row>
    <row r="255" spans="10:10" ht="13">
      <c r="J255" s="59"/>
    </row>
    <row r="256" spans="10:10" ht="13">
      <c r="J256" s="59"/>
    </row>
    <row r="257" spans="10:10" ht="13">
      <c r="J257" s="59"/>
    </row>
    <row r="258" spans="10:10" ht="13">
      <c r="J258" s="59"/>
    </row>
    <row r="259" spans="10:10" ht="13">
      <c r="J259" s="59"/>
    </row>
    <row r="260" spans="10:10" ht="13">
      <c r="J260" s="59"/>
    </row>
    <row r="261" spans="10:10" ht="13">
      <c r="J261" s="59"/>
    </row>
    <row r="262" spans="10:10" ht="13">
      <c r="J262" s="59"/>
    </row>
    <row r="263" spans="10:10" ht="13">
      <c r="J263" s="59"/>
    </row>
    <row r="264" spans="10:10" ht="13">
      <c r="J264" s="59"/>
    </row>
    <row r="265" spans="10:10" ht="13">
      <c r="J265" s="59"/>
    </row>
    <row r="266" spans="10:10" ht="13">
      <c r="J266" s="59"/>
    </row>
    <row r="267" spans="10:10" ht="13">
      <c r="J267" s="59"/>
    </row>
    <row r="268" spans="10:10" ht="13">
      <c r="J268" s="59"/>
    </row>
    <row r="269" spans="10:10" ht="13">
      <c r="J269" s="59"/>
    </row>
    <row r="270" spans="10:10" ht="13">
      <c r="J270" s="59"/>
    </row>
    <row r="271" spans="10:10" ht="13">
      <c r="J271" s="59"/>
    </row>
    <row r="272" spans="10:10" ht="13">
      <c r="J272" s="59"/>
    </row>
    <row r="273" spans="10:10" ht="13">
      <c r="J273" s="59"/>
    </row>
    <row r="274" spans="10:10" ht="13">
      <c r="J274" s="59"/>
    </row>
    <row r="275" spans="10:10" ht="13">
      <c r="J275" s="59"/>
    </row>
    <row r="276" spans="10:10" ht="13">
      <c r="J276" s="59"/>
    </row>
    <row r="277" spans="10:10" ht="13">
      <c r="J277" s="59"/>
    </row>
    <row r="278" spans="10:10" ht="13">
      <c r="J278" s="59"/>
    </row>
    <row r="279" spans="10:10" ht="13">
      <c r="J279" s="59"/>
    </row>
    <row r="280" spans="10:10" ht="13">
      <c r="J280" s="59"/>
    </row>
    <row r="281" spans="10:10" ht="13">
      <c r="J281" s="59"/>
    </row>
    <row r="282" spans="10:10" ht="13">
      <c r="J282" s="59"/>
    </row>
    <row r="283" spans="10:10" ht="13">
      <c r="J283" s="59"/>
    </row>
    <row r="284" spans="10:10" ht="13">
      <c r="J284" s="59"/>
    </row>
    <row r="285" spans="10:10" ht="13">
      <c r="J285" s="59"/>
    </row>
    <row r="286" spans="10:10" ht="13">
      <c r="J286" s="59"/>
    </row>
    <row r="287" spans="10:10" ht="13">
      <c r="J287" s="59"/>
    </row>
    <row r="288" spans="10:10" ht="13">
      <c r="J288" s="59"/>
    </row>
    <row r="289" spans="10:10" ht="13">
      <c r="J289" s="59"/>
    </row>
    <row r="290" spans="10:10" ht="13">
      <c r="J290" s="59"/>
    </row>
    <row r="291" spans="10:10" ht="13">
      <c r="J291" s="59"/>
    </row>
    <row r="292" spans="10:10" ht="13">
      <c r="J292" s="59"/>
    </row>
    <row r="293" spans="10:10" ht="13">
      <c r="J293" s="59"/>
    </row>
    <row r="294" spans="10:10" ht="13">
      <c r="J294" s="59"/>
    </row>
    <row r="295" spans="10:10" ht="13">
      <c r="J295" s="59"/>
    </row>
    <row r="296" spans="10:10" ht="13">
      <c r="J296" s="59"/>
    </row>
    <row r="297" spans="10:10" ht="13">
      <c r="J297" s="59"/>
    </row>
    <row r="298" spans="10:10" ht="13">
      <c r="J298" s="59"/>
    </row>
    <row r="299" spans="10:10" ht="13">
      <c r="J299" s="59"/>
    </row>
    <row r="300" spans="10:10" ht="13">
      <c r="J300" s="59"/>
    </row>
    <row r="301" spans="10:10" ht="13">
      <c r="J301" s="59"/>
    </row>
    <row r="302" spans="10:10" ht="13">
      <c r="J302" s="59"/>
    </row>
    <row r="303" spans="10:10" ht="13">
      <c r="J303" s="59"/>
    </row>
    <row r="304" spans="10:10" ht="13">
      <c r="J304" s="59"/>
    </row>
    <row r="305" spans="10:10" ht="13">
      <c r="J305" s="59"/>
    </row>
    <row r="306" spans="10:10" ht="13">
      <c r="J306" s="59"/>
    </row>
    <row r="307" spans="10:10" ht="13">
      <c r="J307" s="59"/>
    </row>
    <row r="308" spans="10:10" ht="13">
      <c r="J308" s="59"/>
    </row>
    <row r="309" spans="10:10" ht="13">
      <c r="J309" s="59"/>
    </row>
    <row r="310" spans="10:10" ht="13">
      <c r="J310" s="59"/>
    </row>
    <row r="311" spans="10:10" ht="13">
      <c r="J311" s="59"/>
    </row>
    <row r="312" spans="10:10" ht="13">
      <c r="J312" s="59"/>
    </row>
    <row r="313" spans="10:10" ht="13">
      <c r="J313" s="59"/>
    </row>
    <row r="314" spans="10:10" ht="13">
      <c r="J314" s="59"/>
    </row>
    <row r="315" spans="10:10" ht="13">
      <c r="J315" s="59"/>
    </row>
    <row r="316" spans="10:10" ht="13">
      <c r="J316" s="59"/>
    </row>
    <row r="317" spans="10:10" ht="13">
      <c r="J317" s="59"/>
    </row>
    <row r="318" spans="10:10" ht="13">
      <c r="J318" s="59"/>
    </row>
    <row r="319" spans="10:10" ht="13">
      <c r="J319" s="59"/>
    </row>
    <row r="320" spans="10:10" ht="13">
      <c r="J320" s="59"/>
    </row>
    <row r="321" spans="10:10" ht="13">
      <c r="J321" s="59"/>
    </row>
    <row r="322" spans="10:10" ht="13">
      <c r="J322" s="59"/>
    </row>
    <row r="323" spans="10:10" ht="13">
      <c r="J323" s="59"/>
    </row>
    <row r="324" spans="10:10" ht="13">
      <c r="J324" s="59"/>
    </row>
    <row r="325" spans="10:10" ht="13">
      <c r="J325" s="59"/>
    </row>
    <row r="326" spans="10:10" ht="13">
      <c r="J326" s="59"/>
    </row>
    <row r="327" spans="10:10" ht="13">
      <c r="J327" s="59"/>
    </row>
    <row r="328" spans="10:10" ht="13">
      <c r="J328" s="59"/>
    </row>
    <row r="329" spans="10:10" ht="13">
      <c r="J329" s="59"/>
    </row>
    <row r="330" spans="10:10" ht="13">
      <c r="J330" s="59"/>
    </row>
    <row r="331" spans="10:10" ht="13">
      <c r="J331" s="59"/>
    </row>
    <row r="332" spans="10:10" ht="13">
      <c r="J332" s="59"/>
    </row>
    <row r="333" spans="10:10" ht="13">
      <c r="J333" s="59"/>
    </row>
    <row r="334" spans="10:10" ht="13">
      <c r="J334" s="59"/>
    </row>
    <row r="335" spans="10:10" ht="13">
      <c r="J335" s="59"/>
    </row>
    <row r="336" spans="10:10" ht="13">
      <c r="J336" s="59"/>
    </row>
    <row r="337" spans="10:10" ht="13">
      <c r="J337" s="59"/>
    </row>
    <row r="338" spans="10:10" ht="13">
      <c r="J338" s="59"/>
    </row>
    <row r="339" spans="10:10" ht="13">
      <c r="J339" s="59"/>
    </row>
    <row r="340" spans="10:10" ht="13">
      <c r="J340" s="59"/>
    </row>
    <row r="341" spans="10:10" ht="13">
      <c r="J341" s="59"/>
    </row>
    <row r="342" spans="10:10" ht="13">
      <c r="J342" s="59"/>
    </row>
    <row r="343" spans="10:10" ht="13">
      <c r="J343" s="59"/>
    </row>
    <row r="344" spans="10:10" ht="13">
      <c r="J344" s="59"/>
    </row>
    <row r="345" spans="10:10" ht="13">
      <c r="J345" s="59"/>
    </row>
    <row r="346" spans="10:10" ht="13">
      <c r="J346" s="59"/>
    </row>
    <row r="347" spans="10:10" ht="13">
      <c r="J347" s="59"/>
    </row>
    <row r="348" spans="10:10" ht="13">
      <c r="J348" s="59"/>
    </row>
    <row r="349" spans="10:10" ht="13">
      <c r="J349" s="59"/>
    </row>
    <row r="350" spans="10:10" ht="13">
      <c r="J350" s="59"/>
    </row>
    <row r="351" spans="10:10" ht="13">
      <c r="J351" s="59"/>
    </row>
    <row r="352" spans="10:10" ht="13">
      <c r="J352" s="59"/>
    </row>
    <row r="353" spans="10:10" ht="13">
      <c r="J353" s="59"/>
    </row>
    <row r="354" spans="10:10" ht="13">
      <c r="J354" s="59"/>
    </row>
    <row r="355" spans="10:10" ht="13">
      <c r="J355" s="59"/>
    </row>
    <row r="356" spans="10:10" ht="13">
      <c r="J356" s="59"/>
    </row>
    <row r="357" spans="10:10" ht="13">
      <c r="J357" s="59"/>
    </row>
    <row r="358" spans="10:10" ht="13">
      <c r="J358" s="59"/>
    </row>
    <row r="359" spans="10:10" ht="13">
      <c r="J359" s="59"/>
    </row>
    <row r="360" spans="10:10" ht="13">
      <c r="J360" s="59"/>
    </row>
    <row r="361" spans="10:10" ht="13">
      <c r="J361" s="59"/>
    </row>
    <row r="362" spans="10:10" ht="13">
      <c r="J362" s="59"/>
    </row>
    <row r="363" spans="10:10" ht="13">
      <c r="J363" s="59"/>
    </row>
    <row r="364" spans="10:10" ht="13">
      <c r="J364" s="59"/>
    </row>
    <row r="365" spans="10:10" ht="13">
      <c r="J365" s="59"/>
    </row>
    <row r="366" spans="10:10" ht="13">
      <c r="J366" s="59"/>
    </row>
    <row r="367" spans="10:10" ht="13">
      <c r="J367" s="59"/>
    </row>
    <row r="368" spans="10:10" ht="13">
      <c r="J368" s="59"/>
    </row>
    <row r="369" spans="10:10" ht="13">
      <c r="J369" s="59"/>
    </row>
    <row r="370" spans="10:10" ht="13">
      <c r="J370" s="59"/>
    </row>
    <row r="371" spans="10:10" ht="13">
      <c r="J371" s="59"/>
    </row>
    <row r="372" spans="10:10" ht="13">
      <c r="J372" s="59"/>
    </row>
    <row r="373" spans="10:10" ht="13">
      <c r="J373" s="59"/>
    </row>
    <row r="374" spans="10:10" ht="13">
      <c r="J374" s="59"/>
    </row>
    <row r="375" spans="10:10" ht="13">
      <c r="J375" s="59"/>
    </row>
    <row r="376" spans="10:10" ht="13">
      <c r="J376" s="59"/>
    </row>
    <row r="377" spans="10:10" ht="13">
      <c r="J377" s="59"/>
    </row>
    <row r="378" spans="10:10" ht="13">
      <c r="J378" s="59"/>
    </row>
    <row r="379" spans="10:10" ht="13">
      <c r="J379" s="59"/>
    </row>
    <row r="380" spans="10:10" ht="13">
      <c r="J380" s="59"/>
    </row>
    <row r="381" spans="10:10" ht="13">
      <c r="J381" s="59"/>
    </row>
    <row r="382" spans="10:10" ht="13">
      <c r="J382" s="59"/>
    </row>
    <row r="383" spans="10:10" ht="13">
      <c r="J383" s="59"/>
    </row>
    <row r="384" spans="10:10" ht="13">
      <c r="J384" s="59"/>
    </row>
    <row r="385" spans="10:10" ht="13">
      <c r="J385" s="59"/>
    </row>
    <row r="386" spans="10:10" ht="13">
      <c r="J386" s="59"/>
    </row>
    <row r="387" spans="10:10" ht="13">
      <c r="J387" s="59"/>
    </row>
    <row r="388" spans="10:10" ht="13">
      <c r="J388" s="59"/>
    </row>
    <row r="389" spans="10:10" ht="13">
      <c r="J389" s="59"/>
    </row>
    <row r="390" spans="10:10" ht="13">
      <c r="J390" s="59"/>
    </row>
    <row r="391" spans="10:10" ht="13">
      <c r="J391" s="59"/>
    </row>
    <row r="392" spans="10:10" ht="13">
      <c r="J392" s="59"/>
    </row>
    <row r="393" spans="10:10" ht="13">
      <c r="J393" s="59"/>
    </row>
    <row r="394" spans="10:10" ht="13">
      <c r="J394" s="59"/>
    </row>
    <row r="395" spans="10:10" ht="13">
      <c r="J395" s="59"/>
    </row>
    <row r="396" spans="10:10" ht="13">
      <c r="J396" s="59"/>
    </row>
    <row r="397" spans="10:10" ht="13">
      <c r="J397" s="59"/>
    </row>
    <row r="398" spans="10:10" ht="13">
      <c r="J398" s="59"/>
    </row>
    <row r="399" spans="10:10" ht="13">
      <c r="J399" s="59"/>
    </row>
    <row r="400" spans="10:10" ht="13">
      <c r="J400" s="59"/>
    </row>
    <row r="401" spans="10:10" ht="13">
      <c r="J401" s="59"/>
    </row>
    <row r="402" spans="10:10" ht="13">
      <c r="J402" s="59"/>
    </row>
    <row r="403" spans="10:10" ht="13">
      <c r="J403" s="59"/>
    </row>
    <row r="404" spans="10:10" ht="13">
      <c r="J404" s="59"/>
    </row>
    <row r="405" spans="10:10" ht="13">
      <c r="J405" s="59"/>
    </row>
    <row r="406" spans="10:10" ht="13">
      <c r="J406" s="59"/>
    </row>
    <row r="407" spans="10:10" ht="13">
      <c r="J407" s="59"/>
    </row>
    <row r="408" spans="10:10" ht="13">
      <c r="J408" s="59"/>
    </row>
    <row r="409" spans="10:10" ht="13">
      <c r="J409" s="59"/>
    </row>
    <row r="410" spans="10:10" ht="13">
      <c r="J410" s="59"/>
    </row>
    <row r="411" spans="10:10" ht="13">
      <c r="J411" s="59"/>
    </row>
    <row r="412" spans="10:10" ht="13">
      <c r="J412" s="59"/>
    </row>
    <row r="413" spans="10:10" ht="13">
      <c r="J413" s="59"/>
    </row>
    <row r="414" spans="10:10" ht="13">
      <c r="J414" s="59"/>
    </row>
    <row r="415" spans="10:10" ht="13">
      <c r="J415" s="59"/>
    </row>
    <row r="416" spans="10:10" ht="13">
      <c r="J416" s="59"/>
    </row>
    <row r="417" spans="10:10" ht="13">
      <c r="J417" s="59"/>
    </row>
    <row r="418" spans="10:10" ht="13">
      <c r="J418" s="59"/>
    </row>
    <row r="419" spans="10:10" ht="13">
      <c r="J419" s="59"/>
    </row>
    <row r="420" spans="10:10" ht="13">
      <c r="J420" s="59"/>
    </row>
    <row r="421" spans="10:10" ht="13">
      <c r="J421" s="59"/>
    </row>
    <row r="422" spans="10:10" ht="13">
      <c r="J422" s="59"/>
    </row>
    <row r="423" spans="10:10" ht="13">
      <c r="J423" s="59"/>
    </row>
    <row r="424" spans="10:10" ht="13">
      <c r="J424" s="59"/>
    </row>
    <row r="425" spans="10:10" ht="13">
      <c r="J425" s="59"/>
    </row>
    <row r="426" spans="10:10" ht="13">
      <c r="J426" s="59"/>
    </row>
    <row r="427" spans="10:10" ht="13">
      <c r="J427" s="59"/>
    </row>
    <row r="428" spans="10:10" ht="13">
      <c r="J428" s="59"/>
    </row>
    <row r="429" spans="10:10" ht="13">
      <c r="J429" s="59"/>
    </row>
    <row r="430" spans="10:10" ht="13">
      <c r="J430" s="59"/>
    </row>
    <row r="431" spans="10:10" ht="13">
      <c r="J431" s="59"/>
    </row>
    <row r="432" spans="10:10" ht="13">
      <c r="J432" s="59"/>
    </row>
    <row r="433" spans="10:10" ht="13">
      <c r="J433" s="59"/>
    </row>
    <row r="434" spans="10:10" ht="13">
      <c r="J434" s="59"/>
    </row>
    <row r="435" spans="10:10" ht="13">
      <c r="J435" s="59"/>
    </row>
    <row r="436" spans="10:10" ht="13">
      <c r="J436" s="59"/>
    </row>
    <row r="437" spans="10:10" ht="13">
      <c r="J437" s="59"/>
    </row>
    <row r="438" spans="10:10" ht="13">
      <c r="J438" s="59"/>
    </row>
    <row r="439" spans="10:10" ht="13">
      <c r="J439" s="59"/>
    </row>
    <row r="440" spans="10:10" ht="13">
      <c r="J440" s="59"/>
    </row>
    <row r="441" spans="10:10" ht="13">
      <c r="J441" s="59"/>
    </row>
    <row r="442" spans="10:10" ht="13">
      <c r="J442" s="59"/>
    </row>
    <row r="443" spans="10:10" ht="13">
      <c r="J443" s="59"/>
    </row>
    <row r="444" spans="10:10" ht="13">
      <c r="J444" s="59"/>
    </row>
    <row r="445" spans="10:10" ht="13">
      <c r="J445" s="59"/>
    </row>
    <row r="446" spans="10:10" ht="13">
      <c r="J446" s="59"/>
    </row>
    <row r="447" spans="10:10" ht="13">
      <c r="J447" s="59"/>
    </row>
    <row r="448" spans="10:10" ht="13">
      <c r="J448" s="59"/>
    </row>
    <row r="449" spans="10:10" ht="13">
      <c r="J449" s="59"/>
    </row>
    <row r="450" spans="10:10" ht="13">
      <c r="J450" s="59"/>
    </row>
    <row r="451" spans="10:10" ht="13">
      <c r="J451" s="59"/>
    </row>
    <row r="452" spans="10:10" ht="13">
      <c r="J452" s="59"/>
    </row>
    <row r="453" spans="10:10" ht="13">
      <c r="J453" s="59"/>
    </row>
    <row r="454" spans="10:10" ht="13">
      <c r="J454" s="59"/>
    </row>
    <row r="455" spans="10:10" ht="13">
      <c r="J455" s="59"/>
    </row>
    <row r="456" spans="10:10" ht="13">
      <c r="J456" s="59"/>
    </row>
    <row r="457" spans="10:10" ht="13">
      <c r="J457" s="59"/>
    </row>
    <row r="458" spans="10:10" ht="13">
      <c r="J458" s="59"/>
    </row>
    <row r="459" spans="10:10" ht="13">
      <c r="J459" s="59"/>
    </row>
    <row r="460" spans="10:10" ht="13">
      <c r="J460" s="59"/>
    </row>
    <row r="461" spans="10:10" ht="13">
      <c r="J461" s="59"/>
    </row>
    <row r="462" spans="10:10" ht="13">
      <c r="J462" s="59"/>
    </row>
    <row r="463" spans="10:10" ht="13">
      <c r="J463" s="59"/>
    </row>
    <row r="464" spans="10:10" ht="13">
      <c r="J464" s="59"/>
    </row>
    <row r="465" spans="10:10" ht="13">
      <c r="J465" s="59"/>
    </row>
    <row r="466" spans="10:10" ht="13">
      <c r="J466" s="59"/>
    </row>
    <row r="467" spans="10:10" ht="13">
      <c r="J467" s="59"/>
    </row>
    <row r="468" spans="10:10" ht="13">
      <c r="J468" s="59"/>
    </row>
    <row r="469" spans="10:10" ht="13">
      <c r="J469" s="59"/>
    </row>
    <row r="470" spans="10:10" ht="13">
      <c r="J470" s="59"/>
    </row>
    <row r="471" spans="10:10" ht="13">
      <c r="J471" s="59"/>
    </row>
    <row r="472" spans="10:10" ht="13">
      <c r="J472" s="59"/>
    </row>
    <row r="473" spans="10:10" ht="13">
      <c r="J473" s="59"/>
    </row>
    <row r="474" spans="10:10" ht="13">
      <c r="J474" s="59"/>
    </row>
    <row r="475" spans="10:10" ht="13">
      <c r="J475" s="59"/>
    </row>
    <row r="476" spans="10:10" ht="13">
      <c r="J476" s="59"/>
    </row>
    <row r="477" spans="10:10" ht="13">
      <c r="J477" s="59"/>
    </row>
    <row r="478" spans="10:10" ht="13">
      <c r="J478" s="59"/>
    </row>
    <row r="479" spans="10:10" ht="13">
      <c r="J479" s="59"/>
    </row>
    <row r="480" spans="10:10" ht="13">
      <c r="J480" s="59"/>
    </row>
    <row r="481" spans="10:10" ht="13">
      <c r="J481" s="59"/>
    </row>
    <row r="482" spans="10:10" ht="13">
      <c r="J482" s="59"/>
    </row>
    <row r="483" spans="10:10" ht="13">
      <c r="J483" s="59"/>
    </row>
    <row r="484" spans="10:10" ht="13">
      <c r="J484" s="59"/>
    </row>
    <row r="485" spans="10:10" ht="13">
      <c r="J485" s="59"/>
    </row>
    <row r="486" spans="10:10" ht="13">
      <c r="J486" s="59"/>
    </row>
    <row r="487" spans="10:10" ht="13">
      <c r="J487" s="59"/>
    </row>
    <row r="488" spans="10:10" ht="13">
      <c r="J488" s="59"/>
    </row>
    <row r="489" spans="10:10" ht="13">
      <c r="J489" s="59"/>
    </row>
    <row r="490" spans="10:10" ht="13">
      <c r="J490" s="59"/>
    </row>
    <row r="491" spans="10:10" ht="13">
      <c r="J491" s="59"/>
    </row>
    <row r="492" spans="10:10" ht="13">
      <c r="J492" s="59"/>
    </row>
    <row r="493" spans="10:10" ht="13">
      <c r="J493" s="59"/>
    </row>
    <row r="494" spans="10:10" ht="13">
      <c r="J494" s="59"/>
    </row>
    <row r="495" spans="10:10" ht="13">
      <c r="J495" s="59"/>
    </row>
    <row r="496" spans="10:10" ht="13">
      <c r="J496" s="59"/>
    </row>
    <row r="497" spans="10:10" ht="13">
      <c r="J497" s="59"/>
    </row>
    <row r="498" spans="10:10" ht="13">
      <c r="J498" s="59"/>
    </row>
    <row r="499" spans="10:10" ht="13">
      <c r="J499" s="59"/>
    </row>
    <row r="500" spans="10:10" ht="13">
      <c r="J500" s="59"/>
    </row>
    <row r="501" spans="10:10" ht="13">
      <c r="J501" s="59"/>
    </row>
    <row r="502" spans="10:10" ht="13">
      <c r="J502" s="59"/>
    </row>
    <row r="503" spans="10:10" ht="13">
      <c r="J503" s="59"/>
    </row>
    <row r="504" spans="10:10" ht="13">
      <c r="J504" s="59"/>
    </row>
    <row r="505" spans="10:10" ht="13">
      <c r="J505" s="59"/>
    </row>
    <row r="506" spans="10:10" ht="13">
      <c r="J506" s="59"/>
    </row>
    <row r="507" spans="10:10" ht="13">
      <c r="J507" s="59"/>
    </row>
    <row r="508" spans="10:10" ht="13">
      <c r="J508" s="59"/>
    </row>
    <row r="509" spans="10:10" ht="13">
      <c r="J509" s="59"/>
    </row>
    <row r="510" spans="10:10" ht="13">
      <c r="J510" s="59"/>
    </row>
    <row r="511" spans="10:10" ht="13">
      <c r="J511" s="59"/>
    </row>
    <row r="512" spans="10:10" ht="13">
      <c r="J512" s="59"/>
    </row>
    <row r="513" spans="10:10" ht="13">
      <c r="J513" s="59"/>
    </row>
    <row r="514" spans="10:10" ht="13">
      <c r="J514" s="59"/>
    </row>
    <row r="515" spans="10:10" ht="13">
      <c r="J515" s="59"/>
    </row>
    <row r="516" spans="10:10" ht="13">
      <c r="J516" s="59"/>
    </row>
    <row r="517" spans="10:10" ht="13">
      <c r="J517" s="59"/>
    </row>
    <row r="518" spans="10:10" ht="13">
      <c r="J518" s="59"/>
    </row>
    <row r="519" spans="10:10" ht="13">
      <c r="J519" s="59"/>
    </row>
    <row r="520" spans="10:10" ht="13">
      <c r="J520" s="59"/>
    </row>
    <row r="521" spans="10:10" ht="13">
      <c r="J521" s="59"/>
    </row>
    <row r="522" spans="10:10" ht="13">
      <c r="J522" s="59"/>
    </row>
    <row r="523" spans="10:10" ht="13">
      <c r="J523" s="59"/>
    </row>
    <row r="524" spans="10:10" ht="13">
      <c r="J524" s="59"/>
    </row>
    <row r="525" spans="10:10" ht="13">
      <c r="J525" s="59"/>
    </row>
    <row r="526" spans="10:10" ht="13">
      <c r="J526" s="59"/>
    </row>
    <row r="527" spans="10:10" ht="13">
      <c r="J527" s="59"/>
    </row>
    <row r="528" spans="10:10" ht="13">
      <c r="J528" s="59"/>
    </row>
    <row r="529" spans="10:10" ht="13">
      <c r="J529" s="59"/>
    </row>
    <row r="530" spans="10:10" ht="13">
      <c r="J530" s="59"/>
    </row>
    <row r="531" spans="10:10" ht="13">
      <c r="J531" s="59"/>
    </row>
    <row r="532" spans="10:10" ht="13">
      <c r="J532" s="59"/>
    </row>
    <row r="533" spans="10:10" ht="13">
      <c r="J533" s="59"/>
    </row>
    <row r="534" spans="10:10" ht="13">
      <c r="J534" s="59"/>
    </row>
    <row r="535" spans="10:10" ht="13">
      <c r="J535" s="59"/>
    </row>
    <row r="536" spans="10:10" ht="13">
      <c r="J536" s="59"/>
    </row>
    <row r="537" spans="10:10" ht="13">
      <c r="J537" s="59"/>
    </row>
    <row r="538" spans="10:10" ht="13">
      <c r="J538" s="59"/>
    </row>
    <row r="539" spans="10:10" ht="13">
      <c r="J539" s="59"/>
    </row>
    <row r="540" spans="10:10" ht="13">
      <c r="J540" s="59"/>
    </row>
    <row r="541" spans="10:10" ht="13">
      <c r="J541" s="59"/>
    </row>
    <row r="542" spans="10:10" ht="13">
      <c r="J542" s="59"/>
    </row>
    <row r="543" spans="10:10" ht="13">
      <c r="J543" s="59"/>
    </row>
    <row r="544" spans="10:10" ht="13">
      <c r="J544" s="59"/>
    </row>
    <row r="545" spans="10:10" ht="13">
      <c r="J545" s="59"/>
    </row>
    <row r="546" spans="10:10" ht="13">
      <c r="J546" s="59"/>
    </row>
    <row r="547" spans="10:10" ht="13">
      <c r="J547" s="59"/>
    </row>
    <row r="548" spans="10:10" ht="13">
      <c r="J548" s="59"/>
    </row>
    <row r="549" spans="10:10" ht="13">
      <c r="J549" s="59"/>
    </row>
    <row r="550" spans="10:10" ht="13">
      <c r="J550" s="59"/>
    </row>
    <row r="551" spans="10:10" ht="13">
      <c r="J551" s="59"/>
    </row>
    <row r="552" spans="10:10" ht="13">
      <c r="J552" s="59"/>
    </row>
    <row r="553" spans="10:10" ht="13">
      <c r="J553" s="59"/>
    </row>
    <row r="554" spans="10:10" ht="13">
      <c r="J554" s="59"/>
    </row>
    <row r="555" spans="10:10" ht="13">
      <c r="J555" s="59"/>
    </row>
    <row r="556" spans="10:10" ht="13">
      <c r="J556" s="59"/>
    </row>
    <row r="557" spans="10:10" ht="13">
      <c r="J557" s="59"/>
    </row>
    <row r="558" spans="10:10" ht="13">
      <c r="J558" s="59"/>
    </row>
    <row r="559" spans="10:10" ht="13">
      <c r="J559" s="59"/>
    </row>
    <row r="560" spans="10:10" ht="13">
      <c r="J560" s="59"/>
    </row>
    <row r="561" spans="10:10" ht="13">
      <c r="J561" s="59"/>
    </row>
    <row r="562" spans="10:10" ht="13">
      <c r="J562" s="59"/>
    </row>
    <row r="563" spans="10:10" ht="13">
      <c r="J563" s="59"/>
    </row>
    <row r="564" spans="10:10" ht="13">
      <c r="J564" s="59"/>
    </row>
    <row r="565" spans="10:10" ht="13">
      <c r="J565" s="59"/>
    </row>
    <row r="566" spans="10:10" ht="13">
      <c r="J566" s="59"/>
    </row>
    <row r="567" spans="10:10" ht="13">
      <c r="J567" s="59"/>
    </row>
    <row r="568" spans="10:10" ht="13">
      <c r="J568" s="59"/>
    </row>
    <row r="569" spans="10:10" ht="13">
      <c r="J569" s="59"/>
    </row>
    <row r="570" spans="10:10" ht="13">
      <c r="J570" s="59"/>
    </row>
    <row r="571" spans="10:10" ht="13">
      <c r="J571" s="59"/>
    </row>
    <row r="572" spans="10:10" ht="13">
      <c r="J572" s="59"/>
    </row>
    <row r="573" spans="10:10" ht="13">
      <c r="J573" s="59"/>
    </row>
    <row r="574" spans="10:10" ht="13">
      <c r="J574" s="59"/>
    </row>
    <row r="575" spans="10:10" ht="13">
      <c r="J575" s="59"/>
    </row>
    <row r="576" spans="10:10" ht="13">
      <c r="J576" s="59"/>
    </row>
    <row r="577" spans="10:10" ht="13">
      <c r="J577" s="59"/>
    </row>
    <row r="578" spans="10:10" ht="13">
      <c r="J578" s="59"/>
    </row>
    <row r="579" spans="10:10" ht="13">
      <c r="J579" s="59"/>
    </row>
    <row r="580" spans="10:10" ht="13">
      <c r="J580" s="59"/>
    </row>
    <row r="581" spans="10:10" ht="13">
      <c r="J581" s="59"/>
    </row>
    <row r="582" spans="10:10" ht="13">
      <c r="J582" s="59"/>
    </row>
    <row r="583" spans="10:10" ht="13">
      <c r="J583" s="59"/>
    </row>
    <row r="584" spans="10:10" ht="13">
      <c r="J584" s="59"/>
    </row>
    <row r="585" spans="10:10" ht="13">
      <c r="J585" s="59"/>
    </row>
    <row r="586" spans="10:10" ht="13">
      <c r="J586" s="59"/>
    </row>
    <row r="587" spans="10:10" ht="13">
      <c r="J587" s="59"/>
    </row>
    <row r="588" spans="10:10" ht="13">
      <c r="J588" s="59"/>
    </row>
    <row r="589" spans="10:10" ht="13">
      <c r="J589" s="59"/>
    </row>
    <row r="590" spans="10:10" ht="13">
      <c r="J590" s="59"/>
    </row>
    <row r="591" spans="10:10" ht="13">
      <c r="J591" s="59"/>
    </row>
    <row r="592" spans="10:10" ht="13">
      <c r="J592" s="59"/>
    </row>
    <row r="593" spans="10:10" ht="13">
      <c r="J593" s="59"/>
    </row>
    <row r="594" spans="10:10" ht="13">
      <c r="J594" s="59"/>
    </row>
    <row r="595" spans="10:10" ht="13">
      <c r="J595" s="59"/>
    </row>
    <row r="596" spans="10:10" ht="13">
      <c r="J596" s="59"/>
    </row>
    <row r="597" spans="10:10" ht="13">
      <c r="J597" s="59"/>
    </row>
    <row r="598" spans="10:10" ht="13">
      <c r="J598" s="59"/>
    </row>
    <row r="599" spans="10:10" ht="13">
      <c r="J599" s="59"/>
    </row>
    <row r="600" spans="10:10" ht="13">
      <c r="J600" s="59"/>
    </row>
    <row r="601" spans="10:10" ht="13">
      <c r="J601" s="59"/>
    </row>
    <row r="602" spans="10:10" ht="13">
      <c r="J602" s="59"/>
    </row>
    <row r="603" spans="10:10" ht="13">
      <c r="J603" s="59"/>
    </row>
    <row r="604" spans="10:10" ht="13">
      <c r="J604" s="59"/>
    </row>
    <row r="605" spans="10:10" ht="13">
      <c r="J605" s="59"/>
    </row>
    <row r="606" spans="10:10" ht="13">
      <c r="J606" s="59"/>
    </row>
    <row r="607" spans="10:10" ht="13">
      <c r="J607" s="59"/>
    </row>
    <row r="608" spans="10:10" ht="13">
      <c r="J608" s="59"/>
    </row>
    <row r="609" spans="10:10" ht="13">
      <c r="J609" s="59"/>
    </row>
    <row r="610" spans="10:10" ht="13">
      <c r="J610" s="59"/>
    </row>
    <row r="611" spans="10:10" ht="13">
      <c r="J611" s="59"/>
    </row>
    <row r="612" spans="10:10" ht="13">
      <c r="J612" s="59"/>
    </row>
    <row r="613" spans="10:10" ht="13">
      <c r="J613" s="59"/>
    </row>
    <row r="614" spans="10:10" ht="13">
      <c r="J614" s="59"/>
    </row>
    <row r="615" spans="10:10" ht="13">
      <c r="J615" s="59"/>
    </row>
    <row r="616" spans="10:10" ht="13">
      <c r="J616" s="59"/>
    </row>
    <row r="617" spans="10:10" ht="13">
      <c r="J617" s="59"/>
    </row>
    <row r="618" spans="10:10" ht="13">
      <c r="J618" s="59"/>
    </row>
    <row r="619" spans="10:10" ht="13">
      <c r="J619" s="59"/>
    </row>
    <row r="620" spans="10:10" ht="13">
      <c r="J620" s="59"/>
    </row>
    <row r="621" spans="10:10" ht="13">
      <c r="J621" s="59"/>
    </row>
    <row r="622" spans="10:10" ht="13">
      <c r="J622" s="59"/>
    </row>
    <row r="623" spans="10:10" ht="13">
      <c r="J623" s="59"/>
    </row>
    <row r="624" spans="10:10" ht="13">
      <c r="J624" s="59"/>
    </row>
    <row r="625" spans="10:10" ht="13">
      <c r="J625" s="59"/>
    </row>
    <row r="626" spans="10:10" ht="13">
      <c r="J626" s="59"/>
    </row>
    <row r="627" spans="10:10" ht="13">
      <c r="J627" s="59"/>
    </row>
    <row r="628" spans="10:10" ht="13">
      <c r="J628" s="59"/>
    </row>
    <row r="629" spans="10:10" ht="13">
      <c r="J629" s="59"/>
    </row>
    <row r="630" spans="10:10" ht="13">
      <c r="J630" s="59"/>
    </row>
    <row r="631" spans="10:10" ht="13">
      <c r="J631" s="59"/>
    </row>
    <row r="632" spans="10:10" ht="13">
      <c r="J632" s="59"/>
    </row>
    <row r="633" spans="10:10" ht="13">
      <c r="J633" s="59"/>
    </row>
    <row r="634" spans="10:10" ht="13">
      <c r="J634" s="59"/>
    </row>
    <row r="635" spans="10:10" ht="13">
      <c r="J635" s="59"/>
    </row>
    <row r="636" spans="10:10" ht="13">
      <c r="J636" s="59"/>
    </row>
    <row r="637" spans="10:10" ht="13">
      <c r="J637" s="59"/>
    </row>
    <row r="638" spans="10:10" ht="13">
      <c r="J638" s="59"/>
    </row>
    <row r="639" spans="10:10" ht="13">
      <c r="J639" s="59"/>
    </row>
    <row r="640" spans="10:10" ht="13">
      <c r="J640" s="59"/>
    </row>
    <row r="641" spans="10:10" ht="13">
      <c r="J641" s="59"/>
    </row>
    <row r="642" spans="10:10" ht="13">
      <c r="J642" s="59"/>
    </row>
    <row r="643" spans="10:10" ht="13">
      <c r="J643" s="59"/>
    </row>
    <row r="644" spans="10:10" ht="13">
      <c r="J644" s="59"/>
    </row>
    <row r="645" spans="10:10" ht="13">
      <c r="J645" s="59"/>
    </row>
    <row r="646" spans="10:10" ht="13">
      <c r="J646" s="59"/>
    </row>
    <row r="647" spans="10:10" ht="13">
      <c r="J647" s="59"/>
    </row>
    <row r="648" spans="10:10" ht="13">
      <c r="J648" s="59"/>
    </row>
    <row r="649" spans="10:10" ht="13">
      <c r="J649" s="59"/>
    </row>
    <row r="650" spans="10:10" ht="13">
      <c r="J650" s="59"/>
    </row>
    <row r="651" spans="10:10" ht="13">
      <c r="J651" s="59"/>
    </row>
    <row r="652" spans="10:10" ht="13">
      <c r="J652" s="59"/>
    </row>
    <row r="653" spans="10:10" ht="13">
      <c r="J653" s="59"/>
    </row>
    <row r="654" spans="10:10" ht="13">
      <c r="J654" s="59"/>
    </row>
    <row r="655" spans="10:10" ht="13">
      <c r="J655" s="59"/>
    </row>
    <row r="656" spans="10:10" ht="13">
      <c r="J656" s="59"/>
    </row>
    <row r="657" spans="10:10" ht="13">
      <c r="J657" s="59"/>
    </row>
    <row r="658" spans="10:10" ht="13">
      <c r="J658" s="59"/>
    </row>
    <row r="659" spans="10:10" ht="13">
      <c r="J659" s="59"/>
    </row>
    <row r="660" spans="10:10" ht="13">
      <c r="J660" s="59"/>
    </row>
    <row r="661" spans="10:10" ht="13">
      <c r="J661" s="59"/>
    </row>
    <row r="662" spans="10:10" ht="13">
      <c r="J662" s="59"/>
    </row>
    <row r="663" spans="10:10" ht="13">
      <c r="J663" s="59"/>
    </row>
    <row r="664" spans="10:10" ht="13">
      <c r="J664" s="59"/>
    </row>
    <row r="665" spans="10:10" ht="13">
      <c r="J665" s="59"/>
    </row>
    <row r="666" spans="10:10" ht="13">
      <c r="J666" s="59"/>
    </row>
    <row r="667" spans="10:10" ht="13">
      <c r="J667" s="59"/>
    </row>
    <row r="668" spans="10:10" ht="13">
      <c r="J668" s="59"/>
    </row>
    <row r="669" spans="10:10" ht="13">
      <c r="J669" s="59"/>
    </row>
    <row r="670" spans="10:10" ht="13">
      <c r="J670" s="59"/>
    </row>
    <row r="671" spans="10:10" ht="13">
      <c r="J671" s="59"/>
    </row>
    <row r="672" spans="10:10" ht="13">
      <c r="J672" s="59"/>
    </row>
    <row r="673" spans="10:10" ht="13">
      <c r="J673" s="59"/>
    </row>
    <row r="674" spans="10:10" ht="13">
      <c r="J674" s="59"/>
    </row>
    <row r="675" spans="10:10" ht="13">
      <c r="J675" s="59"/>
    </row>
    <row r="676" spans="10:10" ht="13">
      <c r="J676" s="59"/>
    </row>
    <row r="677" spans="10:10" ht="13">
      <c r="J677" s="59"/>
    </row>
    <row r="678" spans="10:10" ht="13">
      <c r="J678" s="59"/>
    </row>
    <row r="679" spans="10:10" ht="13">
      <c r="J679" s="59"/>
    </row>
    <row r="680" spans="10:10" ht="13">
      <c r="J680" s="59"/>
    </row>
    <row r="681" spans="10:10" ht="13">
      <c r="J681" s="59"/>
    </row>
    <row r="682" spans="10:10" ht="13">
      <c r="J682" s="59"/>
    </row>
    <row r="683" spans="10:10" ht="13">
      <c r="J683" s="59"/>
    </row>
    <row r="684" spans="10:10" ht="13">
      <c r="J684" s="59"/>
    </row>
    <row r="685" spans="10:10" ht="13">
      <c r="J685" s="59"/>
    </row>
    <row r="686" spans="10:10" ht="13">
      <c r="J686" s="59"/>
    </row>
    <row r="687" spans="10:10" ht="13">
      <c r="J687" s="59"/>
    </row>
    <row r="688" spans="10:10" ht="13">
      <c r="J688" s="59"/>
    </row>
    <row r="689" spans="10:10" ht="13">
      <c r="J689" s="59"/>
    </row>
    <row r="690" spans="10:10" ht="13">
      <c r="J690" s="59"/>
    </row>
    <row r="691" spans="10:10" ht="13">
      <c r="J691" s="59"/>
    </row>
    <row r="692" spans="10:10" ht="13">
      <c r="J692" s="59"/>
    </row>
    <row r="693" spans="10:10" ht="13">
      <c r="J693" s="59"/>
    </row>
    <row r="694" spans="10:10" ht="13">
      <c r="J694" s="59"/>
    </row>
    <row r="695" spans="10:10" ht="13">
      <c r="J695" s="59"/>
    </row>
    <row r="696" spans="10:10" ht="13">
      <c r="J696" s="59"/>
    </row>
    <row r="697" spans="10:10" ht="13">
      <c r="J697" s="59"/>
    </row>
    <row r="698" spans="10:10" ht="13">
      <c r="J698" s="59"/>
    </row>
    <row r="699" spans="10:10" ht="13">
      <c r="J699" s="59"/>
    </row>
    <row r="700" spans="10:10" ht="13">
      <c r="J700" s="59"/>
    </row>
    <row r="701" spans="10:10" ht="13">
      <c r="J701" s="59"/>
    </row>
    <row r="702" spans="10:10" ht="13">
      <c r="J702" s="59"/>
    </row>
    <row r="703" spans="10:10" ht="13">
      <c r="J703" s="59"/>
    </row>
    <row r="704" spans="10:10" ht="13">
      <c r="J704" s="59"/>
    </row>
    <row r="705" spans="10:10" ht="13">
      <c r="J705" s="59"/>
    </row>
    <row r="706" spans="10:10" ht="13">
      <c r="J706" s="59"/>
    </row>
    <row r="707" spans="10:10" ht="13">
      <c r="J707" s="59"/>
    </row>
    <row r="708" spans="10:10" ht="13">
      <c r="J708" s="59"/>
    </row>
    <row r="709" spans="10:10" ht="13">
      <c r="J709" s="59"/>
    </row>
    <row r="710" spans="10:10" ht="13">
      <c r="J710" s="59"/>
    </row>
    <row r="711" spans="10:10" ht="13">
      <c r="J711" s="59"/>
    </row>
    <row r="712" spans="10:10" ht="13">
      <c r="J712" s="59"/>
    </row>
    <row r="713" spans="10:10" ht="13">
      <c r="J713" s="59"/>
    </row>
    <row r="714" spans="10:10" ht="13">
      <c r="J714" s="59"/>
    </row>
    <row r="715" spans="10:10" ht="13">
      <c r="J715" s="59"/>
    </row>
    <row r="716" spans="10:10" ht="13">
      <c r="J716" s="59"/>
    </row>
    <row r="717" spans="10:10" ht="13">
      <c r="J717" s="59"/>
    </row>
    <row r="718" spans="10:10" ht="13">
      <c r="J718" s="59"/>
    </row>
    <row r="719" spans="10:10" ht="13">
      <c r="J719" s="59"/>
    </row>
    <row r="720" spans="10:10" ht="13">
      <c r="J720" s="59"/>
    </row>
    <row r="721" spans="10:10" ht="13">
      <c r="J721" s="59"/>
    </row>
    <row r="722" spans="10:10" ht="13">
      <c r="J722" s="59"/>
    </row>
    <row r="723" spans="10:10" ht="13">
      <c r="J723" s="59"/>
    </row>
    <row r="724" spans="10:10" ht="13">
      <c r="J724" s="59"/>
    </row>
    <row r="725" spans="10:10" ht="13">
      <c r="J725" s="59"/>
    </row>
    <row r="726" spans="10:10" ht="13">
      <c r="J726" s="59"/>
    </row>
    <row r="727" spans="10:10" ht="13">
      <c r="J727" s="59"/>
    </row>
    <row r="728" spans="10:10" ht="13">
      <c r="J728" s="59"/>
    </row>
    <row r="729" spans="10:10" ht="13">
      <c r="J729" s="59"/>
    </row>
    <row r="730" spans="10:10" ht="13">
      <c r="J730" s="59"/>
    </row>
    <row r="731" spans="10:10" ht="13">
      <c r="J731" s="59"/>
    </row>
    <row r="732" spans="10:10" ht="13">
      <c r="J732" s="59"/>
    </row>
    <row r="733" spans="10:10" ht="13">
      <c r="J733" s="59"/>
    </row>
    <row r="734" spans="10:10" ht="13">
      <c r="J734" s="59"/>
    </row>
    <row r="735" spans="10:10" ht="13">
      <c r="J735" s="59"/>
    </row>
    <row r="736" spans="10:10" ht="13">
      <c r="J736" s="59"/>
    </row>
    <row r="737" spans="10:10" ht="13">
      <c r="J737" s="59"/>
    </row>
    <row r="738" spans="10:10" ht="13">
      <c r="J738" s="59"/>
    </row>
    <row r="739" spans="10:10" ht="13">
      <c r="J739" s="59"/>
    </row>
    <row r="740" spans="10:10" ht="13">
      <c r="J740" s="59"/>
    </row>
    <row r="741" spans="10:10" ht="13">
      <c r="J741" s="59"/>
    </row>
    <row r="742" spans="10:10" ht="13">
      <c r="J742" s="59"/>
    </row>
    <row r="743" spans="10:10" ht="13">
      <c r="J743" s="59"/>
    </row>
    <row r="744" spans="10:10" ht="13">
      <c r="J744" s="59"/>
    </row>
    <row r="745" spans="10:10" ht="13">
      <c r="J745" s="59"/>
    </row>
    <row r="746" spans="10:10" ht="13">
      <c r="J746" s="59"/>
    </row>
    <row r="747" spans="10:10" ht="13">
      <c r="J747" s="59"/>
    </row>
    <row r="748" spans="10:10" ht="13">
      <c r="J748" s="59"/>
    </row>
    <row r="749" spans="10:10" ht="13">
      <c r="J749" s="59"/>
    </row>
    <row r="750" spans="10:10" ht="13">
      <c r="J750" s="59"/>
    </row>
    <row r="751" spans="10:10" ht="13">
      <c r="J751" s="59"/>
    </row>
    <row r="752" spans="10:10" ht="13">
      <c r="J752" s="59"/>
    </row>
    <row r="753" spans="10:10" ht="13">
      <c r="J753" s="59"/>
    </row>
    <row r="754" spans="10:10" ht="13">
      <c r="J754" s="59"/>
    </row>
    <row r="755" spans="10:10" ht="13">
      <c r="J755" s="59"/>
    </row>
    <row r="756" spans="10:10" ht="13">
      <c r="J756" s="59"/>
    </row>
    <row r="757" spans="10:10" ht="13">
      <c r="J757" s="59"/>
    </row>
    <row r="758" spans="10:10" ht="13">
      <c r="J758" s="59"/>
    </row>
    <row r="759" spans="10:10" ht="13">
      <c r="J759" s="59"/>
    </row>
    <row r="760" spans="10:10" ht="13">
      <c r="J760" s="59"/>
    </row>
    <row r="761" spans="10:10" ht="13">
      <c r="J761" s="59"/>
    </row>
    <row r="762" spans="10:10" ht="13">
      <c r="J762" s="59"/>
    </row>
    <row r="763" spans="10:10" ht="13">
      <c r="J763" s="59"/>
    </row>
    <row r="764" spans="10:10" ht="13">
      <c r="J764" s="59"/>
    </row>
    <row r="765" spans="10:10" ht="13">
      <c r="J765" s="59"/>
    </row>
    <row r="766" spans="10:10" ht="13">
      <c r="J766" s="59"/>
    </row>
    <row r="767" spans="10:10" ht="13">
      <c r="J767" s="59"/>
    </row>
    <row r="768" spans="10:10" ht="13">
      <c r="J768" s="59"/>
    </row>
    <row r="769" spans="10:10" ht="13">
      <c r="J769" s="59"/>
    </row>
    <row r="770" spans="10:10" ht="13">
      <c r="J770" s="59"/>
    </row>
    <row r="771" spans="10:10" ht="13">
      <c r="J771" s="59"/>
    </row>
    <row r="772" spans="10:10" ht="13">
      <c r="J772" s="59"/>
    </row>
    <row r="773" spans="10:10" ht="13">
      <c r="J773" s="59"/>
    </row>
    <row r="774" spans="10:10" ht="13">
      <c r="J774" s="59"/>
    </row>
    <row r="775" spans="10:10" ht="13">
      <c r="J775" s="59"/>
    </row>
    <row r="776" spans="10:10" ht="13">
      <c r="J776" s="59"/>
    </row>
    <row r="777" spans="10:10" ht="13">
      <c r="J777" s="59"/>
    </row>
    <row r="778" spans="10:10" ht="13">
      <c r="J778" s="59"/>
    </row>
    <row r="779" spans="10:10" ht="13">
      <c r="J779" s="59"/>
    </row>
    <row r="780" spans="10:10" ht="13">
      <c r="J780" s="59"/>
    </row>
    <row r="781" spans="10:10" ht="13">
      <c r="J781" s="59"/>
    </row>
    <row r="782" spans="10:10" ht="13">
      <c r="J782" s="59"/>
    </row>
    <row r="783" spans="10:10" ht="13">
      <c r="J783" s="59"/>
    </row>
    <row r="784" spans="10:10" ht="13">
      <c r="J784" s="59"/>
    </row>
    <row r="785" spans="10:10" ht="13">
      <c r="J785" s="59"/>
    </row>
    <row r="786" spans="10:10" ht="13">
      <c r="J786" s="59"/>
    </row>
    <row r="787" spans="10:10" ht="13">
      <c r="J787" s="59"/>
    </row>
    <row r="788" spans="10:10" ht="13">
      <c r="J788" s="59"/>
    </row>
    <row r="789" spans="10:10" ht="13">
      <c r="J789" s="59"/>
    </row>
    <row r="790" spans="10:10" ht="13">
      <c r="J790" s="59"/>
    </row>
    <row r="791" spans="10:10" ht="13">
      <c r="J791" s="59"/>
    </row>
    <row r="792" spans="10:10" ht="13">
      <c r="J792" s="59"/>
    </row>
    <row r="793" spans="10:10" ht="13">
      <c r="J793" s="59"/>
    </row>
    <row r="794" spans="10:10" ht="13">
      <c r="J794" s="59"/>
    </row>
    <row r="795" spans="10:10" ht="13">
      <c r="J795" s="59"/>
    </row>
    <row r="796" spans="10:10" ht="13">
      <c r="J796" s="59"/>
    </row>
    <row r="797" spans="10:10" ht="13">
      <c r="J797" s="59"/>
    </row>
    <row r="798" spans="10:10" ht="13">
      <c r="J798" s="59"/>
    </row>
    <row r="799" spans="10:10" ht="13">
      <c r="J799" s="59"/>
    </row>
    <row r="800" spans="10:10" ht="13">
      <c r="J800" s="59"/>
    </row>
    <row r="801" spans="10:10" ht="13">
      <c r="J801" s="59"/>
    </row>
    <row r="802" spans="10:10" ht="13">
      <c r="J802" s="59"/>
    </row>
    <row r="803" spans="10:10" ht="13">
      <c r="J803" s="59"/>
    </row>
    <row r="804" spans="10:10" ht="13">
      <c r="J804" s="59"/>
    </row>
    <row r="805" spans="10:10" ht="13">
      <c r="J805" s="59"/>
    </row>
    <row r="806" spans="10:10" ht="13">
      <c r="J806" s="59"/>
    </row>
    <row r="807" spans="10:10" ht="13">
      <c r="J807" s="59"/>
    </row>
    <row r="808" spans="10:10" ht="13">
      <c r="J808" s="59"/>
    </row>
    <row r="809" spans="10:10" ht="13">
      <c r="J809" s="59"/>
    </row>
    <row r="810" spans="10:10" ht="13">
      <c r="J810" s="59"/>
    </row>
    <row r="811" spans="10:10" ht="13">
      <c r="J811" s="59"/>
    </row>
    <row r="812" spans="10:10" ht="13">
      <c r="J812" s="59"/>
    </row>
    <row r="813" spans="10:10" ht="13">
      <c r="J813" s="59"/>
    </row>
    <row r="814" spans="10:10" ht="13">
      <c r="J814" s="59"/>
    </row>
    <row r="815" spans="10:10" ht="13">
      <c r="J815" s="59"/>
    </row>
    <row r="816" spans="10:10" ht="13">
      <c r="J816" s="59"/>
    </row>
    <row r="817" spans="10:10" ht="13">
      <c r="J817" s="59"/>
    </row>
    <row r="818" spans="10:10" ht="13">
      <c r="J818" s="59"/>
    </row>
    <row r="819" spans="10:10" ht="13">
      <c r="J819" s="59"/>
    </row>
    <row r="820" spans="10:10" ht="13">
      <c r="J820" s="59"/>
    </row>
    <row r="821" spans="10:10" ht="13">
      <c r="J821" s="59"/>
    </row>
    <row r="822" spans="10:10" ht="13">
      <c r="J822" s="59"/>
    </row>
    <row r="823" spans="10:10" ht="13">
      <c r="J823" s="59"/>
    </row>
    <row r="824" spans="10:10" ht="13">
      <c r="J824" s="59"/>
    </row>
    <row r="825" spans="10:10" ht="13">
      <c r="J825" s="59"/>
    </row>
    <row r="826" spans="10:10" ht="13">
      <c r="J826" s="59"/>
    </row>
    <row r="827" spans="10:10" ht="13">
      <c r="J827" s="59"/>
    </row>
    <row r="828" spans="10:10" ht="13">
      <c r="J828" s="59"/>
    </row>
    <row r="829" spans="10:10" ht="13">
      <c r="J829" s="59"/>
    </row>
    <row r="830" spans="10:10" ht="13">
      <c r="J830" s="59"/>
    </row>
    <row r="831" spans="10:10" ht="13">
      <c r="J831" s="59"/>
    </row>
    <row r="832" spans="10:10" ht="13">
      <c r="J832" s="59"/>
    </row>
    <row r="833" spans="10:10" ht="13">
      <c r="J833" s="59"/>
    </row>
    <row r="834" spans="10:10" ht="13">
      <c r="J834" s="59"/>
    </row>
    <row r="835" spans="10:10" ht="13">
      <c r="J835" s="59"/>
    </row>
    <row r="836" spans="10:10" ht="13">
      <c r="J836" s="59"/>
    </row>
    <row r="837" spans="10:10" ht="13">
      <c r="J837" s="59"/>
    </row>
    <row r="838" spans="10:10" ht="13">
      <c r="J838" s="59"/>
    </row>
    <row r="839" spans="10:10" ht="13">
      <c r="J839" s="59"/>
    </row>
    <row r="840" spans="10:10" ht="13">
      <c r="J840" s="59"/>
    </row>
    <row r="841" spans="10:10" ht="13">
      <c r="J841" s="59"/>
    </row>
    <row r="842" spans="10:10" ht="13">
      <c r="J842" s="59"/>
    </row>
    <row r="843" spans="10:10" ht="13">
      <c r="J843" s="59"/>
    </row>
    <row r="844" spans="10:10" ht="13">
      <c r="J844" s="59"/>
    </row>
    <row r="845" spans="10:10" ht="13">
      <c r="J845" s="59"/>
    </row>
    <row r="846" spans="10:10" ht="13">
      <c r="J846" s="59"/>
    </row>
    <row r="847" spans="10:10" ht="13">
      <c r="J847" s="59"/>
    </row>
    <row r="848" spans="10:10" ht="13">
      <c r="J848" s="59"/>
    </row>
    <row r="849" spans="10:10" ht="13">
      <c r="J849" s="59"/>
    </row>
    <row r="850" spans="10:10" ht="13">
      <c r="J850" s="59"/>
    </row>
    <row r="851" spans="10:10" ht="13">
      <c r="J851" s="59"/>
    </row>
    <row r="852" spans="10:10" ht="13">
      <c r="J852" s="59"/>
    </row>
    <row r="853" spans="10:10" ht="13">
      <c r="J853" s="59"/>
    </row>
    <row r="854" spans="10:10" ht="13">
      <c r="J854" s="59"/>
    </row>
    <row r="855" spans="10:10" ht="13">
      <c r="J855" s="59"/>
    </row>
    <row r="856" spans="10:10" ht="13">
      <c r="J856" s="59"/>
    </row>
    <row r="857" spans="10:10" ht="13">
      <c r="J857" s="59"/>
    </row>
    <row r="858" spans="10:10" ht="13">
      <c r="J858" s="59"/>
    </row>
    <row r="859" spans="10:10" ht="13">
      <c r="J859" s="59"/>
    </row>
    <row r="860" spans="10:10" ht="13">
      <c r="J860" s="59"/>
    </row>
    <row r="861" spans="10:10" ht="13">
      <c r="J861" s="59"/>
    </row>
    <row r="862" spans="10:10" ht="13">
      <c r="J862" s="59"/>
    </row>
    <row r="863" spans="10:10" ht="13">
      <c r="J863" s="59"/>
    </row>
    <row r="864" spans="10:10" ht="13">
      <c r="J864" s="59"/>
    </row>
    <row r="865" spans="10:10" ht="13">
      <c r="J865" s="59"/>
    </row>
    <row r="866" spans="10:10" ht="13">
      <c r="J866" s="59"/>
    </row>
    <row r="867" spans="10:10" ht="13">
      <c r="J867" s="59"/>
    </row>
    <row r="868" spans="10:10" ht="13">
      <c r="J868" s="59"/>
    </row>
    <row r="869" spans="10:10" ht="13">
      <c r="J869" s="59"/>
    </row>
    <row r="870" spans="10:10" ht="13">
      <c r="J870" s="59"/>
    </row>
    <row r="871" spans="10:10" ht="13">
      <c r="J871" s="59"/>
    </row>
    <row r="872" spans="10:10" ht="13">
      <c r="J872" s="59"/>
    </row>
    <row r="873" spans="10:10" ht="13">
      <c r="J873" s="59"/>
    </row>
    <row r="874" spans="10:10" ht="13">
      <c r="J874" s="59"/>
    </row>
    <row r="875" spans="10:10" ht="13">
      <c r="J875" s="59"/>
    </row>
    <row r="876" spans="10:10" ht="13">
      <c r="J876" s="59"/>
    </row>
    <row r="877" spans="10:10" ht="13">
      <c r="J877" s="59"/>
    </row>
    <row r="878" spans="10:10" ht="13">
      <c r="J878" s="59"/>
    </row>
    <row r="879" spans="10:10" ht="13">
      <c r="J879" s="59"/>
    </row>
    <row r="880" spans="10:10" ht="13">
      <c r="J880" s="59"/>
    </row>
    <row r="881" spans="10:10" ht="13">
      <c r="J881" s="59"/>
    </row>
    <row r="882" spans="10:10" ht="13">
      <c r="J882" s="59"/>
    </row>
    <row r="883" spans="10:10" ht="13">
      <c r="J883" s="59"/>
    </row>
    <row r="884" spans="10:10" ht="13">
      <c r="J884" s="59"/>
    </row>
    <row r="885" spans="10:10" ht="13">
      <c r="J885" s="59"/>
    </row>
    <row r="886" spans="10:10" ht="13">
      <c r="J886" s="59"/>
    </row>
    <row r="887" spans="10:10" ht="13">
      <c r="J887" s="59"/>
    </row>
    <row r="888" spans="10:10" ht="13">
      <c r="J888" s="59"/>
    </row>
    <row r="889" spans="10:10" ht="13">
      <c r="J889" s="59"/>
    </row>
    <row r="890" spans="10:10" ht="13">
      <c r="J890" s="59"/>
    </row>
    <row r="891" spans="10:10" ht="13">
      <c r="J891" s="59"/>
    </row>
    <row r="892" spans="10:10" ht="13">
      <c r="J892" s="59"/>
    </row>
    <row r="893" spans="10:10" ht="13">
      <c r="J893" s="59"/>
    </row>
    <row r="894" spans="10:10" ht="13">
      <c r="J894" s="59"/>
    </row>
    <row r="895" spans="10:10" ht="13">
      <c r="J895" s="59"/>
    </row>
    <row r="896" spans="10:10" ht="13">
      <c r="J896" s="59"/>
    </row>
    <row r="897" spans="10:10" ht="13">
      <c r="J897" s="59"/>
    </row>
    <row r="898" spans="10:10" ht="13">
      <c r="J898" s="59"/>
    </row>
    <row r="899" spans="10:10" ht="13">
      <c r="J899" s="59"/>
    </row>
    <row r="900" spans="10:10" ht="13">
      <c r="J900" s="59"/>
    </row>
    <row r="901" spans="10:10" ht="13">
      <c r="J901" s="59"/>
    </row>
    <row r="902" spans="10:10" ht="13">
      <c r="J902" s="59"/>
    </row>
    <row r="903" spans="10:10" ht="13">
      <c r="J903" s="59"/>
    </row>
    <row r="904" spans="10:10" ht="13">
      <c r="J904" s="59"/>
    </row>
    <row r="905" spans="10:10" ht="13">
      <c r="J905" s="59"/>
    </row>
    <row r="906" spans="10:10" ht="13">
      <c r="J906" s="59"/>
    </row>
    <row r="907" spans="10:10" ht="13">
      <c r="J907" s="59"/>
    </row>
    <row r="908" spans="10:10" ht="13">
      <c r="J908" s="59"/>
    </row>
    <row r="909" spans="10:10" ht="13">
      <c r="J909" s="59"/>
    </row>
    <row r="910" spans="10:10" ht="13">
      <c r="J910" s="59"/>
    </row>
    <row r="911" spans="10:10" ht="13">
      <c r="J911" s="59"/>
    </row>
    <row r="912" spans="10:10" ht="13">
      <c r="J912" s="59"/>
    </row>
    <row r="913" spans="10:10" ht="13">
      <c r="J913" s="59"/>
    </row>
    <row r="914" spans="10:10" ht="13">
      <c r="J914" s="59"/>
    </row>
    <row r="915" spans="10:10" ht="13">
      <c r="J915" s="59"/>
    </row>
    <row r="916" spans="10:10" ht="13">
      <c r="J916" s="59"/>
    </row>
    <row r="917" spans="10:10" ht="13">
      <c r="J917" s="59"/>
    </row>
    <row r="918" spans="10:10" ht="13">
      <c r="J918" s="59"/>
    </row>
    <row r="919" spans="10:10" ht="13">
      <c r="J919" s="59"/>
    </row>
    <row r="920" spans="10:10" ht="13">
      <c r="J920" s="59"/>
    </row>
    <row r="921" spans="10:10" ht="13">
      <c r="J921" s="59"/>
    </row>
    <row r="922" spans="10:10" ht="13">
      <c r="J922" s="59"/>
    </row>
    <row r="923" spans="10:10" ht="13">
      <c r="J923" s="59"/>
    </row>
    <row r="924" spans="10:10" ht="13">
      <c r="J924" s="59"/>
    </row>
    <row r="925" spans="10:10" ht="13">
      <c r="J925" s="59"/>
    </row>
    <row r="926" spans="10:10" ht="13">
      <c r="J926" s="59"/>
    </row>
    <row r="927" spans="10:10" ht="13">
      <c r="J927" s="59"/>
    </row>
    <row r="928" spans="10:10" ht="13">
      <c r="J928" s="59"/>
    </row>
    <row r="929" spans="10:10" ht="13">
      <c r="J929" s="59"/>
    </row>
    <row r="930" spans="10:10" ht="13">
      <c r="J930" s="59"/>
    </row>
    <row r="931" spans="10:10" ht="13">
      <c r="J931" s="59"/>
    </row>
    <row r="932" spans="10:10" ht="13">
      <c r="J932" s="59"/>
    </row>
    <row r="933" spans="10:10" ht="13">
      <c r="J933" s="59"/>
    </row>
    <row r="934" spans="10:10" ht="13">
      <c r="J934" s="59"/>
    </row>
    <row r="935" spans="10:10" ht="13">
      <c r="J935" s="59"/>
    </row>
    <row r="936" spans="10:10" ht="13">
      <c r="J936" s="59"/>
    </row>
    <row r="937" spans="10:10" ht="13">
      <c r="J937" s="59"/>
    </row>
    <row r="938" spans="10:10" ht="13">
      <c r="J938" s="59"/>
    </row>
    <row r="939" spans="10:10" ht="13">
      <c r="J939" s="59"/>
    </row>
    <row r="940" spans="10:10" ht="13">
      <c r="J940" s="59"/>
    </row>
    <row r="941" spans="10:10" ht="13">
      <c r="J941" s="59"/>
    </row>
    <row r="942" spans="10:10" ht="13">
      <c r="J942" s="59"/>
    </row>
    <row r="943" spans="10:10" ht="13">
      <c r="J943" s="59"/>
    </row>
    <row r="944" spans="10:10" ht="13">
      <c r="J944" s="59"/>
    </row>
    <row r="945" spans="10:10" ht="13">
      <c r="J945" s="59"/>
    </row>
    <row r="946" spans="10:10" ht="13">
      <c r="J946" s="59"/>
    </row>
    <row r="947" spans="10:10" ht="13">
      <c r="J947" s="59"/>
    </row>
    <row r="948" spans="10:10" ht="13">
      <c r="J948" s="59"/>
    </row>
    <row r="949" spans="10:10" ht="13">
      <c r="J949" s="59"/>
    </row>
    <row r="950" spans="10:10" ht="13">
      <c r="J950" s="59"/>
    </row>
    <row r="951" spans="10:10" ht="13">
      <c r="J951" s="59"/>
    </row>
    <row r="952" spans="10:10" ht="13">
      <c r="J952" s="59"/>
    </row>
    <row r="953" spans="10:10" ht="13">
      <c r="J953" s="59"/>
    </row>
    <row r="954" spans="10:10" ht="13">
      <c r="J954" s="59"/>
    </row>
    <row r="955" spans="10:10" ht="13">
      <c r="J955" s="59"/>
    </row>
    <row r="956" spans="10:10" ht="13">
      <c r="J956" s="59"/>
    </row>
    <row r="957" spans="10:10" ht="13">
      <c r="J957" s="59"/>
    </row>
    <row r="958" spans="10:10" ht="13">
      <c r="J958" s="59"/>
    </row>
    <row r="959" spans="10:10" ht="13">
      <c r="J959" s="59"/>
    </row>
    <row r="960" spans="10:10" ht="13">
      <c r="J960" s="59"/>
    </row>
    <row r="961" spans="10:10" ht="13">
      <c r="J961" s="59"/>
    </row>
    <row r="962" spans="10:10" ht="13">
      <c r="J962" s="59"/>
    </row>
    <row r="963" spans="10:10" ht="13">
      <c r="J963" s="59"/>
    </row>
    <row r="964" spans="10:10" ht="13">
      <c r="J964" s="59"/>
    </row>
    <row r="965" spans="10:10" ht="13">
      <c r="J965" s="59"/>
    </row>
    <row r="966" spans="10:10" ht="13">
      <c r="J966" s="59"/>
    </row>
    <row r="967" spans="10:10" ht="13">
      <c r="J967" s="59"/>
    </row>
    <row r="968" spans="10:10" ht="13">
      <c r="J968" s="59"/>
    </row>
    <row r="969" spans="10:10" ht="13">
      <c r="J969" s="59"/>
    </row>
    <row r="970" spans="10:10" ht="13">
      <c r="J970" s="59"/>
    </row>
    <row r="971" spans="10:10" ht="13">
      <c r="J971" s="59"/>
    </row>
    <row r="972" spans="10:10" ht="13">
      <c r="J972" s="59"/>
    </row>
    <row r="973" spans="10:10" ht="13">
      <c r="J973" s="59"/>
    </row>
    <row r="974" spans="10:10" ht="13">
      <c r="J974" s="59"/>
    </row>
    <row r="975" spans="10:10" ht="13">
      <c r="J975" s="59"/>
    </row>
    <row r="976" spans="10:10" ht="13">
      <c r="J976" s="59"/>
    </row>
    <row r="977" spans="10:10" ht="13">
      <c r="J977" s="59"/>
    </row>
    <row r="978" spans="10:10" ht="13">
      <c r="J978" s="59"/>
    </row>
    <row r="979" spans="10:10" ht="13">
      <c r="J979" s="59"/>
    </row>
    <row r="980" spans="10:10" ht="13">
      <c r="J980" s="59"/>
    </row>
    <row r="981" spans="10:10" ht="13">
      <c r="J981" s="59"/>
    </row>
    <row r="982" spans="10:10" ht="13">
      <c r="J982" s="59"/>
    </row>
    <row r="983" spans="10:10" ht="13">
      <c r="J983" s="59"/>
    </row>
    <row r="984" spans="10:10" ht="13">
      <c r="J984" s="59"/>
    </row>
    <row r="985" spans="10:10" ht="13">
      <c r="J985" s="59"/>
    </row>
    <row r="986" spans="10:10" ht="13">
      <c r="J986" s="59"/>
    </row>
    <row r="987" spans="10:10" ht="13">
      <c r="J987" s="59"/>
    </row>
    <row r="988" spans="10:10" ht="13">
      <c r="J988" s="59"/>
    </row>
    <row r="989" spans="10:10" ht="13">
      <c r="J989" s="59"/>
    </row>
    <row r="990" spans="10:10" ht="13">
      <c r="J990" s="59"/>
    </row>
    <row r="991" spans="10:10" ht="13">
      <c r="J991" s="59"/>
    </row>
    <row r="992" spans="10:10" ht="13">
      <c r="J992" s="59"/>
    </row>
    <row r="993" spans="10:10" ht="13">
      <c r="J993" s="59"/>
    </row>
    <row r="994" spans="10:10" ht="13">
      <c r="J994" s="59"/>
    </row>
    <row r="995" spans="10:10" ht="13">
      <c r="J995" s="59"/>
    </row>
    <row r="996" spans="10:10" ht="13">
      <c r="J996" s="59"/>
    </row>
    <row r="997" spans="10:10" ht="13">
      <c r="J997" s="59"/>
    </row>
    <row r="998" spans="10:10" ht="13">
      <c r="J998" s="59"/>
    </row>
    <row r="999" spans="10:10" ht="13">
      <c r="J999" s="59"/>
    </row>
    <row r="1000" spans="10:10" ht="13">
      <c r="J1000" s="59"/>
    </row>
    <row r="1001" spans="10:10" ht="13">
      <c r="J1001" s="59"/>
    </row>
    <row r="1002" spans="10:10" ht="13">
      <c r="J1002" s="59"/>
    </row>
    <row r="1003" spans="10:10" ht="13">
      <c r="J1003" s="59"/>
    </row>
    <row r="1004" spans="10:10" ht="13">
      <c r="J1004" s="59"/>
    </row>
    <row r="1005" spans="10:10" ht="13">
      <c r="J1005" s="59"/>
    </row>
    <row r="1006" spans="10:10" ht="13">
      <c r="J1006" s="59"/>
    </row>
    <row r="1007" spans="10:10" ht="13">
      <c r="J1007" s="59"/>
    </row>
  </sheetData>
  <mergeCells count="1">
    <mergeCell ref="A24:D24"/>
  </mergeCells>
  <pageMargins left="0.7" right="0.7" top="0.75" bottom="0.75" header="0.3" footer="0.3"/>
  <pageSetup paperSize="9"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I21"/>
  <sheetViews>
    <sheetView workbookViewId="0"/>
  </sheetViews>
  <sheetFormatPr baseColWidth="10" defaultColWidth="12.6640625" defaultRowHeight="15.75" customHeight="1"/>
  <cols>
    <col min="1" max="1" width="20.6640625" customWidth="1"/>
    <col min="7" max="7" width="10" customWidth="1"/>
    <col min="8" max="8" width="12.33203125" customWidth="1"/>
    <col min="9" max="9" width="14.33203125" customWidth="1"/>
  </cols>
  <sheetData>
    <row r="1" spans="1:9" ht="15.75" customHeight="1">
      <c r="A1" s="286" t="s">
        <v>67</v>
      </c>
      <c r="B1" s="204" t="s">
        <v>195</v>
      </c>
      <c r="C1" s="204" t="s">
        <v>196</v>
      </c>
      <c r="D1" s="204" t="s">
        <v>197</v>
      </c>
      <c r="E1" s="287" t="s">
        <v>4</v>
      </c>
      <c r="F1" s="288" t="s">
        <v>5</v>
      </c>
      <c r="G1" s="253" t="s">
        <v>9</v>
      </c>
      <c r="H1" s="288" t="s">
        <v>6</v>
      </c>
      <c r="I1" s="205" t="s">
        <v>198</v>
      </c>
    </row>
    <row r="2" spans="1:9" ht="15.75" customHeight="1">
      <c r="A2" s="254" t="s">
        <v>147</v>
      </c>
      <c r="B2" s="44">
        <f>'Исходные данные'!D43</f>
        <v>334</v>
      </c>
      <c r="C2" s="289">
        <f>'Исходные данные'!D42</f>
        <v>55</v>
      </c>
      <c r="D2" s="289"/>
      <c r="E2" s="119">
        <v>278297</v>
      </c>
      <c r="F2" s="255">
        <v>12</v>
      </c>
      <c r="G2" s="119"/>
      <c r="H2" s="44">
        <f t="shared" ref="H2:H3" si="0">E2/F2</f>
        <v>23191.416666666668</v>
      </c>
      <c r="I2" s="290">
        <f>H2/B2*C2</f>
        <v>3818.9458582834332</v>
      </c>
    </row>
    <row r="3" spans="1:9" ht="15.75" customHeight="1">
      <c r="A3" s="73" t="s">
        <v>148</v>
      </c>
      <c r="B3" s="119"/>
      <c r="C3" s="44"/>
      <c r="D3" s="44"/>
      <c r="E3" s="119">
        <f>2854+382.5</f>
        <v>3236.5</v>
      </c>
      <c r="F3" s="255">
        <v>12</v>
      </c>
      <c r="G3" s="255"/>
      <c r="H3" s="44">
        <f t="shared" si="0"/>
        <v>269.70833333333331</v>
      </c>
      <c r="I3" s="290">
        <f>H3</f>
        <v>269.70833333333331</v>
      </c>
    </row>
    <row r="4" spans="1:9" ht="15.75" customHeight="1">
      <c r="A4" s="254" t="s">
        <v>291</v>
      </c>
      <c r="B4" s="119"/>
      <c r="C4" s="44"/>
      <c r="D4" s="264">
        <f>B9+B10</f>
        <v>888</v>
      </c>
      <c r="E4" s="119"/>
      <c r="F4" s="255"/>
      <c r="G4" s="265">
        <f>'Общие расходы г. Альметьевск'!F4</f>
        <v>0.57570105149806805</v>
      </c>
      <c r="H4" s="119"/>
      <c r="I4" s="290">
        <f t="shared" ref="I4:I6" si="1">D4*G4</f>
        <v>511.22253373028445</v>
      </c>
    </row>
    <row r="5" spans="1:9" ht="15.75" customHeight="1">
      <c r="A5" s="254" t="s">
        <v>152</v>
      </c>
      <c r="B5" s="119"/>
      <c r="C5" s="44"/>
      <c r="D5" s="264">
        <f>B9+B10</f>
        <v>888</v>
      </c>
      <c r="E5" s="119"/>
      <c r="F5" s="255"/>
      <c r="G5" s="265">
        <f>'Общие расходы ГЭ'!G16</f>
        <v>9.1731976502919679</v>
      </c>
      <c r="H5" s="119"/>
      <c r="I5" s="290">
        <f t="shared" si="1"/>
        <v>8145.7995134592675</v>
      </c>
    </row>
    <row r="6" spans="1:9" ht="15.75" customHeight="1">
      <c r="A6" s="254" t="s">
        <v>292</v>
      </c>
      <c r="B6" s="119"/>
      <c r="C6" s="44"/>
      <c r="D6" s="264">
        <f>B9+B10</f>
        <v>888</v>
      </c>
      <c r="E6" s="119"/>
      <c r="F6" s="255"/>
      <c r="G6" s="265">
        <f>'Общие расходы г. Зеленодольск'!F12</f>
        <v>0.92421155651427089</v>
      </c>
      <c r="H6" s="119"/>
      <c r="I6" s="290">
        <f t="shared" si="1"/>
        <v>820.6998621846725</v>
      </c>
    </row>
    <row r="7" spans="1:9" ht="15.75" customHeight="1">
      <c r="A7" s="291"/>
      <c r="B7" s="292"/>
      <c r="C7" s="292"/>
      <c r="D7" s="292"/>
      <c r="E7" s="292"/>
      <c r="F7" s="293"/>
      <c r="G7" s="292"/>
      <c r="H7" s="292"/>
      <c r="I7" s="290">
        <f>SUM(I2:I6)</f>
        <v>13566.37610099099</v>
      </c>
    </row>
    <row r="9" spans="1:9" ht="15.75" customHeight="1">
      <c r="A9" s="58" t="s">
        <v>205</v>
      </c>
      <c r="B9" s="210">
        <f>'Исходные данные'!B42</f>
        <v>888</v>
      </c>
    </row>
    <row r="10" spans="1:9" ht="15.75" customHeight="1">
      <c r="A10" s="58" t="s">
        <v>206</v>
      </c>
      <c r="B10" s="210">
        <f>'Исходные данные'!C42</f>
        <v>0</v>
      </c>
    </row>
    <row r="11" spans="1:9" ht="15.75" customHeight="1">
      <c r="A11" s="58" t="s">
        <v>207</v>
      </c>
      <c r="B11" s="210">
        <f>'Исходные данные'!D42</f>
        <v>55</v>
      </c>
    </row>
    <row r="13" spans="1:9" ht="15.75" customHeight="1">
      <c r="A13" s="333" t="s">
        <v>208</v>
      </c>
      <c r="B13" s="332"/>
      <c r="C13" s="332"/>
      <c r="D13" s="321"/>
    </row>
    <row r="14" spans="1:9" ht="15.75" customHeight="1">
      <c r="A14" s="215" t="s">
        <v>209</v>
      </c>
      <c r="B14" s="216" t="s">
        <v>210</v>
      </c>
      <c r="C14" s="78" t="s">
        <v>5</v>
      </c>
      <c r="D14" s="216" t="s">
        <v>211</v>
      </c>
    </row>
    <row r="15" spans="1:9" ht="15.75" customHeight="1">
      <c r="A15" s="238"/>
      <c r="B15" s="239"/>
      <c r="C15" s="239"/>
      <c r="D15" s="239"/>
    </row>
    <row r="16" spans="1:9" ht="15.75" customHeight="1">
      <c r="A16" s="58"/>
      <c r="B16" s="239"/>
      <c r="C16" s="239"/>
      <c r="D16" s="239"/>
    </row>
    <row r="17" spans="1:4" ht="15.75" customHeight="1">
      <c r="A17" s="241"/>
      <c r="B17" s="239"/>
      <c r="C17" s="239"/>
      <c r="D17" s="239"/>
    </row>
    <row r="18" spans="1:4" ht="15.75" customHeight="1">
      <c r="A18" s="58"/>
      <c r="B18" s="239"/>
      <c r="C18" s="239"/>
      <c r="D18" s="147"/>
    </row>
    <row r="19" spans="1:4" ht="15.75" customHeight="1">
      <c r="A19" s="58"/>
      <c r="B19" s="239"/>
      <c r="C19" s="239"/>
      <c r="D19" s="239"/>
    </row>
    <row r="20" spans="1:4" ht="15.75" customHeight="1">
      <c r="A20" s="27"/>
      <c r="B20" s="61"/>
      <c r="C20" s="61"/>
      <c r="D20" s="61"/>
    </row>
    <row r="21" spans="1:4" ht="15.75" customHeight="1">
      <c r="A21" s="27"/>
      <c r="B21" s="61"/>
      <c r="C21" s="61"/>
      <c r="D21" s="61"/>
    </row>
  </sheetData>
  <mergeCells count="1">
    <mergeCell ref="A13:D13"/>
  </mergeCells>
  <pageMargins left="0.7" right="0.7" top="0.75" bottom="0.75" header="0.3" footer="0.3"/>
  <pageSetup paperSize="9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J29"/>
  <sheetViews>
    <sheetView workbookViewId="0"/>
  </sheetViews>
  <sheetFormatPr baseColWidth="10" defaultColWidth="12.6640625" defaultRowHeight="15.75" customHeight="1"/>
  <cols>
    <col min="1" max="1" width="27.5" customWidth="1"/>
    <col min="7" max="7" width="10" customWidth="1"/>
    <col min="8" max="8" width="14.83203125" customWidth="1"/>
    <col min="9" max="9" width="14.5" customWidth="1"/>
  </cols>
  <sheetData>
    <row r="1" spans="1:10" ht="15.75" customHeight="1">
      <c r="A1" s="275" t="s">
        <v>134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10" ht="15.75" customHeight="1">
      <c r="A2" s="254" t="s">
        <v>293</v>
      </c>
      <c r="B2" s="289">
        <f>'Исходные данные'!D53</f>
        <v>635</v>
      </c>
      <c r="C2" s="289">
        <f>'Исходные данные'!D46</f>
        <v>597</v>
      </c>
      <c r="D2" s="44"/>
      <c r="E2" s="44">
        <f>8200+902051</f>
        <v>910251</v>
      </c>
      <c r="F2" s="253">
        <v>12</v>
      </c>
      <c r="G2" s="253"/>
      <c r="H2" s="44">
        <f t="shared" ref="H2:H10" si="0">E2/F2</f>
        <v>75854.25</v>
      </c>
      <c r="I2" s="278">
        <f>H2/B2*C2</f>
        <v>71314.940551181106</v>
      </c>
      <c r="J2" s="59"/>
    </row>
    <row r="3" spans="1:10" ht="15.75" customHeight="1">
      <c r="A3" s="257" t="s">
        <v>294</v>
      </c>
      <c r="B3" s="258"/>
      <c r="C3" s="258"/>
      <c r="D3" s="258"/>
      <c r="E3" s="294">
        <f>8395+164548</f>
        <v>172943</v>
      </c>
      <c r="F3" s="281">
        <v>12</v>
      </c>
      <c r="G3" s="281"/>
      <c r="H3" s="260">
        <f t="shared" si="0"/>
        <v>14411.916666666666</v>
      </c>
      <c r="I3" s="278">
        <f t="shared" ref="I3:I8" si="1">H3</f>
        <v>14411.916666666666</v>
      </c>
    </row>
    <row r="4" spans="1:10" ht="15.75" customHeight="1">
      <c r="A4" s="282" t="s">
        <v>259</v>
      </c>
      <c r="B4" s="258"/>
      <c r="C4" s="258"/>
      <c r="D4" s="258"/>
      <c r="E4" s="260"/>
      <c r="F4" s="281">
        <v>12</v>
      </c>
      <c r="G4" s="281"/>
      <c r="H4" s="260">
        <f t="shared" si="0"/>
        <v>0</v>
      </c>
      <c r="I4" s="278">
        <f t="shared" si="1"/>
        <v>0</v>
      </c>
    </row>
    <row r="5" spans="1:10" ht="15.75" customHeight="1">
      <c r="A5" s="73" t="s">
        <v>148</v>
      </c>
      <c r="B5" s="258"/>
      <c r="C5" s="258"/>
      <c r="D5" s="258"/>
      <c r="E5" s="260">
        <v>268000</v>
      </c>
      <c r="F5" s="281">
        <v>12</v>
      </c>
      <c r="G5" s="281"/>
      <c r="H5" s="260">
        <f t="shared" si="0"/>
        <v>22333.333333333332</v>
      </c>
      <c r="I5" s="278">
        <f t="shared" si="1"/>
        <v>22333.333333333332</v>
      </c>
    </row>
    <row r="6" spans="1:10" ht="15.75" customHeight="1">
      <c r="A6" s="73" t="s">
        <v>150</v>
      </c>
      <c r="B6" s="258"/>
      <c r="C6" s="258"/>
      <c r="D6" s="258"/>
      <c r="E6" s="260"/>
      <c r="F6" s="281">
        <v>12</v>
      </c>
      <c r="G6" s="281"/>
      <c r="H6" s="260">
        <f t="shared" si="0"/>
        <v>0</v>
      </c>
      <c r="I6" s="278">
        <f t="shared" si="1"/>
        <v>0</v>
      </c>
    </row>
    <row r="7" spans="1:10" ht="15.75" customHeight="1">
      <c r="A7" s="73" t="s">
        <v>149</v>
      </c>
      <c r="B7" s="258"/>
      <c r="C7" s="258"/>
      <c r="D7" s="258"/>
      <c r="E7" s="260">
        <f>700000+38000</f>
        <v>738000</v>
      </c>
      <c r="F7" s="281">
        <v>12</v>
      </c>
      <c r="G7" s="281"/>
      <c r="H7" s="260">
        <f t="shared" si="0"/>
        <v>61500</v>
      </c>
      <c r="I7" s="278">
        <f t="shared" si="1"/>
        <v>61500</v>
      </c>
    </row>
    <row r="8" spans="1:10" ht="15.75" customHeight="1">
      <c r="A8" s="254" t="s">
        <v>154</v>
      </c>
      <c r="B8" s="44"/>
      <c r="C8" s="119"/>
      <c r="D8" s="119"/>
      <c r="E8" s="258">
        <f>539000+20000</f>
        <v>559000</v>
      </c>
      <c r="F8" s="253">
        <v>12</v>
      </c>
      <c r="G8" s="253"/>
      <c r="H8" s="119">
        <f t="shared" si="0"/>
        <v>46583.333333333336</v>
      </c>
      <c r="I8" s="278">
        <f t="shared" si="1"/>
        <v>46583.333333333336</v>
      </c>
    </row>
    <row r="9" spans="1:10" ht="15.75" customHeight="1">
      <c r="A9" s="254" t="s">
        <v>295</v>
      </c>
      <c r="B9" s="44"/>
      <c r="C9" s="119"/>
      <c r="D9" s="119"/>
      <c r="E9" s="258">
        <v>40000</v>
      </c>
      <c r="F9" s="253">
        <v>12</v>
      </c>
      <c r="G9" s="253"/>
      <c r="H9" s="119">
        <f t="shared" si="0"/>
        <v>3333.3333333333335</v>
      </c>
      <c r="I9" s="278"/>
    </row>
    <row r="10" spans="1:10" ht="15.75" customHeight="1">
      <c r="A10" s="295" t="s">
        <v>91</v>
      </c>
      <c r="B10" s="44"/>
      <c r="C10" s="119"/>
      <c r="D10" s="119"/>
      <c r="E10" s="258"/>
      <c r="F10" s="253">
        <v>12</v>
      </c>
      <c r="G10" s="253"/>
      <c r="H10" s="119">
        <f t="shared" si="0"/>
        <v>0</v>
      </c>
      <c r="I10" s="278">
        <f t="shared" ref="I10:I11" si="2">H10</f>
        <v>0</v>
      </c>
    </row>
    <row r="11" spans="1:10" ht="15.75" customHeight="1">
      <c r="A11" s="296" t="s">
        <v>241</v>
      </c>
      <c r="B11" s="44"/>
      <c r="C11" s="119"/>
      <c r="D11" s="297"/>
      <c r="E11" s="258"/>
      <c r="F11" s="253"/>
      <c r="G11" s="253"/>
      <c r="H11" s="119">
        <f>D29</f>
        <v>25416.666666666668</v>
      </c>
      <c r="I11" s="278">
        <f t="shared" si="2"/>
        <v>25416.666666666668</v>
      </c>
    </row>
    <row r="12" spans="1:10" ht="15.75" customHeight="1">
      <c r="A12" s="296" t="s">
        <v>152</v>
      </c>
      <c r="B12" s="44"/>
      <c r="C12" s="119"/>
      <c r="D12" s="298">
        <f>B17+B18</f>
        <v>10796</v>
      </c>
      <c r="E12" s="258"/>
      <c r="F12" s="253"/>
      <c r="G12" s="266">
        <f>'Общие расходы ГЭ'!G16</f>
        <v>9.1731976502919679</v>
      </c>
      <c r="H12" s="119"/>
      <c r="I12" s="278">
        <f t="shared" ref="I12:I14" si="3">D12*G12</f>
        <v>99033.841832552091</v>
      </c>
    </row>
    <row r="13" spans="1:10" ht="15.75" customHeight="1">
      <c r="A13" s="254" t="s">
        <v>290</v>
      </c>
      <c r="B13" s="44"/>
      <c r="C13" s="119"/>
      <c r="D13" s="298">
        <f>B17+B18</f>
        <v>10796</v>
      </c>
      <c r="E13" s="119"/>
      <c r="F13" s="253"/>
      <c r="G13" s="266">
        <f>'Общие расходы г. Зеленодольск'!G4</f>
        <v>2.1346904841448815</v>
      </c>
      <c r="H13" s="119"/>
      <c r="I13" s="278">
        <f t="shared" si="3"/>
        <v>23046.118466828142</v>
      </c>
    </row>
    <row r="14" spans="1:10" ht="15.75" customHeight="1">
      <c r="A14" s="254" t="s">
        <v>292</v>
      </c>
      <c r="B14" s="44"/>
      <c r="C14" s="119"/>
      <c r="D14" s="298">
        <f>B17+B18</f>
        <v>10796</v>
      </c>
      <c r="E14" s="119"/>
      <c r="F14" s="253"/>
      <c r="G14" s="266">
        <f>'Общие расходы г. Зеленодольск'!F12</f>
        <v>0.92421155651427089</v>
      </c>
      <c r="H14" s="119"/>
      <c r="I14" s="278">
        <f t="shared" si="3"/>
        <v>9977.7879641280688</v>
      </c>
    </row>
    <row r="15" spans="1:10" ht="15.75" customHeight="1">
      <c r="A15" s="267"/>
      <c r="B15" s="268"/>
      <c r="C15" s="268"/>
      <c r="D15" s="268"/>
      <c r="E15" s="268"/>
      <c r="F15" s="269"/>
      <c r="G15" s="269"/>
      <c r="H15" s="268"/>
      <c r="I15" s="283">
        <f>SUM(I2:I14)</f>
        <v>373617.93881468941</v>
      </c>
    </row>
    <row r="17" spans="1:10" ht="15.75" customHeight="1">
      <c r="A17" s="58" t="s">
        <v>205</v>
      </c>
      <c r="B17" s="210">
        <f>'Исходные данные'!B46</f>
        <v>10796</v>
      </c>
    </row>
    <row r="18" spans="1:10" ht="15.75" customHeight="1">
      <c r="A18" s="58" t="s">
        <v>206</v>
      </c>
      <c r="B18" s="210">
        <f>'Исходные данные'!C46</f>
        <v>0</v>
      </c>
    </row>
    <row r="19" spans="1:10" ht="15.75" customHeight="1">
      <c r="A19" s="58" t="s">
        <v>207</v>
      </c>
      <c r="B19" s="210">
        <f>'Исходные данные'!D46</f>
        <v>597</v>
      </c>
      <c r="I19" s="299">
        <f>I15/B19</f>
        <v>625.82569315693365</v>
      </c>
      <c r="J19" s="60">
        <v>530</v>
      </c>
    </row>
    <row r="21" spans="1:10" ht="15.75" customHeight="1">
      <c r="A21" s="333" t="s">
        <v>296</v>
      </c>
      <c r="B21" s="332"/>
      <c r="C21" s="332"/>
      <c r="D21" s="321"/>
    </row>
    <row r="22" spans="1:10" ht="15.75" customHeight="1">
      <c r="A22" s="215" t="s">
        <v>209</v>
      </c>
      <c r="B22" s="216" t="s">
        <v>210</v>
      </c>
      <c r="C22" s="78" t="s">
        <v>5</v>
      </c>
      <c r="D22" s="216" t="s">
        <v>211</v>
      </c>
    </row>
    <row r="23" spans="1:10" ht="15.75" customHeight="1">
      <c r="A23" s="238" t="s">
        <v>297</v>
      </c>
      <c r="B23" s="239">
        <v>276000</v>
      </c>
      <c r="C23" s="239">
        <v>12</v>
      </c>
      <c r="D23" s="239">
        <f t="shared" ref="D23:D24" si="4">B23/C23</f>
        <v>23000</v>
      </c>
    </row>
    <row r="24" spans="1:10" ht="15.75" customHeight="1">
      <c r="A24" s="58" t="s">
        <v>213</v>
      </c>
      <c r="B24" s="239">
        <v>29000</v>
      </c>
      <c r="C24" s="239">
        <v>12</v>
      </c>
      <c r="D24" s="239">
        <f t="shared" si="4"/>
        <v>2416.6666666666665</v>
      </c>
    </row>
    <row r="25" spans="1:10" ht="15.75" customHeight="1">
      <c r="A25" s="241"/>
      <c r="B25" s="239"/>
      <c r="C25" s="239"/>
      <c r="D25" s="239"/>
    </row>
    <row r="26" spans="1:10" ht="15.75" customHeight="1">
      <c r="A26" s="58"/>
      <c r="B26" s="239"/>
      <c r="C26" s="239"/>
      <c r="D26" s="147"/>
    </row>
    <row r="27" spans="1:10" ht="15.75" customHeight="1">
      <c r="A27" s="58"/>
      <c r="B27" s="239"/>
      <c r="C27" s="239"/>
      <c r="D27" s="239"/>
    </row>
    <row r="28" spans="1:10" ht="15.75" customHeight="1">
      <c r="A28" s="27"/>
      <c r="B28" s="61"/>
      <c r="C28" s="61"/>
      <c r="D28" s="61"/>
    </row>
    <row r="29" spans="1:10" ht="15.75" customHeight="1">
      <c r="A29" s="27" t="s">
        <v>62</v>
      </c>
      <c r="B29" s="61"/>
      <c r="C29" s="61"/>
      <c r="D29" s="61">
        <f>SUM(D23:D28)</f>
        <v>25416.666666666668</v>
      </c>
    </row>
  </sheetData>
  <mergeCells count="1">
    <mergeCell ref="A21:D21"/>
  </mergeCells>
  <pageMargins left="0.7" right="0.7" top="0.75" bottom="0.75" header="0.3" footer="0.3"/>
  <pageSetup paperSize="9"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I23"/>
  <sheetViews>
    <sheetView workbookViewId="0"/>
  </sheetViews>
  <sheetFormatPr baseColWidth="10" defaultColWidth="12.6640625" defaultRowHeight="15.75" customHeight="1"/>
  <cols>
    <col min="1" max="1" width="27.83203125" customWidth="1"/>
    <col min="7" max="7" width="7.1640625" customWidth="1"/>
    <col min="8" max="8" width="14" customWidth="1"/>
  </cols>
  <sheetData>
    <row r="1" spans="1:9" ht="15.75" customHeight="1">
      <c r="A1" s="275" t="s">
        <v>298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9" ht="15.75" customHeight="1">
      <c r="A2" s="254" t="s">
        <v>293</v>
      </c>
      <c r="B2" s="289">
        <f>'Исходные данные'!D53</f>
        <v>635</v>
      </c>
      <c r="C2" s="289">
        <f>'Исходные данные'!D48</f>
        <v>3</v>
      </c>
      <c r="D2" s="44"/>
      <c r="E2" s="44">
        <v>902051</v>
      </c>
      <c r="F2" s="253">
        <v>12</v>
      </c>
      <c r="G2" s="253"/>
      <c r="H2" s="44">
        <f t="shared" ref="H2:H5" si="0">E2/F2</f>
        <v>75170.916666666672</v>
      </c>
      <c r="I2" s="278">
        <f>H2/B2*C2</f>
        <v>355.13818897637799</v>
      </c>
    </row>
    <row r="3" spans="1:9" ht="15.75" customHeight="1">
      <c r="A3" s="257" t="s">
        <v>202</v>
      </c>
      <c r="B3" s="258"/>
      <c r="C3" s="258"/>
      <c r="D3" s="258"/>
      <c r="E3" s="258">
        <f>21200+200</f>
        <v>21400</v>
      </c>
      <c r="F3" s="281">
        <v>12</v>
      </c>
      <c r="G3" s="281"/>
      <c r="H3" s="258">
        <f t="shared" si="0"/>
        <v>1783.3333333333333</v>
      </c>
      <c r="I3" s="278">
        <f t="shared" ref="I3:I5" si="1">H3</f>
        <v>1783.3333333333333</v>
      </c>
    </row>
    <row r="4" spans="1:9" ht="15.75" customHeight="1">
      <c r="A4" s="73" t="s">
        <v>148</v>
      </c>
      <c r="B4" s="258"/>
      <c r="C4" s="258"/>
      <c r="D4" s="258"/>
      <c r="E4" s="258">
        <v>0</v>
      </c>
      <c r="F4" s="281">
        <v>12</v>
      </c>
      <c r="G4" s="281"/>
      <c r="H4" s="258">
        <f t="shared" si="0"/>
        <v>0</v>
      </c>
      <c r="I4" s="278">
        <f t="shared" si="1"/>
        <v>0</v>
      </c>
    </row>
    <row r="5" spans="1:9" ht="15.75" customHeight="1">
      <c r="A5" s="257" t="s">
        <v>259</v>
      </c>
      <c r="B5" s="258"/>
      <c r="C5" s="258"/>
      <c r="D5" s="258"/>
      <c r="E5" s="258"/>
      <c r="F5" s="281">
        <v>12</v>
      </c>
      <c r="G5" s="281"/>
      <c r="H5" s="258">
        <f t="shared" si="0"/>
        <v>0</v>
      </c>
      <c r="I5" s="278">
        <f t="shared" si="1"/>
        <v>0</v>
      </c>
    </row>
    <row r="6" spans="1:9" ht="15.75" customHeight="1">
      <c r="A6" s="254" t="s">
        <v>152</v>
      </c>
      <c r="B6" s="260"/>
      <c r="C6" s="119"/>
      <c r="D6" s="300">
        <f>B11+B12</f>
        <v>492</v>
      </c>
      <c r="E6" s="119"/>
      <c r="F6" s="253"/>
      <c r="G6" s="266">
        <f>'Общие расходы ГЭ'!G16</f>
        <v>9.1731976502919679</v>
      </c>
      <c r="H6" s="119"/>
      <c r="I6" s="278">
        <f t="shared" ref="I6:I8" si="2">D6*G6</f>
        <v>4513.2132439436482</v>
      </c>
    </row>
    <row r="7" spans="1:9" ht="15.75" customHeight="1">
      <c r="A7" s="254" t="s">
        <v>290</v>
      </c>
      <c r="B7" s="44"/>
      <c r="C7" s="119"/>
      <c r="D7" s="300">
        <f>B11+B12</f>
        <v>492</v>
      </c>
      <c r="E7" s="119"/>
      <c r="F7" s="253"/>
      <c r="G7" s="266">
        <f>'Общие расходы г. Зеленодольск'!G4</f>
        <v>2.1346904841448815</v>
      </c>
      <c r="H7" s="119"/>
      <c r="I7" s="278">
        <f t="shared" si="2"/>
        <v>1050.2677181992817</v>
      </c>
    </row>
    <row r="8" spans="1:9" ht="15.75" customHeight="1">
      <c r="A8" s="254" t="s">
        <v>292</v>
      </c>
      <c r="B8" s="44"/>
      <c r="C8" s="119"/>
      <c r="D8" s="300">
        <f>B11+B12</f>
        <v>492</v>
      </c>
      <c r="E8" s="119"/>
      <c r="F8" s="253"/>
      <c r="G8" s="266">
        <f>'Общие расходы г. Зеленодольск'!F12</f>
        <v>0.92421155651427089</v>
      </c>
      <c r="H8" s="119"/>
      <c r="I8" s="278">
        <f t="shared" si="2"/>
        <v>454.71208580502127</v>
      </c>
    </row>
    <row r="9" spans="1:9" ht="15.75" customHeight="1">
      <c r="A9" s="301"/>
      <c r="B9" s="268"/>
      <c r="C9" s="268"/>
      <c r="D9" s="268"/>
      <c r="E9" s="268"/>
      <c r="F9" s="302"/>
      <c r="G9" s="302"/>
      <c r="H9" s="268"/>
      <c r="I9" s="283">
        <f>SUM(I2:I8)</f>
        <v>8156.6645702576634</v>
      </c>
    </row>
    <row r="10" spans="1:9" ht="15.75" customHeight="1">
      <c r="A10" s="39"/>
      <c r="B10" s="55"/>
      <c r="C10" s="55"/>
      <c r="D10" s="55"/>
      <c r="E10" s="55"/>
      <c r="F10" s="39"/>
      <c r="G10" s="39"/>
      <c r="H10" s="55"/>
      <c r="I10" s="55"/>
    </row>
    <row r="11" spans="1:9" ht="15.75" customHeight="1">
      <c r="A11" s="58" t="s">
        <v>205</v>
      </c>
      <c r="B11" s="210">
        <f>'Исходные данные'!B48</f>
        <v>246</v>
      </c>
      <c r="E11" s="55"/>
      <c r="F11" s="39"/>
      <c r="G11" s="39"/>
      <c r="H11" s="55"/>
      <c r="I11" s="55"/>
    </row>
    <row r="12" spans="1:9" ht="15.75" customHeight="1">
      <c r="A12" s="58" t="s">
        <v>206</v>
      </c>
      <c r="B12" s="210">
        <f>'Исходные данные'!C48</f>
        <v>246</v>
      </c>
      <c r="E12" s="55"/>
      <c r="F12" s="39"/>
      <c r="G12" s="39"/>
      <c r="H12" s="55"/>
      <c r="I12" s="55"/>
    </row>
    <row r="13" spans="1:9" ht="15.75" customHeight="1">
      <c r="A13" s="58" t="s">
        <v>207</v>
      </c>
      <c r="B13" s="210">
        <f>'Исходные данные'!D48</f>
        <v>3</v>
      </c>
      <c r="E13" s="55"/>
      <c r="F13" s="39"/>
      <c r="G13" s="39"/>
      <c r="H13" s="55"/>
      <c r="I13" s="55"/>
    </row>
    <row r="14" spans="1:9" ht="15.75" customHeight="1">
      <c r="E14" s="55"/>
      <c r="F14" s="39"/>
      <c r="G14" s="39"/>
      <c r="H14" s="55"/>
      <c r="I14" s="55"/>
    </row>
    <row r="15" spans="1:9" ht="15.75" customHeight="1">
      <c r="A15" s="333" t="s">
        <v>208</v>
      </c>
      <c r="B15" s="332"/>
      <c r="C15" s="332"/>
      <c r="D15" s="321"/>
    </row>
    <row r="16" spans="1:9" ht="15.75" customHeight="1">
      <c r="A16" s="215" t="s">
        <v>209</v>
      </c>
      <c r="B16" s="216" t="s">
        <v>210</v>
      </c>
      <c r="C16" s="78" t="s">
        <v>5</v>
      </c>
      <c r="D16" s="216" t="s">
        <v>211</v>
      </c>
    </row>
    <row r="17" spans="1:4" ht="15.75" customHeight="1">
      <c r="A17" s="238"/>
      <c r="B17" s="239"/>
      <c r="C17" s="239"/>
      <c r="D17" s="239"/>
    </row>
    <row r="18" spans="1:4" ht="15.75" customHeight="1">
      <c r="A18" s="58"/>
      <c r="B18" s="239"/>
      <c r="C18" s="239"/>
      <c r="D18" s="239"/>
    </row>
    <row r="19" spans="1:4" ht="15.75" customHeight="1">
      <c r="A19" s="241"/>
      <c r="B19" s="239"/>
      <c r="C19" s="239"/>
      <c r="D19" s="239"/>
    </row>
    <row r="20" spans="1:4" ht="15.75" customHeight="1">
      <c r="A20" s="58"/>
      <c r="B20" s="239"/>
      <c r="C20" s="239"/>
      <c r="D20" s="147"/>
    </row>
    <row r="21" spans="1:4" ht="15.75" customHeight="1">
      <c r="A21" s="58"/>
      <c r="B21" s="239"/>
      <c r="C21" s="239"/>
      <c r="D21" s="239"/>
    </row>
    <row r="22" spans="1:4" ht="15.75" customHeight="1">
      <c r="A22" s="27"/>
      <c r="B22" s="61"/>
      <c r="C22" s="61"/>
      <c r="D22" s="61"/>
    </row>
    <row r="23" spans="1:4" ht="15.75" customHeight="1">
      <c r="A23" s="27"/>
      <c r="B23" s="61"/>
      <c r="C23" s="61"/>
      <c r="D23" s="61"/>
    </row>
  </sheetData>
  <mergeCells count="1">
    <mergeCell ref="A15:D15"/>
  </mergeCells>
  <pageMargins left="0.7" right="0.7" top="0.75" bottom="0.75" header="0.3" footer="0.3"/>
  <pageSetup paperSize="9"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I20"/>
  <sheetViews>
    <sheetView workbookViewId="0"/>
  </sheetViews>
  <sheetFormatPr baseColWidth="10" defaultColWidth="12.6640625" defaultRowHeight="15.75" customHeight="1"/>
  <cols>
    <col min="1" max="1" width="26" customWidth="1"/>
    <col min="2" max="2" width="16.6640625" customWidth="1"/>
    <col min="3" max="3" width="11.5" customWidth="1"/>
    <col min="4" max="4" width="14" customWidth="1"/>
    <col min="7" max="7" width="9" customWidth="1"/>
    <col min="8" max="8" width="15.83203125" customWidth="1"/>
  </cols>
  <sheetData>
    <row r="1" spans="1:9" ht="15.75" customHeight="1">
      <c r="A1" s="275" t="s">
        <v>299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9" ht="15.75" customHeight="1">
      <c r="A2" s="254" t="s">
        <v>293</v>
      </c>
      <c r="B2" s="44">
        <f>'Исходные данные'!D53</f>
        <v>635</v>
      </c>
      <c r="C2" s="44">
        <f>'Исходные данные'!D48</f>
        <v>3</v>
      </c>
      <c r="D2" s="44"/>
      <c r="E2" s="44">
        <v>902051</v>
      </c>
      <c r="F2" s="253">
        <v>12</v>
      </c>
      <c r="G2" s="253"/>
      <c r="H2" s="44">
        <f>E2/F2</f>
        <v>75170.916666666672</v>
      </c>
      <c r="I2" s="278">
        <f>H2/B2*C2</f>
        <v>355.13818897637799</v>
      </c>
    </row>
    <row r="3" spans="1:9" ht="15.75" customHeight="1">
      <c r="A3" s="254" t="s">
        <v>152</v>
      </c>
      <c r="B3" s="44"/>
      <c r="C3" s="119"/>
      <c r="D3" s="300">
        <f>B8+B9</f>
        <v>114</v>
      </c>
      <c r="E3" s="119"/>
      <c r="F3" s="253"/>
      <c r="G3" s="266">
        <f>'Общие расходы ГЭ'!G16</f>
        <v>9.1731976502919679</v>
      </c>
      <c r="H3" s="119"/>
      <c r="I3" s="278">
        <f t="shared" ref="I3:I5" si="0">D3*G3</f>
        <v>1045.7445321332843</v>
      </c>
    </row>
    <row r="4" spans="1:9" ht="15.75" customHeight="1">
      <c r="A4" s="254" t="s">
        <v>290</v>
      </c>
      <c r="B4" s="260"/>
      <c r="C4" s="119"/>
      <c r="D4" s="300">
        <f>B8+B9</f>
        <v>114</v>
      </c>
      <c r="E4" s="119"/>
      <c r="F4" s="253"/>
      <c r="G4" s="266">
        <f>'Общие расходы г. Зеленодольск'!G4</f>
        <v>2.1346904841448815</v>
      </c>
      <c r="H4" s="119"/>
      <c r="I4" s="278">
        <f t="shared" si="0"/>
        <v>243.35471519251649</v>
      </c>
    </row>
    <row r="5" spans="1:9" ht="15.75" customHeight="1">
      <c r="A5" s="254" t="s">
        <v>292</v>
      </c>
      <c r="B5" s="260"/>
      <c r="C5" s="119"/>
      <c r="D5" s="300">
        <f>B8+B9</f>
        <v>114</v>
      </c>
      <c r="E5" s="119"/>
      <c r="F5" s="253"/>
      <c r="G5" s="266">
        <f>'Общие расходы г. Зеленодольск'!F12</f>
        <v>0.92421155651427089</v>
      </c>
      <c r="H5" s="119"/>
      <c r="I5" s="278">
        <f t="shared" si="0"/>
        <v>105.36011744262689</v>
      </c>
    </row>
    <row r="6" spans="1:9" ht="15.75" customHeight="1">
      <c r="A6" s="303"/>
      <c r="B6" s="304"/>
      <c r="C6" s="304"/>
      <c r="D6" s="304"/>
      <c r="E6" s="304"/>
      <c r="F6" s="305"/>
      <c r="G6" s="305"/>
      <c r="H6" s="304"/>
      <c r="I6" s="256">
        <f>SUM(I2:I5)</f>
        <v>1749.5975537448057</v>
      </c>
    </row>
    <row r="7" spans="1:9" ht="15.75" customHeight="1">
      <c r="A7" s="202"/>
      <c r="B7" s="148"/>
    </row>
    <row r="8" spans="1:9" ht="15.75" customHeight="1">
      <c r="A8" s="58" t="s">
        <v>205</v>
      </c>
      <c r="B8" s="210">
        <f>'Исходные данные'!B47</f>
        <v>114</v>
      </c>
    </row>
    <row r="9" spans="1:9" ht="15.75" customHeight="1">
      <c r="A9" s="58" t="s">
        <v>206</v>
      </c>
      <c r="B9" s="210">
        <f>'Исходные данные'!C47</f>
        <v>0</v>
      </c>
    </row>
    <row r="10" spans="1:9" ht="15.75" customHeight="1">
      <c r="A10" s="58" t="s">
        <v>207</v>
      </c>
      <c r="B10" s="210">
        <f>'Исходные данные'!D47</f>
        <v>3</v>
      </c>
    </row>
    <row r="12" spans="1:9" ht="15.75" customHeight="1">
      <c r="A12" s="333" t="s">
        <v>208</v>
      </c>
      <c r="B12" s="332"/>
      <c r="C12" s="332"/>
      <c r="D12" s="321"/>
    </row>
    <row r="13" spans="1:9" ht="15.75" customHeight="1">
      <c r="A13" s="215" t="s">
        <v>209</v>
      </c>
      <c r="B13" s="216" t="s">
        <v>210</v>
      </c>
      <c r="C13" s="78" t="s">
        <v>5</v>
      </c>
      <c r="D13" s="216" t="s">
        <v>211</v>
      </c>
    </row>
    <row r="14" spans="1:9" ht="15.75" customHeight="1">
      <c r="A14" s="238"/>
      <c r="B14" s="239"/>
      <c r="C14" s="239"/>
      <c r="D14" s="239"/>
    </row>
    <row r="15" spans="1:9" ht="15.75" customHeight="1">
      <c r="A15" s="58"/>
      <c r="B15" s="239"/>
      <c r="C15" s="239"/>
      <c r="D15" s="239"/>
    </row>
    <row r="16" spans="1:9" ht="15.75" customHeight="1">
      <c r="A16" s="241"/>
      <c r="B16" s="239"/>
      <c r="C16" s="239"/>
      <c r="D16" s="239"/>
    </row>
    <row r="17" spans="1:4" ht="15.75" customHeight="1">
      <c r="A17" s="58"/>
      <c r="B17" s="239"/>
      <c r="C17" s="239"/>
      <c r="D17" s="147"/>
    </row>
    <row r="18" spans="1:4" ht="15.75" customHeight="1">
      <c r="A18" s="58"/>
      <c r="B18" s="239"/>
      <c r="C18" s="239"/>
      <c r="D18" s="239"/>
    </row>
    <row r="19" spans="1:4" ht="15.75" customHeight="1">
      <c r="A19" s="27"/>
      <c r="B19" s="61"/>
      <c r="C19" s="61"/>
      <c r="D19" s="61"/>
    </row>
    <row r="20" spans="1:4" ht="15.75" customHeight="1">
      <c r="A20" s="27"/>
      <c r="B20" s="61"/>
      <c r="C20" s="61"/>
      <c r="D20" s="61"/>
    </row>
  </sheetData>
  <mergeCells count="1">
    <mergeCell ref="A12:D12"/>
  </mergeCells>
  <pageMargins left="0.7" right="0.7" top="0.75" bottom="0.75" header="0.3" footer="0.3"/>
  <pageSetup paperSize="9"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I23"/>
  <sheetViews>
    <sheetView workbookViewId="0"/>
  </sheetViews>
  <sheetFormatPr baseColWidth="10" defaultColWidth="12.6640625" defaultRowHeight="15.75" customHeight="1"/>
  <cols>
    <col min="1" max="1" width="22.6640625" customWidth="1"/>
    <col min="2" max="2" width="13.6640625" customWidth="1"/>
    <col min="7" max="7" width="7.83203125" customWidth="1"/>
    <col min="8" max="8" width="15.83203125" customWidth="1"/>
  </cols>
  <sheetData>
    <row r="1" spans="1:9" ht="15.75" customHeight="1">
      <c r="A1" s="275" t="s">
        <v>72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9" ht="15.75" customHeight="1">
      <c r="A2" s="254" t="s">
        <v>293</v>
      </c>
      <c r="B2" s="44">
        <f>'Исходные данные'!D53</f>
        <v>635</v>
      </c>
      <c r="C2" s="44">
        <f>'Исходные данные'!D49</f>
        <v>4</v>
      </c>
      <c r="D2" s="44"/>
      <c r="E2" s="44">
        <v>902051</v>
      </c>
      <c r="F2" s="253">
        <v>12</v>
      </c>
      <c r="G2" s="253"/>
      <c r="H2" s="44">
        <f t="shared" ref="H2:H3" si="0">E2/F2</f>
        <v>75170.916666666672</v>
      </c>
      <c r="I2" s="278">
        <f>H2/B2*C2</f>
        <v>473.5175853018373</v>
      </c>
    </row>
    <row r="3" spans="1:9" ht="15.75" customHeight="1">
      <c r="A3" s="254" t="s">
        <v>151</v>
      </c>
      <c r="B3" s="44"/>
      <c r="C3" s="119"/>
      <c r="D3" s="119"/>
      <c r="E3" s="119">
        <v>6024</v>
      </c>
      <c r="F3" s="253">
        <v>12</v>
      </c>
      <c r="G3" s="253"/>
      <c r="H3" s="119">
        <f t="shared" si="0"/>
        <v>502</v>
      </c>
      <c r="I3" s="278">
        <f>H3</f>
        <v>502</v>
      </c>
    </row>
    <row r="4" spans="1:9" ht="15.75" customHeight="1">
      <c r="A4" s="254" t="s">
        <v>241</v>
      </c>
      <c r="B4" s="44"/>
      <c r="C4" s="119"/>
      <c r="D4" s="119"/>
      <c r="E4" s="119"/>
      <c r="F4" s="253"/>
      <c r="G4" s="253"/>
      <c r="H4" s="119"/>
      <c r="I4" s="278">
        <f>D23</f>
        <v>0</v>
      </c>
    </row>
    <row r="5" spans="1:9" ht="15.75" customHeight="1">
      <c r="A5" s="73" t="s">
        <v>148</v>
      </c>
      <c r="B5" s="44"/>
      <c r="C5" s="119"/>
      <c r="D5" s="300"/>
      <c r="E5" s="119">
        <v>26</v>
      </c>
      <c r="F5" s="253">
        <v>12</v>
      </c>
      <c r="G5" s="253"/>
      <c r="H5" s="119">
        <f>E5/F5</f>
        <v>2.1666666666666665</v>
      </c>
      <c r="I5" s="278">
        <f>H5</f>
        <v>2.1666666666666665</v>
      </c>
    </row>
    <row r="6" spans="1:9" ht="15.75" customHeight="1">
      <c r="A6" s="254" t="s">
        <v>152</v>
      </c>
      <c r="B6" s="44"/>
      <c r="C6" s="119"/>
      <c r="D6" s="300">
        <f>B11+B12</f>
        <v>288</v>
      </c>
      <c r="E6" s="119"/>
      <c r="F6" s="253"/>
      <c r="G6" s="266">
        <f>'Общие расходы ГЭ'!G16</f>
        <v>9.1731976502919679</v>
      </c>
      <c r="H6" s="119"/>
      <c r="I6" s="278">
        <f t="shared" ref="I6:I8" si="1">D6*G6</f>
        <v>2641.8809232840867</v>
      </c>
    </row>
    <row r="7" spans="1:9" ht="15.75" customHeight="1">
      <c r="A7" s="254" t="s">
        <v>290</v>
      </c>
      <c r="B7" s="260"/>
      <c r="C7" s="119"/>
      <c r="D7" s="300">
        <f>B11+B12</f>
        <v>288</v>
      </c>
      <c r="E7" s="119"/>
      <c r="F7" s="253"/>
      <c r="G7" s="266">
        <f>'Общие расходы г. Зеленодольск'!G4</f>
        <v>2.1346904841448815</v>
      </c>
      <c r="H7" s="119"/>
      <c r="I7" s="278">
        <f t="shared" si="1"/>
        <v>614.79085943372593</v>
      </c>
    </row>
    <row r="8" spans="1:9" ht="15.75" customHeight="1">
      <c r="A8" s="254" t="s">
        <v>292</v>
      </c>
      <c r="B8" s="260"/>
      <c r="C8" s="119"/>
      <c r="D8" s="300">
        <f>B11+B12</f>
        <v>288</v>
      </c>
      <c r="E8" s="119"/>
      <c r="F8" s="253"/>
      <c r="G8" s="266">
        <f>'Общие расходы г. Зеленодольск'!F12</f>
        <v>0.92421155651427089</v>
      </c>
      <c r="H8" s="119"/>
      <c r="I8" s="278">
        <f t="shared" si="1"/>
        <v>266.17292827611004</v>
      </c>
    </row>
    <row r="9" spans="1:9" ht="15.75" customHeight="1">
      <c r="A9" s="301"/>
      <c r="B9" s="268"/>
      <c r="C9" s="268"/>
      <c r="D9" s="268"/>
      <c r="E9" s="268"/>
      <c r="F9" s="302"/>
      <c r="G9" s="302"/>
      <c r="H9" s="268"/>
      <c r="I9" s="283">
        <f>SUM(I2:I8)</f>
        <v>4500.5289629624258</v>
      </c>
    </row>
    <row r="11" spans="1:9" ht="15.75" customHeight="1">
      <c r="A11" s="58" t="s">
        <v>205</v>
      </c>
      <c r="B11" s="210">
        <f>'Исходные данные'!B49</f>
        <v>288</v>
      </c>
    </row>
    <row r="12" spans="1:9" ht="15.75" customHeight="1">
      <c r="A12" s="58" t="s">
        <v>206</v>
      </c>
      <c r="B12" s="210">
        <f>'Исходные данные'!C49</f>
        <v>0</v>
      </c>
    </row>
    <row r="13" spans="1:9" ht="15.75" customHeight="1">
      <c r="A13" s="58" t="s">
        <v>207</v>
      </c>
      <c r="B13" s="210">
        <f>'Исходные данные'!D49</f>
        <v>4</v>
      </c>
    </row>
    <row r="15" spans="1:9" ht="15.75" customHeight="1">
      <c r="A15" s="333" t="s">
        <v>208</v>
      </c>
      <c r="B15" s="332"/>
      <c r="C15" s="332"/>
      <c r="D15" s="321"/>
    </row>
    <row r="16" spans="1:9" ht="15.75" customHeight="1">
      <c r="A16" s="215" t="s">
        <v>209</v>
      </c>
      <c r="B16" s="216" t="s">
        <v>210</v>
      </c>
      <c r="C16" s="78" t="s">
        <v>5</v>
      </c>
      <c r="D16" s="216" t="s">
        <v>211</v>
      </c>
    </row>
    <row r="17" spans="1:4" ht="15.75" customHeight="1">
      <c r="A17" s="238"/>
      <c r="B17" s="270"/>
      <c r="C17" s="270"/>
      <c r="D17" s="270"/>
    </row>
    <row r="18" spans="1:4" ht="15.75" customHeight="1">
      <c r="A18" s="58"/>
      <c r="B18" s="239"/>
      <c r="C18" s="239"/>
      <c r="D18" s="239"/>
    </row>
    <row r="19" spans="1:4" ht="15.75" customHeight="1">
      <c r="A19" s="241"/>
      <c r="B19" s="239"/>
      <c r="C19" s="239"/>
      <c r="D19" s="239"/>
    </row>
    <row r="20" spans="1:4" ht="15.75" customHeight="1">
      <c r="A20" s="58"/>
      <c r="B20" s="239"/>
      <c r="C20" s="239"/>
      <c r="D20" s="147"/>
    </row>
    <row r="21" spans="1:4" ht="15.75" customHeight="1">
      <c r="A21" s="58"/>
      <c r="B21" s="239"/>
      <c r="C21" s="239"/>
      <c r="D21" s="239"/>
    </row>
    <row r="22" spans="1:4" ht="15.75" customHeight="1">
      <c r="A22" s="27"/>
      <c r="B22" s="61"/>
      <c r="C22" s="61"/>
      <c r="D22" s="61"/>
    </row>
    <row r="23" spans="1:4" ht="15.75" customHeight="1">
      <c r="A23" s="284"/>
      <c r="B23" s="285"/>
      <c r="C23" s="285"/>
      <c r="D23" s="285">
        <f>SUM(D17:D22)</f>
        <v>0</v>
      </c>
    </row>
  </sheetData>
  <mergeCells count="1">
    <mergeCell ref="A15:D15"/>
  </mergeCells>
  <pageMargins left="0.7" right="0.7" top="0.75" bottom="0.75" header="0.3" footer="0.3"/>
  <pageSetup paperSize="9"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I22"/>
  <sheetViews>
    <sheetView workbookViewId="0"/>
  </sheetViews>
  <sheetFormatPr baseColWidth="10" defaultColWidth="12.6640625" defaultRowHeight="15.75" customHeight="1"/>
  <cols>
    <col min="1" max="1" width="27.33203125" customWidth="1"/>
    <col min="7" max="7" width="8.1640625" customWidth="1"/>
    <col min="8" max="8" width="14.1640625" customWidth="1"/>
    <col min="9" max="9" width="15" customWidth="1"/>
  </cols>
  <sheetData>
    <row r="1" spans="1:9" ht="15.75" customHeight="1">
      <c r="A1" s="275" t="s">
        <v>300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9" ht="15.75" customHeight="1">
      <c r="A2" s="254" t="s">
        <v>293</v>
      </c>
      <c r="B2" s="44">
        <f>'Исходные данные'!D53</f>
        <v>635</v>
      </c>
      <c r="C2" s="44">
        <f>'Исходные данные'!D52</f>
        <v>9</v>
      </c>
      <c r="D2" s="44"/>
      <c r="E2" s="44">
        <v>902051</v>
      </c>
      <c r="F2" s="253">
        <v>12</v>
      </c>
      <c r="G2" s="253"/>
      <c r="H2" s="44">
        <f>E2/F2</f>
        <v>75170.916666666672</v>
      </c>
      <c r="I2" s="278">
        <f>H2/B2*C2</f>
        <v>1065.414566929134</v>
      </c>
    </row>
    <row r="3" spans="1:9" ht="15.75" customHeight="1">
      <c r="A3" s="254" t="s">
        <v>301</v>
      </c>
      <c r="B3" s="44"/>
      <c r="C3" s="119"/>
      <c r="D3" s="300"/>
      <c r="E3" s="119">
        <v>0</v>
      </c>
      <c r="F3" s="253"/>
      <c r="G3" s="253"/>
      <c r="H3" s="119"/>
      <c r="I3" s="278">
        <f>D22</f>
        <v>0</v>
      </c>
    </row>
    <row r="4" spans="1:9" ht="15.75" customHeight="1">
      <c r="A4" s="73" t="s">
        <v>149</v>
      </c>
      <c r="B4" s="44"/>
      <c r="C4" s="119"/>
      <c r="D4" s="300"/>
      <c r="E4" s="119">
        <v>0</v>
      </c>
      <c r="F4" s="253">
        <v>12</v>
      </c>
      <c r="G4" s="253"/>
      <c r="H4" s="119">
        <f>E4/F4</f>
        <v>0</v>
      </c>
      <c r="I4" s="278">
        <f>H4</f>
        <v>0</v>
      </c>
    </row>
    <row r="5" spans="1:9" ht="15.75" customHeight="1">
      <c r="A5" s="254" t="s">
        <v>152</v>
      </c>
      <c r="B5" s="44"/>
      <c r="C5" s="119"/>
      <c r="D5" s="300">
        <f>B10+B11</f>
        <v>283</v>
      </c>
      <c r="E5" s="119"/>
      <c r="F5" s="253"/>
      <c r="G5" s="266">
        <f>'Общие расходы ГЭ'!G16</f>
        <v>9.1731976502919679</v>
      </c>
      <c r="H5" s="119"/>
      <c r="I5" s="278">
        <f t="shared" ref="I5:I7" si="0">D5*G5</f>
        <v>2596.0149350326269</v>
      </c>
    </row>
    <row r="6" spans="1:9" ht="15.75" customHeight="1">
      <c r="A6" s="254" t="s">
        <v>290</v>
      </c>
      <c r="B6" s="44"/>
      <c r="C6" s="119"/>
      <c r="D6" s="300">
        <f>B10+B11</f>
        <v>283</v>
      </c>
      <c r="E6" s="119"/>
      <c r="F6" s="253"/>
      <c r="G6" s="266">
        <f>'Общие расходы г. Зеленодольск'!G4</f>
        <v>2.1346904841448815</v>
      </c>
      <c r="H6" s="119"/>
      <c r="I6" s="278">
        <f t="shared" si="0"/>
        <v>604.11740701300141</v>
      </c>
    </row>
    <row r="7" spans="1:9" ht="15.75" customHeight="1">
      <c r="A7" s="254" t="s">
        <v>292</v>
      </c>
      <c r="B7" s="44"/>
      <c r="C7" s="119"/>
      <c r="D7" s="300">
        <f>B10+B11</f>
        <v>283</v>
      </c>
      <c r="E7" s="119"/>
      <c r="F7" s="253"/>
      <c r="G7" s="266">
        <f>'Общие расходы г. Зеленодольск'!F12</f>
        <v>0.92421155651427089</v>
      </c>
      <c r="H7" s="119"/>
      <c r="I7" s="278">
        <f t="shared" si="0"/>
        <v>261.55187049353867</v>
      </c>
    </row>
    <row r="8" spans="1:9" ht="15.75" customHeight="1">
      <c r="A8" s="301"/>
      <c r="B8" s="268"/>
      <c r="C8" s="268"/>
      <c r="D8" s="268"/>
      <c r="E8" s="268"/>
      <c r="F8" s="302"/>
      <c r="G8" s="302"/>
      <c r="H8" s="268"/>
      <c r="I8" s="283">
        <f>SUM(I2:I7)</f>
        <v>4527.0987794683006</v>
      </c>
    </row>
    <row r="9" spans="1:9" ht="15.75" customHeight="1">
      <c r="A9" s="39"/>
      <c r="B9" s="55"/>
      <c r="C9" s="55"/>
      <c r="D9" s="55"/>
      <c r="E9" s="55"/>
      <c r="F9" s="39"/>
      <c r="G9" s="39"/>
      <c r="H9" s="55"/>
      <c r="I9" s="55"/>
    </row>
    <row r="10" spans="1:9" ht="15.75" customHeight="1">
      <c r="A10" s="58" t="s">
        <v>205</v>
      </c>
      <c r="B10" s="210">
        <f>'Исходные данные'!B52</f>
        <v>283</v>
      </c>
    </row>
    <row r="11" spans="1:9" ht="15.75" customHeight="1">
      <c r="A11" s="58" t="s">
        <v>206</v>
      </c>
      <c r="B11" s="210">
        <f>'Исходные данные'!C52</f>
        <v>0</v>
      </c>
    </row>
    <row r="12" spans="1:9" ht="15.75" customHeight="1">
      <c r="A12" s="58" t="s">
        <v>207</v>
      </c>
      <c r="B12" s="210">
        <f>'Исходные данные'!D52</f>
        <v>9</v>
      </c>
    </row>
    <row r="14" spans="1:9" ht="15.75" customHeight="1">
      <c r="A14" s="333" t="s">
        <v>208</v>
      </c>
      <c r="B14" s="332"/>
      <c r="C14" s="332"/>
      <c r="D14" s="321"/>
    </row>
    <row r="15" spans="1:9" ht="15.75" customHeight="1">
      <c r="A15" s="215" t="s">
        <v>209</v>
      </c>
      <c r="B15" s="216" t="s">
        <v>210</v>
      </c>
      <c r="C15" s="78" t="s">
        <v>5</v>
      </c>
      <c r="D15" s="216" t="s">
        <v>211</v>
      </c>
    </row>
    <row r="16" spans="1:9" ht="15.75" customHeight="1">
      <c r="A16" s="238" t="s">
        <v>302</v>
      </c>
      <c r="B16" s="239"/>
      <c r="C16" s="239">
        <v>12</v>
      </c>
      <c r="D16" s="239">
        <f>B16/C16</f>
        <v>0</v>
      </c>
    </row>
    <row r="17" spans="1:4" ht="15.75" customHeight="1">
      <c r="A17" s="58"/>
      <c r="B17" s="239"/>
      <c r="C17" s="239"/>
      <c r="D17" s="239"/>
    </row>
    <row r="18" spans="1:4" ht="15.75" customHeight="1">
      <c r="A18" s="241"/>
      <c r="B18" s="239"/>
      <c r="C18" s="239"/>
      <c r="D18" s="239"/>
    </row>
    <row r="19" spans="1:4" ht="15.75" customHeight="1">
      <c r="A19" s="58"/>
      <c r="B19" s="239"/>
      <c r="C19" s="239"/>
      <c r="D19" s="147"/>
    </row>
    <row r="20" spans="1:4" ht="15.75" customHeight="1">
      <c r="A20" s="58"/>
      <c r="B20" s="239"/>
      <c r="C20" s="239"/>
      <c r="D20" s="239"/>
    </row>
    <row r="21" spans="1:4" ht="15.75" customHeight="1">
      <c r="A21" s="27"/>
      <c r="B21" s="61"/>
      <c r="C21" s="61"/>
      <c r="D21" s="61"/>
    </row>
    <row r="22" spans="1:4" ht="15.75" customHeight="1">
      <c r="A22" s="27"/>
      <c r="B22" s="61"/>
      <c r="C22" s="61"/>
      <c r="D22" s="61">
        <f>SUM(D16:D21)</f>
        <v>0</v>
      </c>
    </row>
  </sheetData>
  <mergeCells count="1">
    <mergeCell ref="A14:D14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I29"/>
  <sheetViews>
    <sheetView workbookViewId="0"/>
  </sheetViews>
  <sheetFormatPr baseColWidth="10" defaultColWidth="12.6640625" defaultRowHeight="15.75" customHeight="1"/>
  <cols>
    <col min="1" max="1" width="22.83203125" customWidth="1"/>
    <col min="6" max="6" width="8.83203125" customWidth="1"/>
    <col min="7" max="7" width="15.6640625" customWidth="1"/>
    <col min="8" max="8" width="15.33203125" customWidth="1"/>
  </cols>
  <sheetData>
    <row r="1" spans="1:9" ht="15.75" customHeight="1">
      <c r="A1" s="275" t="s">
        <v>303</v>
      </c>
      <c r="B1" s="276" t="s">
        <v>304</v>
      </c>
      <c r="C1" s="204" t="s">
        <v>197</v>
      </c>
      <c r="D1" s="276" t="s">
        <v>4</v>
      </c>
      <c r="E1" s="277" t="s">
        <v>5</v>
      </c>
      <c r="F1" s="277" t="s">
        <v>9</v>
      </c>
      <c r="G1" s="277" t="s">
        <v>6</v>
      </c>
      <c r="H1" s="205" t="s">
        <v>198</v>
      </c>
      <c r="I1" s="59"/>
    </row>
    <row r="2" spans="1:9" ht="15.75" customHeight="1">
      <c r="A2" s="257" t="s">
        <v>305</v>
      </c>
      <c r="B2" s="258">
        <f>'Исходные данные'!D56</f>
        <v>12</v>
      </c>
      <c r="C2" s="258">
        <f>B2</f>
        <v>12</v>
      </c>
      <c r="D2" s="258">
        <v>112500</v>
      </c>
      <c r="E2" s="259">
        <v>12</v>
      </c>
      <c r="F2" s="258"/>
      <c r="G2" s="258">
        <f t="shared" ref="G2:G9" si="0">D2/E2</f>
        <v>9375</v>
      </c>
      <c r="H2" s="278">
        <f>G2/B2*C2</f>
        <v>9375</v>
      </c>
      <c r="I2" s="59"/>
    </row>
    <row r="3" spans="1:9" ht="15.75" customHeight="1">
      <c r="A3" s="257" t="s">
        <v>306</v>
      </c>
      <c r="B3" s="258"/>
      <c r="C3" s="258"/>
      <c r="D3" s="258">
        <v>2000</v>
      </c>
      <c r="E3" s="259">
        <v>12</v>
      </c>
      <c r="F3" s="258"/>
      <c r="G3" s="258">
        <f t="shared" si="0"/>
        <v>166.66666666666666</v>
      </c>
      <c r="H3" s="278">
        <f t="shared" ref="H3:H9" si="1">G3</f>
        <v>166.66666666666666</v>
      </c>
      <c r="I3" s="59"/>
    </row>
    <row r="4" spans="1:9" ht="15.75" customHeight="1">
      <c r="A4" s="257" t="s">
        <v>202</v>
      </c>
      <c r="B4" s="258"/>
      <c r="C4" s="260"/>
      <c r="D4" s="258">
        <f>90246+4015</f>
        <v>94261</v>
      </c>
      <c r="E4" s="259">
        <v>12</v>
      </c>
      <c r="F4" s="260"/>
      <c r="G4" s="258">
        <f t="shared" si="0"/>
        <v>7855.083333333333</v>
      </c>
      <c r="H4" s="278">
        <f t="shared" si="1"/>
        <v>7855.083333333333</v>
      </c>
      <c r="I4" s="59"/>
    </row>
    <row r="5" spans="1:9" ht="15.75" customHeight="1">
      <c r="A5" s="73" t="s">
        <v>150</v>
      </c>
      <c r="B5" s="258"/>
      <c r="C5" s="260"/>
      <c r="D5" s="258">
        <v>139522</v>
      </c>
      <c r="E5" s="259">
        <v>12</v>
      </c>
      <c r="F5" s="260"/>
      <c r="G5" s="258">
        <f t="shared" si="0"/>
        <v>11626.833333333334</v>
      </c>
      <c r="H5" s="278">
        <f t="shared" si="1"/>
        <v>11626.833333333334</v>
      </c>
      <c r="I5" s="59"/>
    </row>
    <row r="6" spans="1:9" ht="15.75" customHeight="1">
      <c r="A6" s="73" t="s">
        <v>148</v>
      </c>
      <c r="B6" s="258"/>
      <c r="C6" s="260"/>
      <c r="D6" s="258">
        <f>11400+2250</f>
        <v>13650</v>
      </c>
      <c r="E6" s="259">
        <v>12</v>
      </c>
      <c r="F6" s="260"/>
      <c r="G6" s="258">
        <f t="shared" si="0"/>
        <v>1137.5</v>
      </c>
      <c r="H6" s="278">
        <f t="shared" si="1"/>
        <v>1137.5</v>
      </c>
      <c r="I6" s="59"/>
    </row>
    <row r="7" spans="1:9" ht="15.75" customHeight="1">
      <c r="A7" s="261" t="s">
        <v>265</v>
      </c>
      <c r="B7" s="258"/>
      <c r="C7" s="260"/>
      <c r="D7" s="258">
        <f>2966.44+840</f>
        <v>3806.44</v>
      </c>
      <c r="E7" s="259">
        <v>12</v>
      </c>
      <c r="F7" s="260"/>
      <c r="G7" s="258">
        <f t="shared" si="0"/>
        <v>317.20333333333332</v>
      </c>
      <c r="H7" s="278">
        <f t="shared" si="1"/>
        <v>317.20333333333332</v>
      </c>
    </row>
    <row r="8" spans="1:9" ht="15.75" customHeight="1">
      <c r="A8" s="306" t="s">
        <v>203</v>
      </c>
      <c r="B8" s="258"/>
      <c r="C8" s="260"/>
      <c r="D8" s="258">
        <v>6530</v>
      </c>
      <c r="E8" s="259">
        <v>12</v>
      </c>
      <c r="F8" s="260"/>
      <c r="G8" s="258">
        <f t="shared" si="0"/>
        <v>544.16666666666663</v>
      </c>
      <c r="H8" s="278">
        <f t="shared" si="1"/>
        <v>544.16666666666663</v>
      </c>
    </row>
    <row r="9" spans="1:9" ht="15.75" customHeight="1">
      <c r="A9" s="306" t="s">
        <v>307</v>
      </c>
      <c r="B9" s="258"/>
      <c r="C9" s="260"/>
      <c r="D9" s="258">
        <v>624</v>
      </c>
      <c r="E9" s="259">
        <v>12</v>
      </c>
      <c r="F9" s="260"/>
      <c r="G9" s="258">
        <f t="shared" si="0"/>
        <v>52</v>
      </c>
      <c r="H9" s="278">
        <f t="shared" si="1"/>
        <v>52</v>
      </c>
    </row>
    <row r="10" spans="1:9" ht="15.75" customHeight="1">
      <c r="A10" s="306" t="s">
        <v>155</v>
      </c>
      <c r="B10" s="258"/>
      <c r="C10" s="260"/>
      <c r="D10" s="258"/>
      <c r="E10" s="259"/>
      <c r="F10" s="260"/>
      <c r="G10" s="258"/>
      <c r="H10" s="278">
        <f>D29</f>
        <v>5400</v>
      </c>
    </row>
    <row r="11" spans="1:9" ht="15.75" customHeight="1">
      <c r="A11" s="254" t="s">
        <v>267</v>
      </c>
      <c r="B11" s="119"/>
      <c r="C11" s="264">
        <f>B16+B17</f>
        <v>1674</v>
      </c>
      <c r="D11" s="119"/>
      <c r="E11" s="255"/>
      <c r="F11" s="44">
        <f>'Общие расходы г. Казань'!F4</f>
        <v>0</v>
      </c>
      <c r="G11" s="119"/>
      <c r="H11" s="278">
        <f t="shared" ref="H11:H13" si="2">C11*F11</f>
        <v>0</v>
      </c>
    </row>
    <row r="12" spans="1:9" ht="15.75" customHeight="1">
      <c r="A12" s="254" t="s">
        <v>152</v>
      </c>
      <c r="B12" s="258"/>
      <c r="C12" s="264">
        <f>B16+B17</f>
        <v>1674</v>
      </c>
      <c r="D12" s="119"/>
      <c r="E12" s="255"/>
      <c r="F12" s="44">
        <f>'Общие расходы ГЭ'!G16</f>
        <v>9.1731976502919679</v>
      </c>
      <c r="G12" s="119"/>
      <c r="H12" s="278">
        <f t="shared" si="2"/>
        <v>15355.932866588755</v>
      </c>
    </row>
    <row r="13" spans="1:9" ht="15.75" customHeight="1">
      <c r="A13" s="254" t="s">
        <v>156</v>
      </c>
      <c r="B13" s="119"/>
      <c r="C13" s="300">
        <f>B16+B17</f>
        <v>1674</v>
      </c>
      <c r="D13" s="119"/>
      <c r="E13" s="255"/>
      <c r="F13" s="119">
        <f>'Общие расходы г. Зеленодольск'!F12</f>
        <v>0.92421155651427089</v>
      </c>
      <c r="G13" s="119"/>
      <c r="H13" s="278">
        <f t="shared" si="2"/>
        <v>1547.1301456048895</v>
      </c>
    </row>
    <row r="14" spans="1:9" ht="15.75" customHeight="1">
      <c r="A14" s="146"/>
      <c r="B14" s="146"/>
      <c r="C14" s="146"/>
      <c r="D14" s="146"/>
      <c r="E14" s="146"/>
      <c r="F14" s="146"/>
      <c r="G14" s="146"/>
      <c r="H14" s="256">
        <f>SUM(H2:H13)</f>
        <v>53377.516345526987</v>
      </c>
    </row>
    <row r="16" spans="1:9" ht="15.75" customHeight="1">
      <c r="A16" s="58" t="s">
        <v>205</v>
      </c>
      <c r="B16" s="213">
        <f>'Исходные данные'!B56</f>
        <v>192</v>
      </c>
    </row>
    <row r="17" spans="1:4" ht="15.75" customHeight="1">
      <c r="A17" s="58" t="s">
        <v>206</v>
      </c>
      <c r="B17" s="213">
        <f>'Исходные данные'!C56</f>
        <v>1482</v>
      </c>
    </row>
    <row r="18" spans="1:4" ht="15.75" customHeight="1">
      <c r="A18" s="58" t="s">
        <v>207</v>
      </c>
      <c r="B18" s="213">
        <f>'Исходные данные'!D56</f>
        <v>12</v>
      </c>
    </row>
    <row r="20" spans="1:4" ht="15.75" customHeight="1">
      <c r="A20" s="333" t="s">
        <v>208</v>
      </c>
      <c r="B20" s="332"/>
      <c r="C20" s="332"/>
      <c r="D20" s="321"/>
    </row>
    <row r="21" spans="1:4" ht="15.75" customHeight="1">
      <c r="A21" s="215" t="s">
        <v>209</v>
      </c>
      <c r="B21" s="216" t="s">
        <v>210</v>
      </c>
      <c r="C21" s="78" t="s">
        <v>5</v>
      </c>
      <c r="D21" s="216" t="s">
        <v>211</v>
      </c>
    </row>
    <row r="22" spans="1:4" ht="15.75" customHeight="1">
      <c r="A22" s="238" t="s">
        <v>302</v>
      </c>
      <c r="B22" s="239">
        <f>5000+34500</f>
        <v>39500</v>
      </c>
      <c r="C22" s="239">
        <v>12</v>
      </c>
      <c r="D22" s="239">
        <f t="shared" ref="D22:D24" si="3">B22/C22</f>
        <v>3291.6666666666665</v>
      </c>
    </row>
    <row r="23" spans="1:4" ht="15.75" customHeight="1">
      <c r="A23" s="58" t="s">
        <v>308</v>
      </c>
      <c r="B23" s="239">
        <v>25300</v>
      </c>
      <c r="C23" s="239">
        <v>12</v>
      </c>
      <c r="D23" s="239">
        <f t="shared" si="3"/>
        <v>2108.3333333333335</v>
      </c>
    </row>
    <row r="24" spans="1:4" ht="15.75" customHeight="1">
      <c r="A24" s="58" t="s">
        <v>222</v>
      </c>
      <c r="B24" s="239"/>
      <c r="C24" s="239">
        <v>12</v>
      </c>
      <c r="D24" s="239">
        <f t="shared" si="3"/>
        <v>0</v>
      </c>
    </row>
    <row r="25" spans="1:4" ht="15.75" customHeight="1">
      <c r="A25" s="241"/>
      <c r="B25" s="239"/>
      <c r="C25" s="239"/>
      <c r="D25" s="239"/>
    </row>
    <row r="26" spans="1:4" ht="15.75" customHeight="1">
      <c r="A26" s="58"/>
      <c r="B26" s="239"/>
      <c r="C26" s="239"/>
      <c r="D26" s="147"/>
    </row>
    <row r="27" spans="1:4" ht="15.75" customHeight="1">
      <c r="A27" s="58"/>
      <c r="B27" s="239"/>
      <c r="C27" s="239"/>
      <c r="D27" s="239"/>
    </row>
    <row r="28" spans="1:4" ht="15.75" customHeight="1">
      <c r="A28" s="27"/>
      <c r="B28" s="61"/>
      <c r="C28" s="61"/>
      <c r="D28" s="61"/>
    </row>
    <row r="29" spans="1:4" ht="15.75" customHeight="1">
      <c r="A29" s="27"/>
      <c r="B29" s="61"/>
      <c r="C29" s="61"/>
      <c r="D29" s="61">
        <f>SUM(D22:D28)</f>
        <v>5400</v>
      </c>
    </row>
  </sheetData>
  <mergeCells count="1">
    <mergeCell ref="A20:D20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/>
  <cols>
    <col min="1" max="1" width="22.6640625" customWidth="1"/>
    <col min="7" max="7" width="8.1640625" customWidth="1"/>
    <col min="8" max="8" width="15.5" customWidth="1"/>
  </cols>
  <sheetData>
    <row r="1" spans="1:9" ht="15.75" customHeight="1">
      <c r="A1" s="275" t="s">
        <v>309</v>
      </c>
      <c r="B1" s="204" t="s">
        <v>195</v>
      </c>
      <c r="C1" s="204" t="s">
        <v>196</v>
      </c>
      <c r="D1" s="204" t="s">
        <v>197</v>
      </c>
      <c r="E1" s="276" t="s">
        <v>4</v>
      </c>
      <c r="F1" s="277" t="s">
        <v>5</v>
      </c>
      <c r="G1" s="277" t="s">
        <v>9</v>
      </c>
      <c r="H1" s="277" t="s">
        <v>6</v>
      </c>
      <c r="I1" s="205" t="s">
        <v>198</v>
      </c>
    </row>
    <row r="2" spans="1:9" ht="15.75" customHeight="1">
      <c r="A2" s="257" t="s">
        <v>310</v>
      </c>
      <c r="B2" s="294">
        <f>'Исходные данные'!D61</f>
        <v>96</v>
      </c>
      <c r="C2" s="294">
        <f>'Исходные данные'!D58</f>
        <v>75</v>
      </c>
      <c r="D2" s="260"/>
      <c r="E2" s="260">
        <v>130524</v>
      </c>
      <c r="F2" s="281">
        <v>12</v>
      </c>
      <c r="G2" s="281"/>
      <c r="H2" s="260">
        <f t="shared" ref="H2:H6" si="0">E2/F2</f>
        <v>10877</v>
      </c>
      <c r="I2" s="278">
        <f>H2/B2*C2</f>
        <v>8497.65625</v>
      </c>
    </row>
    <row r="3" spans="1:9" ht="15.75" customHeight="1">
      <c r="A3" s="257" t="s">
        <v>202</v>
      </c>
      <c r="B3" s="258"/>
      <c r="C3" s="258"/>
      <c r="D3" s="260"/>
      <c r="E3" s="258">
        <f>6110+30</f>
        <v>6140</v>
      </c>
      <c r="F3" s="281">
        <v>12</v>
      </c>
      <c r="G3" s="260"/>
      <c r="H3" s="260">
        <f t="shared" si="0"/>
        <v>511.66666666666669</v>
      </c>
      <c r="I3" s="278">
        <f>H3</f>
        <v>511.66666666666669</v>
      </c>
    </row>
    <row r="4" spans="1:9" ht="15.75" customHeight="1">
      <c r="A4" s="257" t="s">
        <v>226</v>
      </c>
      <c r="B4" s="258"/>
      <c r="C4" s="258"/>
      <c r="D4" s="260"/>
      <c r="E4" s="258"/>
      <c r="F4" s="281">
        <v>12</v>
      </c>
      <c r="G4" s="260"/>
      <c r="H4" s="260">
        <f t="shared" si="0"/>
        <v>0</v>
      </c>
      <c r="I4" s="278"/>
    </row>
    <row r="5" spans="1:9" ht="15.75" customHeight="1">
      <c r="A5" s="257" t="s">
        <v>155</v>
      </c>
      <c r="B5" s="258"/>
      <c r="C5" s="258"/>
      <c r="D5" s="260"/>
      <c r="E5" s="258">
        <v>26676</v>
      </c>
      <c r="F5" s="281">
        <v>12</v>
      </c>
      <c r="G5" s="260"/>
      <c r="H5" s="260">
        <f t="shared" si="0"/>
        <v>2223</v>
      </c>
      <c r="I5" s="278">
        <f>D24</f>
        <v>0</v>
      </c>
    </row>
    <row r="6" spans="1:9" ht="15.75" customHeight="1">
      <c r="A6" s="257" t="s">
        <v>259</v>
      </c>
      <c r="B6" s="258"/>
      <c r="C6" s="258"/>
      <c r="D6" s="294"/>
      <c r="E6" s="258"/>
      <c r="F6" s="281">
        <v>12</v>
      </c>
      <c r="G6" s="260"/>
      <c r="H6" s="258">
        <f t="shared" si="0"/>
        <v>0</v>
      </c>
      <c r="I6" s="278">
        <f>H6</f>
        <v>0</v>
      </c>
    </row>
    <row r="7" spans="1:9" ht="15.75" customHeight="1">
      <c r="A7" s="254" t="s">
        <v>267</v>
      </c>
      <c r="B7" s="119"/>
      <c r="C7" s="119"/>
      <c r="D7" s="307">
        <f>B12+B13</f>
        <v>1271</v>
      </c>
      <c r="E7" s="119"/>
      <c r="F7" s="253"/>
      <c r="G7" s="44">
        <f>'Общие расходы г. Казань'!F4</f>
        <v>0</v>
      </c>
      <c r="H7" s="119"/>
      <c r="I7" s="278">
        <f t="shared" ref="I7:I9" si="1">D7*G7</f>
        <v>0</v>
      </c>
    </row>
    <row r="8" spans="1:9" ht="15.75" customHeight="1">
      <c r="A8" s="254" t="s">
        <v>152</v>
      </c>
      <c r="B8" s="258"/>
      <c r="C8" s="119"/>
      <c r="D8" s="307">
        <f>B12+B13</f>
        <v>1271</v>
      </c>
      <c r="E8" s="119"/>
      <c r="F8" s="253"/>
      <c r="G8" s="44">
        <f>'Общие расходы ГЭ'!G16</f>
        <v>9.1731976502919679</v>
      </c>
      <c r="H8" s="119"/>
      <c r="I8" s="278">
        <f t="shared" si="1"/>
        <v>11659.134213521091</v>
      </c>
    </row>
    <row r="9" spans="1:9" ht="15.75" customHeight="1">
      <c r="A9" s="254" t="s">
        <v>156</v>
      </c>
      <c r="B9" s="119"/>
      <c r="C9" s="119"/>
      <c r="D9" s="307">
        <f>B12+B13</f>
        <v>1271</v>
      </c>
      <c r="E9" s="119"/>
      <c r="F9" s="253"/>
      <c r="G9" s="44">
        <f>'Общие расходы г. Зеленодольск'!F12</f>
        <v>0.92421155651427089</v>
      </c>
      <c r="H9" s="119"/>
      <c r="I9" s="278">
        <f t="shared" si="1"/>
        <v>1174.6728883296382</v>
      </c>
    </row>
    <row r="10" spans="1:9" ht="15.75" customHeight="1">
      <c r="A10" s="301"/>
      <c r="B10" s="268"/>
      <c r="C10" s="268"/>
      <c r="D10" s="268"/>
      <c r="E10" s="268"/>
      <c r="F10" s="302"/>
      <c r="G10" s="302"/>
      <c r="H10" s="268"/>
      <c r="I10" s="283">
        <f>SUM(I2:I9)</f>
        <v>21843.130018517397</v>
      </c>
    </row>
    <row r="12" spans="1:9" ht="15.75" customHeight="1">
      <c r="A12" s="58" t="s">
        <v>205</v>
      </c>
      <c r="B12" s="213">
        <f>'Исходные данные'!B58</f>
        <v>1271</v>
      </c>
    </row>
    <row r="13" spans="1:9" ht="15.75" customHeight="1">
      <c r="A13" s="58" t="s">
        <v>206</v>
      </c>
      <c r="B13" s="213">
        <f>'Исходные данные'!C58</f>
        <v>0</v>
      </c>
    </row>
    <row r="14" spans="1:9" ht="15.75" customHeight="1">
      <c r="A14" s="58" t="s">
        <v>207</v>
      </c>
      <c r="B14" s="213">
        <f>'Исходные данные'!D58</f>
        <v>75</v>
      </c>
    </row>
    <row r="16" spans="1:9" ht="15.75" customHeight="1">
      <c r="A16" s="333" t="s">
        <v>208</v>
      </c>
      <c r="B16" s="332"/>
      <c r="C16" s="332"/>
      <c r="D16" s="321"/>
    </row>
    <row r="17" spans="1:4" ht="15.75" customHeight="1">
      <c r="A17" s="215" t="s">
        <v>209</v>
      </c>
      <c r="B17" s="216" t="s">
        <v>210</v>
      </c>
      <c r="C17" s="78" t="s">
        <v>5</v>
      </c>
      <c r="D17" s="216" t="s">
        <v>211</v>
      </c>
    </row>
    <row r="18" spans="1:4" ht="15.75" customHeight="1">
      <c r="A18" s="238"/>
      <c r="B18" s="270"/>
      <c r="C18" s="270">
        <v>12</v>
      </c>
      <c r="D18" s="270">
        <f>B18/C18</f>
        <v>0</v>
      </c>
    </row>
    <row r="19" spans="1:4" ht="15.75" customHeight="1">
      <c r="A19" s="73"/>
      <c r="B19" s="258"/>
      <c r="C19" s="270"/>
      <c r="D19" s="270"/>
    </row>
    <row r="20" spans="1:4" ht="15.75" customHeight="1">
      <c r="A20" s="241"/>
      <c r="B20" s="239"/>
      <c r="C20" s="239"/>
      <c r="D20" s="239"/>
    </row>
    <row r="21" spans="1:4" ht="15.75" customHeight="1">
      <c r="A21" s="58"/>
      <c r="B21" s="239"/>
      <c r="C21" s="239"/>
      <c r="D21" s="147"/>
    </row>
    <row r="22" spans="1:4" ht="15.75" customHeight="1">
      <c r="A22" s="58"/>
      <c r="B22" s="239"/>
      <c r="C22" s="239"/>
      <c r="D22" s="239"/>
    </row>
    <row r="23" spans="1:4" ht="15.75" customHeight="1">
      <c r="A23" s="27"/>
      <c r="B23" s="61"/>
      <c r="C23" s="61"/>
      <c r="D23" s="61"/>
    </row>
    <row r="24" spans="1:4" ht="15.75" customHeight="1">
      <c r="A24" s="237" t="s">
        <v>62</v>
      </c>
      <c r="B24" s="231"/>
      <c r="C24" s="231"/>
      <c r="D24" s="231">
        <f>SUM(D18:D23)</f>
        <v>0</v>
      </c>
    </row>
  </sheetData>
  <mergeCells count="1">
    <mergeCell ref="A16:D16"/>
  </mergeCells>
  <pageMargins left="0.7" right="0.7" top="0.75" bottom="0.75" header="0.3" footer="0.3"/>
  <pageSetup paperSize="9"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I21"/>
  <sheetViews>
    <sheetView workbookViewId="0"/>
  </sheetViews>
  <sheetFormatPr baseColWidth="10" defaultColWidth="12.6640625" defaultRowHeight="15.75" customHeight="1"/>
  <cols>
    <col min="1" max="1" width="21.33203125" customWidth="1"/>
    <col min="7" max="7" width="9.1640625" customWidth="1"/>
    <col min="8" max="8" width="17.1640625" customWidth="1"/>
  </cols>
  <sheetData>
    <row r="1" spans="1:9" ht="15.75" customHeight="1">
      <c r="A1" s="275" t="s">
        <v>311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9" ht="15.75" customHeight="1">
      <c r="A2" s="257" t="s">
        <v>312</v>
      </c>
      <c r="B2" s="260">
        <f>'Исходные данные'!D61</f>
        <v>96</v>
      </c>
      <c r="C2" s="260">
        <f>'Исходные данные'!D57</f>
        <v>5</v>
      </c>
      <c r="D2" s="260"/>
      <c r="E2" s="260">
        <v>130524</v>
      </c>
      <c r="F2" s="281">
        <v>12</v>
      </c>
      <c r="G2" s="258"/>
      <c r="H2" s="260">
        <f t="shared" ref="H2:H3" si="0">E2/F2</f>
        <v>10877</v>
      </c>
      <c r="I2" s="278">
        <f>H2/B2*C2</f>
        <v>566.51041666666663</v>
      </c>
    </row>
    <row r="3" spans="1:9" ht="15.75" customHeight="1">
      <c r="A3" s="257" t="s">
        <v>313</v>
      </c>
      <c r="B3" s="258"/>
      <c r="C3" s="258"/>
      <c r="D3" s="258"/>
      <c r="E3" s="258">
        <v>0</v>
      </c>
      <c r="F3" s="281">
        <v>12</v>
      </c>
      <c r="G3" s="260"/>
      <c r="H3" s="260">
        <f t="shared" si="0"/>
        <v>0</v>
      </c>
      <c r="I3" s="278">
        <f>H3</f>
        <v>0</v>
      </c>
    </row>
    <row r="4" spans="1:9" ht="15.75" customHeight="1">
      <c r="A4" s="254" t="s">
        <v>267</v>
      </c>
      <c r="B4" s="119"/>
      <c r="C4" s="119"/>
      <c r="D4" s="300">
        <f>B9+B10</f>
        <v>40</v>
      </c>
      <c r="E4" s="119"/>
      <c r="F4" s="253"/>
      <c r="G4" s="44">
        <f>'Общие расходы г. Казань'!F4</f>
        <v>0</v>
      </c>
      <c r="H4" s="119"/>
      <c r="I4" s="278">
        <f t="shared" ref="I4:I5" si="1">D4*G4</f>
        <v>0</v>
      </c>
    </row>
    <row r="5" spans="1:9" ht="15.75" customHeight="1">
      <c r="A5" s="254" t="s">
        <v>152</v>
      </c>
      <c r="B5" s="258"/>
      <c r="C5" s="119"/>
      <c r="D5" s="300">
        <f>B9+B10</f>
        <v>40</v>
      </c>
      <c r="E5" s="119"/>
      <c r="F5" s="253"/>
      <c r="G5" s="44">
        <f>'Общие расходы ГЭ'!G16</f>
        <v>9.1731976502919679</v>
      </c>
      <c r="H5" s="119"/>
      <c r="I5" s="278">
        <f t="shared" si="1"/>
        <v>366.92790601167872</v>
      </c>
    </row>
    <row r="6" spans="1:9" ht="15.75" customHeight="1">
      <c r="A6" s="254" t="s">
        <v>292</v>
      </c>
      <c r="B6" s="119"/>
      <c r="C6" s="119"/>
      <c r="D6" s="300">
        <f>B9+B10</f>
        <v>40</v>
      </c>
      <c r="E6" s="119"/>
      <c r="F6" s="253"/>
      <c r="G6" s="119"/>
      <c r="H6" s="119"/>
      <c r="I6" s="278"/>
    </row>
    <row r="7" spans="1:9" ht="15.75" customHeight="1">
      <c r="A7" s="301"/>
      <c r="B7" s="268"/>
      <c r="C7" s="268"/>
      <c r="D7" s="268"/>
      <c r="E7" s="268"/>
      <c r="F7" s="302"/>
      <c r="G7" s="268"/>
      <c r="H7" s="268"/>
      <c r="I7" s="283">
        <f>SUM(I2:I6)</f>
        <v>933.43832267834534</v>
      </c>
    </row>
    <row r="9" spans="1:9" ht="15.75" customHeight="1">
      <c r="A9" s="58" t="s">
        <v>205</v>
      </c>
      <c r="B9" s="213">
        <f>'Исходные данные'!B57</f>
        <v>40</v>
      </c>
    </row>
    <row r="10" spans="1:9" ht="15.75" customHeight="1">
      <c r="A10" s="58" t="s">
        <v>206</v>
      </c>
      <c r="B10" s="213">
        <f>'Исходные данные'!C57</f>
        <v>0</v>
      </c>
    </row>
    <row r="11" spans="1:9" ht="15.75" customHeight="1">
      <c r="A11" s="58" t="s">
        <v>207</v>
      </c>
      <c r="B11" s="213">
        <f>'Исходные данные'!D57</f>
        <v>5</v>
      </c>
    </row>
    <row r="13" spans="1:9" ht="15.75" customHeight="1">
      <c r="A13" s="333" t="s">
        <v>208</v>
      </c>
      <c r="B13" s="332"/>
      <c r="C13" s="332"/>
      <c r="D13" s="321"/>
    </row>
    <row r="14" spans="1:9" ht="15.75" customHeight="1">
      <c r="A14" s="215" t="s">
        <v>209</v>
      </c>
      <c r="B14" s="216" t="s">
        <v>210</v>
      </c>
      <c r="C14" s="78" t="s">
        <v>5</v>
      </c>
      <c r="D14" s="216" t="s">
        <v>211</v>
      </c>
    </row>
    <row r="15" spans="1:9" ht="15.75" customHeight="1">
      <c r="A15" s="238"/>
      <c r="B15" s="239"/>
      <c r="C15" s="239"/>
      <c r="D15" s="239"/>
    </row>
    <row r="16" spans="1:9" ht="15.75" customHeight="1">
      <c r="A16" s="58"/>
      <c r="B16" s="239"/>
      <c r="C16" s="239"/>
      <c r="D16" s="239"/>
    </row>
    <row r="17" spans="1:4" ht="15.75" customHeight="1">
      <c r="A17" s="241"/>
      <c r="B17" s="239"/>
      <c r="C17" s="239"/>
      <c r="D17" s="239"/>
    </row>
    <row r="18" spans="1:4" ht="15.75" customHeight="1">
      <c r="A18" s="58"/>
      <c r="B18" s="239"/>
      <c r="C18" s="239"/>
      <c r="D18" s="147"/>
    </row>
    <row r="19" spans="1:4" ht="15.75" customHeight="1">
      <c r="A19" s="58"/>
      <c r="B19" s="239"/>
      <c r="C19" s="239"/>
      <c r="D19" s="239"/>
    </row>
    <row r="20" spans="1:4" ht="15.75" customHeight="1">
      <c r="A20" s="27"/>
      <c r="B20" s="61"/>
      <c r="C20" s="61"/>
      <c r="D20" s="61"/>
    </row>
    <row r="21" spans="1:4" ht="15.75" customHeight="1">
      <c r="A21" s="27"/>
      <c r="B21" s="61"/>
      <c r="C21" s="61"/>
      <c r="D21" s="61"/>
    </row>
  </sheetData>
  <mergeCells count="1">
    <mergeCell ref="A13:D13"/>
  </mergeCells>
  <pageMargins left="0.7" right="0.7" top="0.75" bottom="0.75" header="0.3" footer="0.3"/>
  <pageSetup paperSize="9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AD990"/>
  <sheetViews>
    <sheetView workbookViewId="0"/>
  </sheetViews>
  <sheetFormatPr baseColWidth="10" defaultColWidth="12.6640625" defaultRowHeight="15.75" customHeight="1"/>
  <cols>
    <col min="1" max="1" width="28.1640625" customWidth="1"/>
    <col min="2" max="2" width="12.1640625" customWidth="1"/>
    <col min="3" max="3" width="10.6640625" customWidth="1"/>
    <col min="4" max="4" width="14.33203125" customWidth="1"/>
    <col min="6" max="6" width="9.6640625" customWidth="1"/>
    <col min="7" max="7" width="14.83203125" customWidth="1"/>
    <col min="8" max="8" width="8.83203125" customWidth="1"/>
    <col min="9" max="9" width="16.33203125" customWidth="1"/>
  </cols>
  <sheetData>
    <row r="1" spans="1:9" ht="15.75" customHeight="1">
      <c r="A1" s="202"/>
      <c r="B1" s="62"/>
      <c r="C1" s="62"/>
      <c r="D1" s="62"/>
      <c r="E1" s="148"/>
      <c r="F1" s="149"/>
      <c r="G1" s="148"/>
      <c r="H1" s="148"/>
      <c r="I1" s="223"/>
    </row>
    <row r="2" spans="1:9" ht="15.75" customHeight="1">
      <c r="A2" s="203" t="s">
        <v>41</v>
      </c>
      <c r="B2" s="204" t="s">
        <v>195</v>
      </c>
      <c r="C2" s="204" t="s">
        <v>196</v>
      </c>
      <c r="D2" s="204" t="s">
        <v>197</v>
      </c>
      <c r="E2" s="204" t="s">
        <v>4</v>
      </c>
      <c r="F2" s="200" t="s">
        <v>5</v>
      </c>
      <c r="G2" s="200" t="s">
        <v>6</v>
      </c>
      <c r="H2" s="204" t="s">
        <v>9</v>
      </c>
      <c r="I2" s="205" t="s">
        <v>198</v>
      </c>
    </row>
    <row r="3" spans="1:9" ht="15.75" customHeight="1">
      <c r="A3" s="73" t="s">
        <v>314</v>
      </c>
      <c r="B3" s="83">
        <f>'Исходные данные'!D61</f>
        <v>96</v>
      </c>
      <c r="C3" s="83">
        <f>'Исходные данные'!D59</f>
        <v>4</v>
      </c>
      <c r="D3" s="108"/>
      <c r="E3" s="260">
        <v>130524</v>
      </c>
      <c r="F3" s="207">
        <v>12</v>
      </c>
      <c r="G3" s="108">
        <f t="shared" ref="G3:G9" si="0">E3/F3</f>
        <v>10877</v>
      </c>
      <c r="H3" s="61"/>
      <c r="I3" s="211">
        <f>G3/B3*C3</f>
        <v>453.20833333333331</v>
      </c>
    </row>
    <row r="4" spans="1:9" ht="15.75" customHeight="1">
      <c r="A4" s="73" t="s">
        <v>245</v>
      </c>
      <c r="B4" s="108"/>
      <c r="C4" s="108"/>
      <c r="D4" s="108"/>
      <c r="E4" s="206"/>
      <c r="F4" s="207">
        <v>12</v>
      </c>
      <c r="G4" s="108">
        <f t="shared" si="0"/>
        <v>0</v>
      </c>
      <c r="H4" s="61"/>
      <c r="I4" s="211">
        <f t="shared" ref="I4:I9" si="1">G4</f>
        <v>0</v>
      </c>
    </row>
    <row r="5" spans="1:9" ht="15.75" customHeight="1">
      <c r="A5" s="73" t="s">
        <v>315</v>
      </c>
      <c r="B5" s="108"/>
      <c r="C5" s="108"/>
      <c r="D5" s="108"/>
      <c r="E5" s="206"/>
      <c r="F5" s="207">
        <v>12</v>
      </c>
      <c r="G5" s="108">
        <f t="shared" si="0"/>
        <v>0</v>
      </c>
      <c r="H5" s="61"/>
      <c r="I5" s="211">
        <f t="shared" si="1"/>
        <v>0</v>
      </c>
    </row>
    <row r="6" spans="1:9" ht="15.75" customHeight="1">
      <c r="A6" s="73" t="s">
        <v>148</v>
      </c>
      <c r="B6" s="108"/>
      <c r="C6" s="108"/>
      <c r="D6" s="108"/>
      <c r="E6" s="147">
        <v>1075</v>
      </c>
      <c r="F6" s="207">
        <v>12</v>
      </c>
      <c r="G6" s="108">
        <f t="shared" si="0"/>
        <v>89.583333333333329</v>
      </c>
      <c r="H6" s="61"/>
      <c r="I6" s="211">
        <f t="shared" si="1"/>
        <v>89.583333333333329</v>
      </c>
    </row>
    <row r="7" spans="1:9" ht="15.75" customHeight="1">
      <c r="A7" s="73" t="s">
        <v>150</v>
      </c>
      <c r="B7" s="108"/>
      <c r="C7" s="108"/>
      <c r="D7" s="108"/>
      <c r="E7" s="147">
        <v>0</v>
      </c>
      <c r="F7" s="207">
        <v>12</v>
      </c>
      <c r="G7" s="108">
        <f t="shared" si="0"/>
        <v>0</v>
      </c>
      <c r="H7" s="61"/>
      <c r="I7" s="211">
        <f t="shared" si="1"/>
        <v>0</v>
      </c>
    </row>
    <row r="8" spans="1:9" ht="15.75" customHeight="1">
      <c r="A8" s="73" t="s">
        <v>149</v>
      </c>
      <c r="B8" s="108"/>
      <c r="C8" s="108"/>
      <c r="D8" s="108"/>
      <c r="E8" s="147">
        <v>0</v>
      </c>
      <c r="F8" s="207">
        <v>12</v>
      </c>
      <c r="G8" s="108">
        <f t="shared" si="0"/>
        <v>0</v>
      </c>
      <c r="H8" s="61"/>
      <c r="I8" s="211">
        <f t="shared" si="1"/>
        <v>0</v>
      </c>
    </row>
    <row r="9" spans="1:9" ht="15.75" customHeight="1">
      <c r="A9" s="234" t="s">
        <v>203</v>
      </c>
      <c r="B9" s="108"/>
      <c r="C9" s="108"/>
      <c r="D9" s="108"/>
      <c r="E9" s="147"/>
      <c r="F9" s="207">
        <v>12</v>
      </c>
      <c r="G9" s="108">
        <f t="shared" si="0"/>
        <v>0</v>
      </c>
      <c r="H9" s="61"/>
      <c r="I9" s="211">
        <f t="shared" si="1"/>
        <v>0</v>
      </c>
    </row>
    <row r="10" spans="1:9" ht="15.75" customHeight="1">
      <c r="A10" s="234" t="s">
        <v>246</v>
      </c>
      <c r="B10" s="108"/>
      <c r="C10" s="108"/>
      <c r="D10" s="108"/>
      <c r="E10" s="147"/>
      <c r="F10" s="207"/>
      <c r="G10" s="108"/>
      <c r="H10" s="61"/>
      <c r="I10" s="211">
        <f>D23</f>
        <v>0</v>
      </c>
    </row>
    <row r="11" spans="1:9" ht="15.75" customHeight="1">
      <c r="A11" s="234" t="s">
        <v>204</v>
      </c>
      <c r="B11" s="108"/>
      <c r="C11" s="108"/>
      <c r="D11" s="108"/>
      <c r="E11" s="147"/>
      <c r="F11" s="207">
        <v>12</v>
      </c>
      <c r="G11" s="108">
        <f>E11/F11</f>
        <v>0</v>
      </c>
      <c r="H11" s="61"/>
      <c r="I11" s="211">
        <f>G11</f>
        <v>0</v>
      </c>
    </row>
    <row r="12" spans="1:9" ht="15.75" customHeight="1">
      <c r="A12" s="58" t="s">
        <v>152</v>
      </c>
      <c r="B12" s="61"/>
      <c r="C12" s="61"/>
      <c r="D12" s="213">
        <f>B17+B18</f>
        <v>360</v>
      </c>
      <c r="E12" s="61"/>
      <c r="F12" s="200"/>
      <c r="G12" s="61"/>
      <c r="H12" s="209">
        <f>'Общие расходы ГЭ'!G16</f>
        <v>9.1731976502919679</v>
      </c>
      <c r="I12" s="211">
        <f t="shared" ref="I12:I14" si="2">D12*H12</f>
        <v>3302.3511541051084</v>
      </c>
    </row>
    <row r="13" spans="1:9" ht="15.75" customHeight="1">
      <c r="A13" s="58" t="s">
        <v>316</v>
      </c>
      <c r="B13" s="61"/>
      <c r="C13" s="61"/>
      <c r="D13" s="213">
        <f>B17+B18</f>
        <v>360</v>
      </c>
      <c r="E13" s="61"/>
      <c r="F13" s="200"/>
      <c r="G13" s="61"/>
      <c r="H13" s="209">
        <f>'Общие расходы г. Казань'!F4</f>
        <v>0</v>
      </c>
      <c r="I13" s="211">
        <f t="shared" si="2"/>
        <v>0</v>
      </c>
    </row>
    <row r="14" spans="1:9" ht="15.75" customHeight="1">
      <c r="A14" s="58" t="s">
        <v>156</v>
      </c>
      <c r="B14" s="61"/>
      <c r="C14" s="61"/>
      <c r="D14" s="213">
        <f>B17+B18</f>
        <v>360</v>
      </c>
      <c r="E14" s="61"/>
      <c r="F14" s="200"/>
      <c r="G14" s="61"/>
      <c r="H14" s="209">
        <f>'Общие расходы г. Зеленодольск'!F12</f>
        <v>0.92421155651427089</v>
      </c>
      <c r="I14" s="211">
        <f t="shared" si="2"/>
        <v>332.7161603451375</v>
      </c>
    </row>
    <row r="15" spans="1:9" ht="15.75" customHeight="1">
      <c r="A15" s="230"/>
      <c r="B15" s="231"/>
      <c r="C15" s="231"/>
      <c r="D15" s="231"/>
      <c r="E15" s="231"/>
      <c r="F15" s="232"/>
      <c r="G15" s="231"/>
      <c r="H15" s="232"/>
      <c r="I15" s="211">
        <f>SUM(I3:I14)</f>
        <v>4177.8589811169122</v>
      </c>
    </row>
    <row r="16" spans="1:9" ht="15.75" customHeight="1">
      <c r="A16" s="202"/>
      <c r="B16" s="148"/>
      <c r="C16" s="148"/>
      <c r="D16" s="148"/>
      <c r="E16" s="148"/>
      <c r="F16" s="149"/>
      <c r="G16" s="148"/>
      <c r="H16" s="148"/>
      <c r="I16" s="223"/>
    </row>
    <row r="17" spans="1:30" ht="15.75" customHeight="1">
      <c r="A17" s="58" t="s">
        <v>205</v>
      </c>
      <c r="B17" s="210">
        <f>'Исходные данные'!B59</f>
        <v>360</v>
      </c>
      <c r="C17" s="148"/>
      <c r="D17" s="148"/>
      <c r="E17" s="148"/>
      <c r="F17" s="149"/>
      <c r="G17" s="148"/>
      <c r="H17" s="148"/>
      <c r="I17" s="223"/>
    </row>
    <row r="18" spans="1:30" ht="15.75" customHeight="1">
      <c r="A18" s="58" t="s">
        <v>206</v>
      </c>
      <c r="B18" s="210">
        <f>'Исходные данные'!C64</f>
        <v>0</v>
      </c>
      <c r="C18" s="148"/>
      <c r="D18" s="148"/>
      <c r="E18" s="148"/>
      <c r="F18" s="149"/>
      <c r="G18" s="148"/>
      <c r="H18" s="148"/>
      <c r="I18" s="223"/>
    </row>
    <row r="19" spans="1:30" ht="15.75" customHeight="1">
      <c r="A19" s="58" t="s">
        <v>207</v>
      </c>
      <c r="B19" s="210">
        <f>'Исходные данные'!D59</f>
        <v>4</v>
      </c>
      <c r="C19" s="148"/>
      <c r="D19" s="148"/>
      <c r="E19" s="148"/>
      <c r="F19" s="149"/>
      <c r="G19" s="148"/>
      <c r="H19" s="148"/>
      <c r="I19" s="223"/>
    </row>
    <row r="20" spans="1:30" ht="15.75" customHeight="1">
      <c r="A20" s="233"/>
      <c r="B20" s="62"/>
      <c r="C20" s="62"/>
      <c r="D20" s="62"/>
      <c r="E20" s="62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</row>
    <row r="21" spans="1:30" ht="15.75" customHeight="1">
      <c r="A21" s="333" t="s">
        <v>208</v>
      </c>
      <c r="B21" s="332"/>
      <c r="C21" s="332"/>
      <c r="D21" s="321"/>
    </row>
    <row r="22" spans="1:30" ht="15.75" customHeight="1">
      <c r="A22" s="215" t="s">
        <v>209</v>
      </c>
      <c r="B22" s="216" t="s">
        <v>210</v>
      </c>
      <c r="C22" s="78" t="s">
        <v>5</v>
      </c>
      <c r="D22" s="216" t="s">
        <v>211</v>
      </c>
    </row>
    <row r="23" spans="1:30" ht="15.75" customHeight="1">
      <c r="A23" s="238" t="s">
        <v>317</v>
      </c>
      <c r="B23" s="239"/>
      <c r="C23" s="239">
        <v>12</v>
      </c>
      <c r="D23" s="239">
        <f>B23/C23</f>
        <v>0</v>
      </c>
    </row>
    <row r="24" spans="1:30" ht="15.75" customHeight="1">
      <c r="A24" s="58"/>
      <c r="B24" s="239"/>
      <c r="C24" s="239"/>
      <c r="D24" s="239"/>
    </row>
    <row r="25" spans="1:30" ht="15.75" customHeight="1">
      <c r="A25" s="241"/>
      <c r="B25" s="239"/>
      <c r="C25" s="239"/>
      <c r="D25" s="239"/>
    </row>
    <row r="26" spans="1:30" ht="15.75" customHeight="1">
      <c r="A26" s="58"/>
      <c r="B26" s="239"/>
      <c r="C26" s="239"/>
      <c r="D26" s="147"/>
    </row>
    <row r="27" spans="1:30" ht="15.75" customHeight="1">
      <c r="A27" s="58"/>
      <c r="B27" s="239"/>
      <c r="C27" s="239"/>
      <c r="D27" s="239"/>
    </row>
    <row r="28" spans="1:30" ht="15.75" customHeight="1">
      <c r="A28" s="202"/>
    </row>
    <row r="29" spans="1:30" ht="15.75" customHeight="1">
      <c r="A29" s="202"/>
    </row>
    <row r="30" spans="1:30" ht="15.75" customHeight="1">
      <c r="A30" s="202"/>
    </row>
    <row r="31" spans="1:30" ht="15.75" customHeight="1">
      <c r="A31" s="202"/>
    </row>
    <row r="32" spans="1:30" ht="15.75" customHeight="1">
      <c r="A32" s="202"/>
    </row>
    <row r="33" spans="1:1" ht="15.75" customHeight="1">
      <c r="A33" s="202"/>
    </row>
    <row r="34" spans="1:1" ht="15.75" customHeight="1">
      <c r="A34" s="202"/>
    </row>
    <row r="35" spans="1:1" ht="15.75" customHeight="1">
      <c r="A35" s="202"/>
    </row>
    <row r="36" spans="1:1" ht="15.75" customHeight="1">
      <c r="A36" s="202"/>
    </row>
    <row r="37" spans="1:1" ht="15.75" customHeight="1">
      <c r="A37" s="202"/>
    </row>
    <row r="38" spans="1:1" ht="15.75" customHeight="1">
      <c r="A38" s="202"/>
    </row>
    <row r="39" spans="1:1" ht="15.75" customHeight="1">
      <c r="A39" s="202"/>
    </row>
    <row r="40" spans="1:1" ht="15.75" customHeight="1">
      <c r="A40" s="202"/>
    </row>
    <row r="41" spans="1:1" ht="15.75" customHeight="1">
      <c r="A41" s="202"/>
    </row>
    <row r="42" spans="1:1" ht="15.75" customHeight="1">
      <c r="A42" s="202"/>
    </row>
    <row r="43" spans="1:1" ht="15.75" customHeight="1">
      <c r="A43" s="202"/>
    </row>
    <row r="44" spans="1:1" ht="15.75" customHeight="1">
      <c r="A44" s="202"/>
    </row>
    <row r="45" spans="1:1" ht="15.75" customHeight="1">
      <c r="A45" s="202"/>
    </row>
    <row r="46" spans="1:1" ht="15.75" customHeight="1">
      <c r="A46" s="202"/>
    </row>
    <row r="47" spans="1:1" ht="13">
      <c r="A47" s="202"/>
    </row>
    <row r="48" spans="1:1" ht="13">
      <c r="A48" s="202"/>
    </row>
    <row r="49" spans="1:1" ht="13">
      <c r="A49" s="202"/>
    </row>
    <row r="50" spans="1:1" ht="13">
      <c r="A50" s="202"/>
    </row>
    <row r="51" spans="1:1" ht="13">
      <c r="A51" s="202"/>
    </row>
    <row r="52" spans="1:1" ht="13">
      <c r="A52" s="202"/>
    </row>
    <row r="53" spans="1:1" ht="13">
      <c r="A53" s="202"/>
    </row>
    <row r="54" spans="1:1" ht="13">
      <c r="A54" s="202"/>
    </row>
    <row r="55" spans="1:1" ht="13">
      <c r="A55" s="202"/>
    </row>
    <row r="56" spans="1:1" ht="13">
      <c r="A56" s="202"/>
    </row>
    <row r="57" spans="1:1" ht="13">
      <c r="A57" s="202"/>
    </row>
    <row r="58" spans="1:1" ht="13">
      <c r="A58" s="202"/>
    </row>
    <row r="59" spans="1:1" ht="13">
      <c r="A59" s="202"/>
    </row>
    <row r="60" spans="1:1" ht="13">
      <c r="A60" s="202"/>
    </row>
    <row r="61" spans="1:1" ht="13">
      <c r="A61" s="202"/>
    </row>
    <row r="62" spans="1:1" ht="13">
      <c r="A62" s="202"/>
    </row>
    <row r="63" spans="1:1" ht="13">
      <c r="A63" s="202"/>
    </row>
    <row r="64" spans="1:1" ht="13">
      <c r="A64" s="202"/>
    </row>
    <row r="65" spans="1:1" ht="13">
      <c r="A65" s="202"/>
    </row>
    <row r="66" spans="1:1" ht="13">
      <c r="A66" s="202"/>
    </row>
    <row r="67" spans="1:1" ht="13">
      <c r="A67" s="202"/>
    </row>
    <row r="68" spans="1:1" ht="13">
      <c r="A68" s="202"/>
    </row>
    <row r="69" spans="1:1" ht="13">
      <c r="A69" s="202"/>
    </row>
    <row r="70" spans="1:1" ht="13">
      <c r="A70" s="202"/>
    </row>
    <row r="71" spans="1:1" ht="13">
      <c r="A71" s="202"/>
    </row>
    <row r="72" spans="1:1" ht="13">
      <c r="A72" s="202"/>
    </row>
    <row r="73" spans="1:1" ht="13">
      <c r="A73" s="202"/>
    </row>
    <row r="74" spans="1:1" ht="13">
      <c r="A74" s="202"/>
    </row>
    <row r="75" spans="1:1" ht="13">
      <c r="A75" s="202"/>
    </row>
    <row r="76" spans="1:1" ht="13">
      <c r="A76" s="202"/>
    </row>
    <row r="77" spans="1:1" ht="13">
      <c r="A77" s="202"/>
    </row>
    <row r="78" spans="1:1" ht="13">
      <c r="A78" s="202"/>
    </row>
    <row r="79" spans="1:1" ht="13">
      <c r="A79" s="202"/>
    </row>
    <row r="80" spans="1:1" ht="13">
      <c r="A80" s="202"/>
    </row>
    <row r="81" spans="1:1" ht="13">
      <c r="A81" s="202"/>
    </row>
    <row r="82" spans="1:1" ht="13">
      <c r="A82" s="202"/>
    </row>
    <row r="83" spans="1:1" ht="13">
      <c r="A83" s="202"/>
    </row>
    <row r="84" spans="1:1" ht="13">
      <c r="A84" s="202"/>
    </row>
    <row r="85" spans="1:1" ht="13">
      <c r="A85" s="202"/>
    </row>
    <row r="86" spans="1:1" ht="13">
      <c r="A86" s="202"/>
    </row>
    <row r="87" spans="1:1" ht="13">
      <c r="A87" s="202"/>
    </row>
    <row r="88" spans="1:1" ht="13">
      <c r="A88" s="202"/>
    </row>
    <row r="89" spans="1:1" ht="13">
      <c r="A89" s="202"/>
    </row>
    <row r="90" spans="1:1" ht="13">
      <c r="A90" s="202"/>
    </row>
    <row r="91" spans="1:1" ht="13">
      <c r="A91" s="202"/>
    </row>
    <row r="92" spans="1:1" ht="13">
      <c r="A92" s="202"/>
    </row>
    <row r="93" spans="1:1" ht="13">
      <c r="A93" s="202"/>
    </row>
    <row r="94" spans="1:1" ht="13">
      <c r="A94" s="202"/>
    </row>
    <row r="95" spans="1:1" ht="13">
      <c r="A95" s="202"/>
    </row>
    <row r="96" spans="1:1" ht="13">
      <c r="A96" s="202"/>
    </row>
    <row r="97" spans="1:1" ht="13">
      <c r="A97" s="202"/>
    </row>
    <row r="98" spans="1:1" ht="13">
      <c r="A98" s="202"/>
    </row>
    <row r="99" spans="1:1" ht="13">
      <c r="A99" s="202"/>
    </row>
    <row r="100" spans="1:1" ht="13">
      <c r="A100" s="202"/>
    </row>
    <row r="101" spans="1:1" ht="13">
      <c r="A101" s="202"/>
    </row>
    <row r="102" spans="1:1" ht="13">
      <c r="A102" s="202"/>
    </row>
    <row r="103" spans="1:1" ht="13">
      <c r="A103" s="202"/>
    </row>
    <row r="104" spans="1:1" ht="13">
      <c r="A104" s="202"/>
    </row>
    <row r="105" spans="1:1" ht="13">
      <c r="A105" s="202"/>
    </row>
    <row r="106" spans="1:1" ht="13">
      <c r="A106" s="202"/>
    </row>
    <row r="107" spans="1:1" ht="13">
      <c r="A107" s="202"/>
    </row>
    <row r="108" spans="1:1" ht="13">
      <c r="A108" s="202"/>
    </row>
    <row r="109" spans="1:1" ht="13">
      <c r="A109" s="202"/>
    </row>
    <row r="110" spans="1:1" ht="13">
      <c r="A110" s="202"/>
    </row>
    <row r="111" spans="1:1" ht="13">
      <c r="A111" s="202"/>
    </row>
    <row r="112" spans="1:1" ht="13">
      <c r="A112" s="202"/>
    </row>
    <row r="113" spans="1:1" ht="13">
      <c r="A113" s="202"/>
    </row>
    <row r="114" spans="1:1" ht="13">
      <c r="A114" s="202"/>
    </row>
    <row r="115" spans="1:1" ht="13">
      <c r="A115" s="202"/>
    </row>
    <row r="116" spans="1:1" ht="13">
      <c r="A116" s="202"/>
    </row>
    <row r="117" spans="1:1" ht="13">
      <c r="A117" s="202"/>
    </row>
    <row r="118" spans="1:1" ht="13">
      <c r="A118" s="202"/>
    </row>
    <row r="119" spans="1:1" ht="13">
      <c r="A119" s="202"/>
    </row>
    <row r="120" spans="1:1" ht="13">
      <c r="A120" s="202"/>
    </row>
    <row r="121" spans="1:1" ht="13">
      <c r="A121" s="202"/>
    </row>
    <row r="122" spans="1:1" ht="13">
      <c r="A122" s="202"/>
    </row>
    <row r="123" spans="1:1" ht="13">
      <c r="A123" s="202"/>
    </row>
    <row r="124" spans="1:1" ht="13">
      <c r="A124" s="202"/>
    </row>
    <row r="125" spans="1:1" ht="13">
      <c r="A125" s="202"/>
    </row>
    <row r="126" spans="1:1" ht="13">
      <c r="A126" s="202"/>
    </row>
    <row r="127" spans="1:1" ht="13">
      <c r="A127" s="202"/>
    </row>
    <row r="128" spans="1:1" ht="13">
      <c r="A128" s="202"/>
    </row>
    <row r="129" spans="1:1" ht="13">
      <c r="A129" s="202"/>
    </row>
    <row r="130" spans="1:1" ht="13">
      <c r="A130" s="202"/>
    </row>
    <row r="131" spans="1:1" ht="13">
      <c r="A131" s="202"/>
    </row>
    <row r="132" spans="1:1" ht="13">
      <c r="A132" s="202"/>
    </row>
    <row r="133" spans="1:1" ht="13">
      <c r="A133" s="202"/>
    </row>
    <row r="134" spans="1:1" ht="13">
      <c r="A134" s="202"/>
    </row>
    <row r="135" spans="1:1" ht="13">
      <c r="A135" s="202"/>
    </row>
    <row r="136" spans="1:1" ht="13">
      <c r="A136" s="202"/>
    </row>
    <row r="137" spans="1:1" ht="13">
      <c r="A137" s="202"/>
    </row>
    <row r="138" spans="1:1" ht="13">
      <c r="A138" s="202"/>
    </row>
    <row r="139" spans="1:1" ht="13">
      <c r="A139" s="202"/>
    </row>
    <row r="140" spans="1:1" ht="13">
      <c r="A140" s="202"/>
    </row>
    <row r="141" spans="1:1" ht="13">
      <c r="A141" s="202"/>
    </row>
    <row r="142" spans="1:1" ht="13">
      <c r="A142" s="202"/>
    </row>
    <row r="143" spans="1:1" ht="13">
      <c r="A143" s="202"/>
    </row>
    <row r="144" spans="1:1" ht="13">
      <c r="A144" s="202"/>
    </row>
    <row r="145" spans="1:1" ht="13">
      <c r="A145" s="202"/>
    </row>
    <row r="146" spans="1:1" ht="13">
      <c r="A146" s="202"/>
    </row>
    <row r="147" spans="1:1" ht="13">
      <c r="A147" s="202"/>
    </row>
    <row r="148" spans="1:1" ht="13">
      <c r="A148" s="202"/>
    </row>
    <row r="149" spans="1:1" ht="13">
      <c r="A149" s="202"/>
    </row>
    <row r="150" spans="1:1" ht="13">
      <c r="A150" s="202"/>
    </row>
    <row r="151" spans="1:1" ht="13">
      <c r="A151" s="202"/>
    </row>
    <row r="152" spans="1:1" ht="13">
      <c r="A152" s="202"/>
    </row>
    <row r="153" spans="1:1" ht="13">
      <c r="A153" s="202"/>
    </row>
    <row r="154" spans="1:1" ht="13">
      <c r="A154" s="202"/>
    </row>
    <row r="155" spans="1:1" ht="13">
      <c r="A155" s="202"/>
    </row>
    <row r="156" spans="1:1" ht="13">
      <c r="A156" s="202"/>
    </row>
    <row r="157" spans="1:1" ht="13">
      <c r="A157" s="202"/>
    </row>
    <row r="158" spans="1:1" ht="13">
      <c r="A158" s="202"/>
    </row>
    <row r="159" spans="1:1" ht="13">
      <c r="A159" s="202"/>
    </row>
    <row r="160" spans="1:1" ht="13">
      <c r="A160" s="202"/>
    </row>
    <row r="161" spans="1:1" ht="13">
      <c r="A161" s="202"/>
    </row>
    <row r="162" spans="1:1" ht="13">
      <c r="A162" s="202"/>
    </row>
    <row r="163" spans="1:1" ht="13">
      <c r="A163" s="202"/>
    </row>
    <row r="164" spans="1:1" ht="13">
      <c r="A164" s="202"/>
    </row>
    <row r="165" spans="1:1" ht="13">
      <c r="A165" s="202"/>
    </row>
    <row r="166" spans="1:1" ht="13">
      <c r="A166" s="202"/>
    </row>
    <row r="167" spans="1:1" ht="13">
      <c r="A167" s="202"/>
    </row>
    <row r="168" spans="1:1" ht="13">
      <c r="A168" s="202"/>
    </row>
    <row r="169" spans="1:1" ht="13">
      <c r="A169" s="202"/>
    </row>
    <row r="170" spans="1:1" ht="13">
      <c r="A170" s="202"/>
    </row>
    <row r="171" spans="1:1" ht="13">
      <c r="A171" s="202"/>
    </row>
    <row r="172" spans="1:1" ht="13">
      <c r="A172" s="202"/>
    </row>
    <row r="173" spans="1:1" ht="13">
      <c r="A173" s="202"/>
    </row>
    <row r="174" spans="1:1" ht="13">
      <c r="A174" s="202"/>
    </row>
    <row r="175" spans="1:1" ht="13">
      <c r="A175" s="202"/>
    </row>
    <row r="176" spans="1:1" ht="13">
      <c r="A176" s="202"/>
    </row>
    <row r="177" spans="1:1" ht="13">
      <c r="A177" s="202"/>
    </row>
    <row r="178" spans="1:1" ht="13">
      <c r="A178" s="202"/>
    </row>
    <row r="179" spans="1:1" ht="13">
      <c r="A179" s="202"/>
    </row>
    <row r="180" spans="1:1" ht="13">
      <c r="A180" s="202"/>
    </row>
    <row r="181" spans="1:1" ht="13">
      <c r="A181" s="202"/>
    </row>
    <row r="182" spans="1:1" ht="13">
      <c r="A182" s="202"/>
    </row>
    <row r="183" spans="1:1" ht="13">
      <c r="A183" s="202"/>
    </row>
    <row r="184" spans="1:1" ht="13">
      <c r="A184" s="202"/>
    </row>
    <row r="185" spans="1:1" ht="13">
      <c r="A185" s="202"/>
    </row>
    <row r="186" spans="1:1" ht="13">
      <c r="A186" s="202"/>
    </row>
    <row r="187" spans="1:1" ht="13">
      <c r="A187" s="202"/>
    </row>
    <row r="188" spans="1:1" ht="13">
      <c r="A188" s="202"/>
    </row>
    <row r="189" spans="1:1" ht="13">
      <c r="A189" s="202"/>
    </row>
    <row r="190" spans="1:1" ht="13">
      <c r="A190" s="202"/>
    </row>
    <row r="191" spans="1:1" ht="13">
      <c r="A191" s="202"/>
    </row>
    <row r="192" spans="1:1" ht="13">
      <c r="A192" s="202"/>
    </row>
    <row r="193" spans="1:1" ht="13">
      <c r="A193" s="202"/>
    </row>
    <row r="194" spans="1:1" ht="13">
      <c r="A194" s="202"/>
    </row>
    <row r="195" spans="1:1" ht="13">
      <c r="A195" s="202"/>
    </row>
    <row r="196" spans="1:1" ht="13">
      <c r="A196" s="202"/>
    </row>
    <row r="197" spans="1:1" ht="13">
      <c r="A197" s="202"/>
    </row>
    <row r="198" spans="1:1" ht="13">
      <c r="A198" s="202"/>
    </row>
    <row r="199" spans="1:1" ht="13">
      <c r="A199" s="202"/>
    </row>
    <row r="200" spans="1:1" ht="13">
      <c r="A200" s="202"/>
    </row>
    <row r="201" spans="1:1" ht="13">
      <c r="A201" s="202"/>
    </row>
    <row r="202" spans="1:1" ht="13">
      <c r="A202" s="202"/>
    </row>
    <row r="203" spans="1:1" ht="13">
      <c r="A203" s="202"/>
    </row>
    <row r="204" spans="1:1" ht="13">
      <c r="A204" s="202"/>
    </row>
    <row r="205" spans="1:1" ht="13">
      <c r="A205" s="202"/>
    </row>
    <row r="206" spans="1:1" ht="13">
      <c r="A206" s="202"/>
    </row>
    <row r="207" spans="1:1" ht="13">
      <c r="A207" s="202"/>
    </row>
    <row r="208" spans="1:1" ht="13">
      <c r="A208" s="202"/>
    </row>
    <row r="209" spans="1:1" ht="13">
      <c r="A209" s="202"/>
    </row>
    <row r="210" spans="1:1" ht="13">
      <c r="A210" s="202"/>
    </row>
    <row r="211" spans="1:1" ht="13">
      <c r="A211" s="202"/>
    </row>
    <row r="212" spans="1:1" ht="13">
      <c r="A212" s="202"/>
    </row>
    <row r="213" spans="1:1" ht="13">
      <c r="A213" s="202"/>
    </row>
    <row r="214" spans="1:1" ht="13">
      <c r="A214" s="202"/>
    </row>
    <row r="215" spans="1:1" ht="13">
      <c r="A215" s="202"/>
    </row>
    <row r="216" spans="1:1" ht="13">
      <c r="A216" s="202"/>
    </row>
    <row r="217" spans="1:1" ht="13">
      <c r="A217" s="202"/>
    </row>
    <row r="218" spans="1:1" ht="13">
      <c r="A218" s="202"/>
    </row>
    <row r="219" spans="1:1" ht="13">
      <c r="A219" s="202"/>
    </row>
    <row r="220" spans="1:1" ht="13">
      <c r="A220" s="202"/>
    </row>
    <row r="221" spans="1:1" ht="13">
      <c r="A221" s="202"/>
    </row>
    <row r="222" spans="1:1" ht="13">
      <c r="A222" s="202"/>
    </row>
    <row r="223" spans="1:1" ht="13">
      <c r="A223" s="202"/>
    </row>
    <row r="224" spans="1:1" ht="13">
      <c r="A224" s="202"/>
    </row>
    <row r="225" spans="1:1" ht="13">
      <c r="A225" s="202"/>
    </row>
    <row r="226" spans="1:1" ht="13">
      <c r="A226" s="202"/>
    </row>
    <row r="227" spans="1:1" ht="13">
      <c r="A227" s="202"/>
    </row>
    <row r="228" spans="1:1" ht="13">
      <c r="A228" s="202"/>
    </row>
    <row r="229" spans="1:1" ht="13">
      <c r="A229" s="202"/>
    </row>
    <row r="230" spans="1:1" ht="13">
      <c r="A230" s="202"/>
    </row>
    <row r="231" spans="1:1" ht="13">
      <c r="A231" s="202"/>
    </row>
    <row r="232" spans="1:1" ht="13">
      <c r="A232" s="202"/>
    </row>
    <row r="233" spans="1:1" ht="13">
      <c r="A233" s="202"/>
    </row>
    <row r="234" spans="1:1" ht="13">
      <c r="A234" s="202"/>
    </row>
    <row r="235" spans="1:1" ht="13">
      <c r="A235" s="202"/>
    </row>
    <row r="236" spans="1:1" ht="13">
      <c r="A236" s="202"/>
    </row>
    <row r="237" spans="1:1" ht="13">
      <c r="A237" s="202"/>
    </row>
    <row r="238" spans="1:1" ht="13">
      <c r="A238" s="202"/>
    </row>
    <row r="239" spans="1:1" ht="13">
      <c r="A239" s="202"/>
    </row>
    <row r="240" spans="1:1" ht="13">
      <c r="A240" s="202"/>
    </row>
    <row r="241" spans="1:1" ht="13">
      <c r="A241" s="202"/>
    </row>
    <row r="242" spans="1:1" ht="13">
      <c r="A242" s="202"/>
    </row>
    <row r="243" spans="1:1" ht="13">
      <c r="A243" s="202"/>
    </row>
    <row r="244" spans="1:1" ht="13">
      <c r="A244" s="202"/>
    </row>
    <row r="245" spans="1:1" ht="13">
      <c r="A245" s="202"/>
    </row>
    <row r="246" spans="1:1" ht="13">
      <c r="A246" s="202"/>
    </row>
    <row r="247" spans="1:1" ht="13">
      <c r="A247" s="202"/>
    </row>
    <row r="248" spans="1:1" ht="13">
      <c r="A248" s="202"/>
    </row>
    <row r="249" spans="1:1" ht="13">
      <c r="A249" s="202"/>
    </row>
    <row r="250" spans="1:1" ht="13">
      <c r="A250" s="202"/>
    </row>
    <row r="251" spans="1:1" ht="13">
      <c r="A251" s="202"/>
    </row>
    <row r="252" spans="1:1" ht="13">
      <c r="A252" s="202"/>
    </row>
    <row r="253" spans="1:1" ht="13">
      <c r="A253" s="202"/>
    </row>
    <row r="254" spans="1:1" ht="13">
      <c r="A254" s="202"/>
    </row>
    <row r="255" spans="1:1" ht="13">
      <c r="A255" s="202"/>
    </row>
    <row r="256" spans="1:1" ht="13">
      <c r="A256" s="202"/>
    </row>
    <row r="257" spans="1:1" ht="13">
      <c r="A257" s="202"/>
    </row>
    <row r="258" spans="1:1" ht="13">
      <c r="A258" s="202"/>
    </row>
    <row r="259" spans="1:1" ht="13">
      <c r="A259" s="202"/>
    </row>
    <row r="260" spans="1:1" ht="13">
      <c r="A260" s="202"/>
    </row>
    <row r="261" spans="1:1" ht="13">
      <c r="A261" s="202"/>
    </row>
    <row r="262" spans="1:1" ht="13">
      <c r="A262" s="202"/>
    </row>
    <row r="263" spans="1:1" ht="13">
      <c r="A263" s="202"/>
    </row>
    <row r="264" spans="1:1" ht="13">
      <c r="A264" s="202"/>
    </row>
    <row r="265" spans="1:1" ht="13">
      <c r="A265" s="202"/>
    </row>
    <row r="266" spans="1:1" ht="13">
      <c r="A266" s="202"/>
    </row>
    <row r="267" spans="1:1" ht="13">
      <c r="A267" s="202"/>
    </row>
    <row r="268" spans="1:1" ht="13">
      <c r="A268" s="202"/>
    </row>
    <row r="269" spans="1:1" ht="13">
      <c r="A269" s="202"/>
    </row>
    <row r="270" spans="1:1" ht="13">
      <c r="A270" s="202"/>
    </row>
    <row r="271" spans="1:1" ht="13">
      <c r="A271" s="202"/>
    </row>
    <row r="272" spans="1:1" ht="13">
      <c r="A272" s="202"/>
    </row>
    <row r="273" spans="1:1" ht="13">
      <c r="A273" s="202"/>
    </row>
    <row r="274" spans="1:1" ht="13">
      <c r="A274" s="202"/>
    </row>
    <row r="275" spans="1:1" ht="13">
      <c r="A275" s="202"/>
    </row>
    <row r="276" spans="1:1" ht="13">
      <c r="A276" s="202"/>
    </row>
    <row r="277" spans="1:1" ht="13">
      <c r="A277" s="202"/>
    </row>
    <row r="278" spans="1:1" ht="13">
      <c r="A278" s="202"/>
    </row>
    <row r="279" spans="1:1" ht="13">
      <c r="A279" s="202"/>
    </row>
    <row r="280" spans="1:1" ht="13">
      <c r="A280" s="202"/>
    </row>
    <row r="281" spans="1:1" ht="13">
      <c r="A281" s="202"/>
    </row>
    <row r="282" spans="1:1" ht="13">
      <c r="A282" s="202"/>
    </row>
    <row r="283" spans="1:1" ht="13">
      <c r="A283" s="202"/>
    </row>
    <row r="284" spans="1:1" ht="13">
      <c r="A284" s="202"/>
    </row>
    <row r="285" spans="1:1" ht="13">
      <c r="A285" s="202"/>
    </row>
    <row r="286" spans="1:1" ht="13">
      <c r="A286" s="202"/>
    </row>
    <row r="287" spans="1:1" ht="13">
      <c r="A287" s="202"/>
    </row>
    <row r="288" spans="1:1" ht="13">
      <c r="A288" s="202"/>
    </row>
    <row r="289" spans="1:1" ht="13">
      <c r="A289" s="202"/>
    </row>
    <row r="290" spans="1:1" ht="13">
      <c r="A290" s="202"/>
    </row>
    <row r="291" spans="1:1" ht="13">
      <c r="A291" s="202"/>
    </row>
    <row r="292" spans="1:1" ht="13">
      <c r="A292" s="202"/>
    </row>
    <row r="293" spans="1:1" ht="13">
      <c r="A293" s="202"/>
    </row>
    <row r="294" spans="1:1" ht="13">
      <c r="A294" s="202"/>
    </row>
    <row r="295" spans="1:1" ht="13">
      <c r="A295" s="202"/>
    </row>
    <row r="296" spans="1:1" ht="13">
      <c r="A296" s="202"/>
    </row>
    <row r="297" spans="1:1" ht="13">
      <c r="A297" s="202"/>
    </row>
    <row r="298" spans="1:1" ht="13">
      <c r="A298" s="202"/>
    </row>
    <row r="299" spans="1:1" ht="13">
      <c r="A299" s="202"/>
    </row>
    <row r="300" spans="1:1" ht="13">
      <c r="A300" s="202"/>
    </row>
    <row r="301" spans="1:1" ht="13">
      <c r="A301" s="202"/>
    </row>
    <row r="302" spans="1:1" ht="13">
      <c r="A302" s="202"/>
    </row>
    <row r="303" spans="1:1" ht="13">
      <c r="A303" s="202"/>
    </row>
    <row r="304" spans="1:1" ht="13">
      <c r="A304" s="202"/>
    </row>
    <row r="305" spans="1:1" ht="13">
      <c r="A305" s="202"/>
    </row>
    <row r="306" spans="1:1" ht="13">
      <c r="A306" s="202"/>
    </row>
    <row r="307" spans="1:1" ht="13">
      <c r="A307" s="202"/>
    </row>
    <row r="308" spans="1:1" ht="13">
      <c r="A308" s="202"/>
    </row>
    <row r="309" spans="1:1" ht="13">
      <c r="A309" s="202"/>
    </row>
    <row r="310" spans="1:1" ht="13">
      <c r="A310" s="202"/>
    </row>
    <row r="311" spans="1:1" ht="13">
      <c r="A311" s="202"/>
    </row>
    <row r="312" spans="1:1" ht="13">
      <c r="A312" s="202"/>
    </row>
    <row r="313" spans="1:1" ht="13">
      <c r="A313" s="202"/>
    </row>
    <row r="314" spans="1:1" ht="13">
      <c r="A314" s="202"/>
    </row>
    <row r="315" spans="1:1" ht="13">
      <c r="A315" s="202"/>
    </row>
    <row r="316" spans="1:1" ht="13">
      <c r="A316" s="202"/>
    </row>
    <row r="317" spans="1:1" ht="13">
      <c r="A317" s="202"/>
    </row>
    <row r="318" spans="1:1" ht="13">
      <c r="A318" s="202"/>
    </row>
    <row r="319" spans="1:1" ht="13">
      <c r="A319" s="202"/>
    </row>
    <row r="320" spans="1:1" ht="13">
      <c r="A320" s="202"/>
    </row>
    <row r="321" spans="1:1" ht="13">
      <c r="A321" s="202"/>
    </row>
    <row r="322" spans="1:1" ht="13">
      <c r="A322" s="202"/>
    </row>
    <row r="323" spans="1:1" ht="13">
      <c r="A323" s="202"/>
    </row>
    <row r="324" spans="1:1" ht="13">
      <c r="A324" s="202"/>
    </row>
    <row r="325" spans="1:1" ht="13">
      <c r="A325" s="202"/>
    </row>
    <row r="326" spans="1:1" ht="13">
      <c r="A326" s="202"/>
    </row>
    <row r="327" spans="1:1" ht="13">
      <c r="A327" s="202"/>
    </row>
    <row r="328" spans="1:1" ht="13">
      <c r="A328" s="202"/>
    </row>
    <row r="329" spans="1:1" ht="13">
      <c r="A329" s="202"/>
    </row>
    <row r="330" spans="1:1" ht="13">
      <c r="A330" s="202"/>
    </row>
    <row r="331" spans="1:1" ht="13">
      <c r="A331" s="202"/>
    </row>
    <row r="332" spans="1:1" ht="13">
      <c r="A332" s="202"/>
    </row>
    <row r="333" spans="1:1" ht="13">
      <c r="A333" s="202"/>
    </row>
    <row r="334" spans="1:1" ht="13">
      <c r="A334" s="202"/>
    </row>
    <row r="335" spans="1:1" ht="13">
      <c r="A335" s="202"/>
    </row>
    <row r="336" spans="1:1" ht="13">
      <c r="A336" s="202"/>
    </row>
    <row r="337" spans="1:1" ht="13">
      <c r="A337" s="202"/>
    </row>
    <row r="338" spans="1:1" ht="13">
      <c r="A338" s="202"/>
    </row>
    <row r="339" spans="1:1" ht="13">
      <c r="A339" s="202"/>
    </row>
    <row r="340" spans="1:1" ht="13">
      <c r="A340" s="202"/>
    </row>
    <row r="341" spans="1:1" ht="13">
      <c r="A341" s="202"/>
    </row>
    <row r="342" spans="1:1" ht="13">
      <c r="A342" s="202"/>
    </row>
    <row r="343" spans="1:1" ht="13">
      <c r="A343" s="202"/>
    </row>
    <row r="344" spans="1:1" ht="13">
      <c r="A344" s="202"/>
    </row>
    <row r="345" spans="1:1" ht="13">
      <c r="A345" s="202"/>
    </row>
    <row r="346" spans="1:1" ht="13">
      <c r="A346" s="202"/>
    </row>
    <row r="347" spans="1:1" ht="13">
      <c r="A347" s="202"/>
    </row>
    <row r="348" spans="1:1" ht="13">
      <c r="A348" s="202"/>
    </row>
    <row r="349" spans="1:1" ht="13">
      <c r="A349" s="202"/>
    </row>
    <row r="350" spans="1:1" ht="13">
      <c r="A350" s="202"/>
    </row>
    <row r="351" spans="1:1" ht="13">
      <c r="A351" s="202"/>
    </row>
    <row r="352" spans="1:1" ht="13">
      <c r="A352" s="202"/>
    </row>
    <row r="353" spans="1:1" ht="13">
      <c r="A353" s="202"/>
    </row>
    <row r="354" spans="1:1" ht="13">
      <c r="A354" s="202"/>
    </row>
    <row r="355" spans="1:1" ht="13">
      <c r="A355" s="202"/>
    </row>
    <row r="356" spans="1:1" ht="13">
      <c r="A356" s="202"/>
    </row>
    <row r="357" spans="1:1" ht="13">
      <c r="A357" s="202"/>
    </row>
    <row r="358" spans="1:1" ht="13">
      <c r="A358" s="202"/>
    </row>
    <row r="359" spans="1:1" ht="13">
      <c r="A359" s="202"/>
    </row>
    <row r="360" spans="1:1" ht="13">
      <c r="A360" s="202"/>
    </row>
    <row r="361" spans="1:1" ht="13">
      <c r="A361" s="202"/>
    </row>
    <row r="362" spans="1:1" ht="13">
      <c r="A362" s="202"/>
    </row>
    <row r="363" spans="1:1" ht="13">
      <c r="A363" s="202"/>
    </row>
    <row r="364" spans="1:1" ht="13">
      <c r="A364" s="202"/>
    </row>
    <row r="365" spans="1:1" ht="13">
      <c r="A365" s="202"/>
    </row>
    <row r="366" spans="1:1" ht="13">
      <c r="A366" s="202"/>
    </row>
    <row r="367" spans="1:1" ht="13">
      <c r="A367" s="202"/>
    </row>
    <row r="368" spans="1:1" ht="13">
      <c r="A368" s="202"/>
    </row>
    <row r="369" spans="1:1" ht="13">
      <c r="A369" s="202"/>
    </row>
    <row r="370" spans="1:1" ht="13">
      <c r="A370" s="202"/>
    </row>
    <row r="371" spans="1:1" ht="13">
      <c r="A371" s="202"/>
    </row>
    <row r="372" spans="1:1" ht="13">
      <c r="A372" s="202"/>
    </row>
    <row r="373" spans="1:1" ht="13">
      <c r="A373" s="202"/>
    </row>
    <row r="374" spans="1:1" ht="13">
      <c r="A374" s="202"/>
    </row>
    <row r="375" spans="1:1" ht="13">
      <c r="A375" s="202"/>
    </row>
    <row r="376" spans="1:1" ht="13">
      <c r="A376" s="202"/>
    </row>
    <row r="377" spans="1:1" ht="13">
      <c r="A377" s="202"/>
    </row>
    <row r="378" spans="1:1" ht="13">
      <c r="A378" s="202"/>
    </row>
    <row r="379" spans="1:1" ht="13">
      <c r="A379" s="202"/>
    </row>
    <row r="380" spans="1:1" ht="13">
      <c r="A380" s="202"/>
    </row>
    <row r="381" spans="1:1" ht="13">
      <c r="A381" s="202"/>
    </row>
    <row r="382" spans="1:1" ht="13">
      <c r="A382" s="202"/>
    </row>
    <row r="383" spans="1:1" ht="13">
      <c r="A383" s="202"/>
    </row>
    <row r="384" spans="1:1" ht="13">
      <c r="A384" s="202"/>
    </row>
    <row r="385" spans="1:1" ht="13">
      <c r="A385" s="202"/>
    </row>
    <row r="386" spans="1:1" ht="13">
      <c r="A386" s="202"/>
    </row>
    <row r="387" spans="1:1" ht="13">
      <c r="A387" s="202"/>
    </row>
    <row r="388" spans="1:1" ht="13">
      <c r="A388" s="202"/>
    </row>
    <row r="389" spans="1:1" ht="13">
      <c r="A389" s="202"/>
    </row>
    <row r="390" spans="1:1" ht="13">
      <c r="A390" s="202"/>
    </row>
    <row r="391" spans="1:1" ht="13">
      <c r="A391" s="202"/>
    </row>
    <row r="392" spans="1:1" ht="13">
      <c r="A392" s="202"/>
    </row>
    <row r="393" spans="1:1" ht="13">
      <c r="A393" s="202"/>
    </row>
    <row r="394" spans="1:1" ht="13">
      <c r="A394" s="202"/>
    </row>
    <row r="395" spans="1:1" ht="13">
      <c r="A395" s="202"/>
    </row>
    <row r="396" spans="1:1" ht="13">
      <c r="A396" s="202"/>
    </row>
    <row r="397" spans="1:1" ht="13">
      <c r="A397" s="202"/>
    </row>
    <row r="398" spans="1:1" ht="13">
      <c r="A398" s="202"/>
    </row>
    <row r="399" spans="1:1" ht="13">
      <c r="A399" s="202"/>
    </row>
    <row r="400" spans="1:1" ht="13">
      <c r="A400" s="202"/>
    </row>
    <row r="401" spans="1:1" ht="13">
      <c r="A401" s="202"/>
    </row>
    <row r="402" spans="1:1" ht="13">
      <c r="A402" s="202"/>
    </row>
    <row r="403" spans="1:1" ht="13">
      <c r="A403" s="202"/>
    </row>
    <row r="404" spans="1:1" ht="13">
      <c r="A404" s="202"/>
    </row>
    <row r="405" spans="1:1" ht="13">
      <c r="A405" s="202"/>
    </row>
    <row r="406" spans="1:1" ht="13">
      <c r="A406" s="202"/>
    </row>
    <row r="407" spans="1:1" ht="13">
      <c r="A407" s="202"/>
    </row>
    <row r="408" spans="1:1" ht="13">
      <c r="A408" s="202"/>
    </row>
    <row r="409" spans="1:1" ht="13">
      <c r="A409" s="202"/>
    </row>
    <row r="410" spans="1:1" ht="13">
      <c r="A410" s="202"/>
    </row>
    <row r="411" spans="1:1" ht="13">
      <c r="A411" s="202"/>
    </row>
    <row r="412" spans="1:1" ht="13">
      <c r="A412" s="202"/>
    </row>
    <row r="413" spans="1:1" ht="13">
      <c r="A413" s="202"/>
    </row>
    <row r="414" spans="1:1" ht="13">
      <c r="A414" s="202"/>
    </row>
    <row r="415" spans="1:1" ht="13">
      <c r="A415" s="202"/>
    </row>
    <row r="416" spans="1:1" ht="13">
      <c r="A416" s="202"/>
    </row>
    <row r="417" spans="1:1" ht="13">
      <c r="A417" s="202"/>
    </row>
    <row r="418" spans="1:1" ht="13">
      <c r="A418" s="202"/>
    </row>
    <row r="419" spans="1:1" ht="13">
      <c r="A419" s="202"/>
    </row>
    <row r="420" spans="1:1" ht="13">
      <c r="A420" s="202"/>
    </row>
    <row r="421" spans="1:1" ht="13">
      <c r="A421" s="202"/>
    </row>
    <row r="422" spans="1:1" ht="13">
      <c r="A422" s="202"/>
    </row>
    <row r="423" spans="1:1" ht="13">
      <c r="A423" s="202"/>
    </row>
    <row r="424" spans="1:1" ht="13">
      <c r="A424" s="202"/>
    </row>
    <row r="425" spans="1:1" ht="13">
      <c r="A425" s="202"/>
    </row>
    <row r="426" spans="1:1" ht="13">
      <c r="A426" s="202"/>
    </row>
    <row r="427" spans="1:1" ht="13">
      <c r="A427" s="202"/>
    </row>
    <row r="428" spans="1:1" ht="13">
      <c r="A428" s="202"/>
    </row>
    <row r="429" spans="1:1" ht="13">
      <c r="A429" s="202"/>
    </row>
    <row r="430" spans="1:1" ht="13">
      <c r="A430" s="202"/>
    </row>
    <row r="431" spans="1:1" ht="13">
      <c r="A431" s="202"/>
    </row>
    <row r="432" spans="1:1" ht="13">
      <c r="A432" s="202"/>
    </row>
    <row r="433" spans="1:1" ht="13">
      <c r="A433" s="202"/>
    </row>
    <row r="434" spans="1:1" ht="13">
      <c r="A434" s="202"/>
    </row>
    <row r="435" spans="1:1" ht="13">
      <c r="A435" s="202"/>
    </row>
    <row r="436" spans="1:1" ht="13">
      <c r="A436" s="202"/>
    </row>
    <row r="437" spans="1:1" ht="13">
      <c r="A437" s="202"/>
    </row>
    <row r="438" spans="1:1" ht="13">
      <c r="A438" s="202"/>
    </row>
    <row r="439" spans="1:1" ht="13">
      <c r="A439" s="202"/>
    </row>
    <row r="440" spans="1:1" ht="13">
      <c r="A440" s="202"/>
    </row>
    <row r="441" spans="1:1" ht="13">
      <c r="A441" s="202"/>
    </row>
    <row r="442" spans="1:1" ht="13">
      <c r="A442" s="202"/>
    </row>
    <row r="443" spans="1:1" ht="13">
      <c r="A443" s="202"/>
    </row>
    <row r="444" spans="1:1" ht="13">
      <c r="A444" s="202"/>
    </row>
    <row r="445" spans="1:1" ht="13">
      <c r="A445" s="202"/>
    </row>
    <row r="446" spans="1:1" ht="13">
      <c r="A446" s="202"/>
    </row>
    <row r="447" spans="1:1" ht="13">
      <c r="A447" s="202"/>
    </row>
    <row r="448" spans="1:1" ht="13">
      <c r="A448" s="202"/>
    </row>
    <row r="449" spans="1:1" ht="13">
      <c r="A449" s="202"/>
    </row>
    <row r="450" spans="1:1" ht="13">
      <c r="A450" s="202"/>
    </row>
    <row r="451" spans="1:1" ht="13">
      <c r="A451" s="202"/>
    </row>
    <row r="452" spans="1:1" ht="13">
      <c r="A452" s="202"/>
    </row>
    <row r="453" spans="1:1" ht="13">
      <c r="A453" s="202"/>
    </row>
    <row r="454" spans="1:1" ht="13">
      <c r="A454" s="202"/>
    </row>
    <row r="455" spans="1:1" ht="13">
      <c r="A455" s="202"/>
    </row>
    <row r="456" spans="1:1" ht="13">
      <c r="A456" s="202"/>
    </row>
    <row r="457" spans="1:1" ht="13">
      <c r="A457" s="202"/>
    </row>
    <row r="458" spans="1:1" ht="13">
      <c r="A458" s="202"/>
    </row>
    <row r="459" spans="1:1" ht="13">
      <c r="A459" s="202"/>
    </row>
    <row r="460" spans="1:1" ht="13">
      <c r="A460" s="202"/>
    </row>
    <row r="461" spans="1:1" ht="13">
      <c r="A461" s="202"/>
    </row>
    <row r="462" spans="1:1" ht="13">
      <c r="A462" s="202"/>
    </row>
    <row r="463" spans="1:1" ht="13">
      <c r="A463" s="202"/>
    </row>
    <row r="464" spans="1:1" ht="13">
      <c r="A464" s="202"/>
    </row>
    <row r="465" spans="1:1" ht="13">
      <c r="A465" s="202"/>
    </row>
    <row r="466" spans="1:1" ht="13">
      <c r="A466" s="202"/>
    </row>
    <row r="467" spans="1:1" ht="13">
      <c r="A467" s="202"/>
    </row>
    <row r="468" spans="1:1" ht="13">
      <c r="A468" s="202"/>
    </row>
    <row r="469" spans="1:1" ht="13">
      <c r="A469" s="202"/>
    </row>
    <row r="470" spans="1:1" ht="13">
      <c r="A470" s="202"/>
    </row>
    <row r="471" spans="1:1" ht="13">
      <c r="A471" s="202"/>
    </row>
    <row r="472" spans="1:1" ht="13">
      <c r="A472" s="202"/>
    </row>
    <row r="473" spans="1:1" ht="13">
      <c r="A473" s="202"/>
    </row>
    <row r="474" spans="1:1" ht="13">
      <c r="A474" s="202"/>
    </row>
    <row r="475" spans="1:1" ht="13">
      <c r="A475" s="202"/>
    </row>
    <row r="476" spans="1:1" ht="13">
      <c r="A476" s="202"/>
    </row>
    <row r="477" spans="1:1" ht="13">
      <c r="A477" s="202"/>
    </row>
    <row r="478" spans="1:1" ht="13">
      <c r="A478" s="202"/>
    </row>
    <row r="479" spans="1:1" ht="13">
      <c r="A479" s="202"/>
    </row>
    <row r="480" spans="1:1" ht="13">
      <c r="A480" s="202"/>
    </row>
    <row r="481" spans="1:1" ht="13">
      <c r="A481" s="202"/>
    </row>
    <row r="482" spans="1:1" ht="13">
      <c r="A482" s="202"/>
    </row>
    <row r="483" spans="1:1" ht="13">
      <c r="A483" s="202"/>
    </row>
    <row r="484" spans="1:1" ht="13">
      <c r="A484" s="202"/>
    </row>
    <row r="485" spans="1:1" ht="13">
      <c r="A485" s="202"/>
    </row>
    <row r="486" spans="1:1" ht="13">
      <c r="A486" s="202"/>
    </row>
    <row r="487" spans="1:1" ht="13">
      <c r="A487" s="202"/>
    </row>
    <row r="488" spans="1:1" ht="13">
      <c r="A488" s="202"/>
    </row>
    <row r="489" spans="1:1" ht="13">
      <c r="A489" s="202"/>
    </row>
    <row r="490" spans="1:1" ht="13">
      <c r="A490" s="202"/>
    </row>
    <row r="491" spans="1:1" ht="13">
      <c r="A491" s="202"/>
    </row>
    <row r="492" spans="1:1" ht="13">
      <c r="A492" s="202"/>
    </row>
    <row r="493" spans="1:1" ht="13">
      <c r="A493" s="202"/>
    </row>
    <row r="494" spans="1:1" ht="13">
      <c r="A494" s="202"/>
    </row>
    <row r="495" spans="1:1" ht="13">
      <c r="A495" s="202"/>
    </row>
    <row r="496" spans="1:1" ht="13">
      <c r="A496" s="202"/>
    </row>
    <row r="497" spans="1:1" ht="13">
      <c r="A497" s="202"/>
    </row>
    <row r="498" spans="1:1" ht="13">
      <c r="A498" s="202"/>
    </row>
    <row r="499" spans="1:1" ht="13">
      <c r="A499" s="202"/>
    </row>
    <row r="500" spans="1:1" ht="13">
      <c r="A500" s="202"/>
    </row>
    <row r="501" spans="1:1" ht="13">
      <c r="A501" s="202"/>
    </row>
    <row r="502" spans="1:1" ht="13">
      <c r="A502" s="202"/>
    </row>
    <row r="503" spans="1:1" ht="13">
      <c r="A503" s="202"/>
    </row>
    <row r="504" spans="1:1" ht="13">
      <c r="A504" s="202"/>
    </row>
    <row r="505" spans="1:1" ht="13">
      <c r="A505" s="202"/>
    </row>
    <row r="506" spans="1:1" ht="13">
      <c r="A506" s="202"/>
    </row>
    <row r="507" spans="1:1" ht="13">
      <c r="A507" s="202"/>
    </row>
    <row r="508" spans="1:1" ht="13">
      <c r="A508" s="202"/>
    </row>
    <row r="509" spans="1:1" ht="13">
      <c r="A509" s="202"/>
    </row>
    <row r="510" spans="1:1" ht="13">
      <c r="A510" s="202"/>
    </row>
    <row r="511" spans="1:1" ht="13">
      <c r="A511" s="202"/>
    </row>
    <row r="512" spans="1:1" ht="13">
      <c r="A512" s="202"/>
    </row>
    <row r="513" spans="1:1" ht="13">
      <c r="A513" s="202"/>
    </row>
    <row r="514" spans="1:1" ht="13">
      <c r="A514" s="202"/>
    </row>
    <row r="515" spans="1:1" ht="13">
      <c r="A515" s="202"/>
    </row>
    <row r="516" spans="1:1" ht="13">
      <c r="A516" s="202"/>
    </row>
    <row r="517" spans="1:1" ht="13">
      <c r="A517" s="202"/>
    </row>
    <row r="518" spans="1:1" ht="13">
      <c r="A518" s="202"/>
    </row>
    <row r="519" spans="1:1" ht="13">
      <c r="A519" s="202"/>
    </row>
    <row r="520" spans="1:1" ht="13">
      <c r="A520" s="202"/>
    </row>
    <row r="521" spans="1:1" ht="13">
      <c r="A521" s="202"/>
    </row>
    <row r="522" spans="1:1" ht="13">
      <c r="A522" s="202"/>
    </row>
    <row r="523" spans="1:1" ht="13">
      <c r="A523" s="202"/>
    </row>
    <row r="524" spans="1:1" ht="13">
      <c r="A524" s="202"/>
    </row>
    <row r="525" spans="1:1" ht="13">
      <c r="A525" s="202"/>
    </row>
    <row r="526" spans="1:1" ht="13">
      <c r="A526" s="202"/>
    </row>
    <row r="527" spans="1:1" ht="13">
      <c r="A527" s="202"/>
    </row>
    <row r="528" spans="1:1" ht="13">
      <c r="A528" s="202"/>
    </row>
    <row r="529" spans="1:1" ht="13">
      <c r="A529" s="202"/>
    </row>
    <row r="530" spans="1:1" ht="13">
      <c r="A530" s="202"/>
    </row>
    <row r="531" spans="1:1" ht="13">
      <c r="A531" s="202"/>
    </row>
    <row r="532" spans="1:1" ht="13">
      <c r="A532" s="202"/>
    </row>
    <row r="533" spans="1:1" ht="13">
      <c r="A533" s="202"/>
    </row>
    <row r="534" spans="1:1" ht="13">
      <c r="A534" s="202"/>
    </row>
    <row r="535" spans="1:1" ht="13">
      <c r="A535" s="202"/>
    </row>
    <row r="536" spans="1:1" ht="13">
      <c r="A536" s="202"/>
    </row>
    <row r="537" spans="1:1" ht="13">
      <c r="A537" s="202"/>
    </row>
    <row r="538" spans="1:1" ht="13">
      <c r="A538" s="202"/>
    </row>
    <row r="539" spans="1:1" ht="13">
      <c r="A539" s="202"/>
    </row>
    <row r="540" spans="1:1" ht="13">
      <c r="A540" s="202"/>
    </row>
    <row r="541" spans="1:1" ht="13">
      <c r="A541" s="202"/>
    </row>
    <row r="542" spans="1:1" ht="13">
      <c r="A542" s="202"/>
    </row>
    <row r="543" spans="1:1" ht="13">
      <c r="A543" s="202"/>
    </row>
    <row r="544" spans="1:1" ht="13">
      <c r="A544" s="202"/>
    </row>
    <row r="545" spans="1:1" ht="13">
      <c r="A545" s="202"/>
    </row>
    <row r="546" spans="1:1" ht="13">
      <c r="A546" s="202"/>
    </row>
    <row r="547" spans="1:1" ht="13">
      <c r="A547" s="202"/>
    </row>
    <row r="548" spans="1:1" ht="13">
      <c r="A548" s="202"/>
    </row>
    <row r="549" spans="1:1" ht="13">
      <c r="A549" s="202"/>
    </row>
    <row r="550" spans="1:1" ht="13">
      <c r="A550" s="202"/>
    </row>
    <row r="551" spans="1:1" ht="13">
      <c r="A551" s="202"/>
    </row>
    <row r="552" spans="1:1" ht="13">
      <c r="A552" s="202"/>
    </row>
    <row r="553" spans="1:1" ht="13">
      <c r="A553" s="202"/>
    </row>
    <row r="554" spans="1:1" ht="13">
      <c r="A554" s="202"/>
    </row>
    <row r="555" spans="1:1" ht="13">
      <c r="A555" s="202"/>
    </row>
    <row r="556" spans="1:1" ht="13">
      <c r="A556" s="202"/>
    </row>
    <row r="557" spans="1:1" ht="13">
      <c r="A557" s="202"/>
    </row>
    <row r="558" spans="1:1" ht="13">
      <c r="A558" s="202"/>
    </row>
    <row r="559" spans="1:1" ht="13">
      <c r="A559" s="202"/>
    </row>
    <row r="560" spans="1:1" ht="13">
      <c r="A560" s="202"/>
    </row>
    <row r="561" spans="1:1" ht="13">
      <c r="A561" s="202"/>
    </row>
    <row r="562" spans="1:1" ht="13">
      <c r="A562" s="202"/>
    </row>
    <row r="563" spans="1:1" ht="13">
      <c r="A563" s="202"/>
    </row>
    <row r="564" spans="1:1" ht="13">
      <c r="A564" s="202"/>
    </row>
    <row r="565" spans="1:1" ht="13">
      <c r="A565" s="202"/>
    </row>
    <row r="566" spans="1:1" ht="13">
      <c r="A566" s="202"/>
    </row>
    <row r="567" spans="1:1" ht="13">
      <c r="A567" s="202"/>
    </row>
    <row r="568" spans="1:1" ht="13">
      <c r="A568" s="202"/>
    </row>
    <row r="569" spans="1:1" ht="13">
      <c r="A569" s="202"/>
    </row>
    <row r="570" spans="1:1" ht="13">
      <c r="A570" s="202"/>
    </row>
    <row r="571" spans="1:1" ht="13">
      <c r="A571" s="202"/>
    </row>
    <row r="572" spans="1:1" ht="13">
      <c r="A572" s="202"/>
    </row>
    <row r="573" spans="1:1" ht="13">
      <c r="A573" s="202"/>
    </row>
    <row r="574" spans="1:1" ht="13">
      <c r="A574" s="202"/>
    </row>
    <row r="575" spans="1:1" ht="13">
      <c r="A575" s="202"/>
    </row>
    <row r="576" spans="1:1" ht="13">
      <c r="A576" s="202"/>
    </row>
    <row r="577" spans="1:1" ht="13">
      <c r="A577" s="202"/>
    </row>
    <row r="578" spans="1:1" ht="13">
      <c r="A578" s="202"/>
    </row>
    <row r="579" spans="1:1" ht="13">
      <c r="A579" s="202"/>
    </row>
    <row r="580" spans="1:1" ht="13">
      <c r="A580" s="202"/>
    </row>
    <row r="581" spans="1:1" ht="13">
      <c r="A581" s="202"/>
    </row>
    <row r="582" spans="1:1" ht="13">
      <c r="A582" s="202"/>
    </row>
    <row r="583" spans="1:1" ht="13">
      <c r="A583" s="202"/>
    </row>
    <row r="584" spans="1:1" ht="13">
      <c r="A584" s="202"/>
    </row>
    <row r="585" spans="1:1" ht="13">
      <c r="A585" s="202"/>
    </row>
    <row r="586" spans="1:1" ht="13">
      <c r="A586" s="202"/>
    </row>
    <row r="587" spans="1:1" ht="13">
      <c r="A587" s="202"/>
    </row>
    <row r="588" spans="1:1" ht="13">
      <c r="A588" s="202"/>
    </row>
    <row r="589" spans="1:1" ht="13">
      <c r="A589" s="202"/>
    </row>
    <row r="590" spans="1:1" ht="13">
      <c r="A590" s="202"/>
    </row>
    <row r="591" spans="1:1" ht="13">
      <c r="A591" s="202"/>
    </row>
    <row r="592" spans="1:1" ht="13">
      <c r="A592" s="202"/>
    </row>
    <row r="593" spans="1:1" ht="13">
      <c r="A593" s="202"/>
    </row>
    <row r="594" spans="1:1" ht="13">
      <c r="A594" s="202"/>
    </row>
    <row r="595" spans="1:1" ht="13">
      <c r="A595" s="202"/>
    </row>
    <row r="596" spans="1:1" ht="13">
      <c r="A596" s="202"/>
    </row>
    <row r="597" spans="1:1" ht="13">
      <c r="A597" s="202"/>
    </row>
    <row r="598" spans="1:1" ht="13">
      <c r="A598" s="202"/>
    </row>
    <row r="599" spans="1:1" ht="13">
      <c r="A599" s="202"/>
    </row>
    <row r="600" spans="1:1" ht="13">
      <c r="A600" s="202"/>
    </row>
    <row r="601" spans="1:1" ht="13">
      <c r="A601" s="202"/>
    </row>
    <row r="602" spans="1:1" ht="13">
      <c r="A602" s="202"/>
    </row>
    <row r="603" spans="1:1" ht="13">
      <c r="A603" s="202"/>
    </row>
    <row r="604" spans="1:1" ht="13">
      <c r="A604" s="202"/>
    </row>
    <row r="605" spans="1:1" ht="13">
      <c r="A605" s="202"/>
    </row>
    <row r="606" spans="1:1" ht="13">
      <c r="A606" s="202"/>
    </row>
    <row r="607" spans="1:1" ht="13">
      <c r="A607" s="202"/>
    </row>
    <row r="608" spans="1:1" ht="13">
      <c r="A608" s="202"/>
    </row>
    <row r="609" spans="1:1" ht="13">
      <c r="A609" s="202"/>
    </row>
    <row r="610" spans="1:1" ht="13">
      <c r="A610" s="202"/>
    </row>
    <row r="611" spans="1:1" ht="13">
      <c r="A611" s="202"/>
    </row>
    <row r="612" spans="1:1" ht="13">
      <c r="A612" s="202"/>
    </row>
    <row r="613" spans="1:1" ht="13">
      <c r="A613" s="202"/>
    </row>
    <row r="614" spans="1:1" ht="13">
      <c r="A614" s="202"/>
    </row>
    <row r="615" spans="1:1" ht="13">
      <c r="A615" s="202"/>
    </row>
    <row r="616" spans="1:1" ht="13">
      <c r="A616" s="202"/>
    </row>
    <row r="617" spans="1:1" ht="13">
      <c r="A617" s="202"/>
    </row>
    <row r="618" spans="1:1" ht="13">
      <c r="A618" s="202"/>
    </row>
    <row r="619" spans="1:1" ht="13">
      <c r="A619" s="202"/>
    </row>
    <row r="620" spans="1:1" ht="13">
      <c r="A620" s="202"/>
    </row>
    <row r="621" spans="1:1" ht="13">
      <c r="A621" s="202"/>
    </row>
    <row r="622" spans="1:1" ht="13">
      <c r="A622" s="202"/>
    </row>
    <row r="623" spans="1:1" ht="13">
      <c r="A623" s="202"/>
    </row>
    <row r="624" spans="1:1" ht="13">
      <c r="A624" s="202"/>
    </row>
    <row r="625" spans="1:1" ht="13">
      <c r="A625" s="202"/>
    </row>
    <row r="626" spans="1:1" ht="13">
      <c r="A626" s="202"/>
    </row>
    <row r="627" spans="1:1" ht="13">
      <c r="A627" s="202"/>
    </row>
    <row r="628" spans="1:1" ht="13">
      <c r="A628" s="202"/>
    </row>
    <row r="629" spans="1:1" ht="13">
      <c r="A629" s="202"/>
    </row>
    <row r="630" spans="1:1" ht="13">
      <c r="A630" s="202"/>
    </row>
    <row r="631" spans="1:1" ht="13">
      <c r="A631" s="202"/>
    </row>
    <row r="632" spans="1:1" ht="13">
      <c r="A632" s="202"/>
    </row>
    <row r="633" spans="1:1" ht="13">
      <c r="A633" s="202"/>
    </row>
    <row r="634" spans="1:1" ht="13">
      <c r="A634" s="202"/>
    </row>
    <row r="635" spans="1:1" ht="13">
      <c r="A635" s="202"/>
    </row>
    <row r="636" spans="1:1" ht="13">
      <c r="A636" s="202"/>
    </row>
    <row r="637" spans="1:1" ht="13">
      <c r="A637" s="202"/>
    </row>
    <row r="638" spans="1:1" ht="13">
      <c r="A638" s="202"/>
    </row>
    <row r="639" spans="1:1" ht="13">
      <c r="A639" s="202"/>
    </row>
    <row r="640" spans="1:1" ht="13">
      <c r="A640" s="202"/>
    </row>
    <row r="641" spans="1:1" ht="13">
      <c r="A641" s="202"/>
    </row>
    <row r="642" spans="1:1" ht="13">
      <c r="A642" s="202"/>
    </row>
    <row r="643" spans="1:1" ht="13">
      <c r="A643" s="202"/>
    </row>
    <row r="644" spans="1:1" ht="13">
      <c r="A644" s="202"/>
    </row>
    <row r="645" spans="1:1" ht="13">
      <c r="A645" s="202"/>
    </row>
    <row r="646" spans="1:1" ht="13">
      <c r="A646" s="202"/>
    </row>
    <row r="647" spans="1:1" ht="13">
      <c r="A647" s="202"/>
    </row>
    <row r="648" spans="1:1" ht="13">
      <c r="A648" s="202"/>
    </row>
    <row r="649" spans="1:1" ht="13">
      <c r="A649" s="202"/>
    </row>
    <row r="650" spans="1:1" ht="13">
      <c r="A650" s="202"/>
    </row>
    <row r="651" spans="1:1" ht="13">
      <c r="A651" s="202"/>
    </row>
    <row r="652" spans="1:1" ht="13">
      <c r="A652" s="202"/>
    </row>
    <row r="653" spans="1:1" ht="13">
      <c r="A653" s="202"/>
    </row>
    <row r="654" spans="1:1" ht="13">
      <c r="A654" s="202"/>
    </row>
    <row r="655" spans="1:1" ht="13">
      <c r="A655" s="202"/>
    </row>
    <row r="656" spans="1:1" ht="13">
      <c r="A656" s="202"/>
    </row>
    <row r="657" spans="1:1" ht="13">
      <c r="A657" s="202"/>
    </row>
    <row r="658" spans="1:1" ht="13">
      <c r="A658" s="202"/>
    </row>
    <row r="659" spans="1:1" ht="13">
      <c r="A659" s="202"/>
    </row>
    <row r="660" spans="1:1" ht="13">
      <c r="A660" s="202"/>
    </row>
    <row r="661" spans="1:1" ht="13">
      <c r="A661" s="202"/>
    </row>
    <row r="662" spans="1:1" ht="13">
      <c r="A662" s="202"/>
    </row>
    <row r="663" spans="1:1" ht="13">
      <c r="A663" s="202"/>
    </row>
    <row r="664" spans="1:1" ht="13">
      <c r="A664" s="202"/>
    </row>
    <row r="665" spans="1:1" ht="13">
      <c r="A665" s="202"/>
    </row>
    <row r="666" spans="1:1" ht="13">
      <c r="A666" s="202"/>
    </row>
    <row r="667" spans="1:1" ht="13">
      <c r="A667" s="202"/>
    </row>
    <row r="668" spans="1:1" ht="13">
      <c r="A668" s="202"/>
    </row>
    <row r="669" spans="1:1" ht="13">
      <c r="A669" s="202"/>
    </row>
    <row r="670" spans="1:1" ht="13">
      <c r="A670" s="202"/>
    </row>
    <row r="671" spans="1:1" ht="13">
      <c r="A671" s="202"/>
    </row>
    <row r="672" spans="1:1" ht="13">
      <c r="A672" s="202"/>
    </row>
    <row r="673" spans="1:1" ht="13">
      <c r="A673" s="202"/>
    </row>
    <row r="674" spans="1:1" ht="13">
      <c r="A674" s="202"/>
    </row>
    <row r="675" spans="1:1" ht="13">
      <c r="A675" s="202"/>
    </row>
    <row r="676" spans="1:1" ht="13">
      <c r="A676" s="202"/>
    </row>
    <row r="677" spans="1:1" ht="13">
      <c r="A677" s="202"/>
    </row>
    <row r="678" spans="1:1" ht="13">
      <c r="A678" s="202"/>
    </row>
    <row r="679" spans="1:1" ht="13">
      <c r="A679" s="202"/>
    </row>
    <row r="680" spans="1:1" ht="13">
      <c r="A680" s="202"/>
    </row>
    <row r="681" spans="1:1" ht="13">
      <c r="A681" s="202"/>
    </row>
    <row r="682" spans="1:1" ht="13">
      <c r="A682" s="202"/>
    </row>
    <row r="683" spans="1:1" ht="13">
      <c r="A683" s="202"/>
    </row>
    <row r="684" spans="1:1" ht="13">
      <c r="A684" s="202"/>
    </row>
    <row r="685" spans="1:1" ht="13">
      <c r="A685" s="202"/>
    </row>
    <row r="686" spans="1:1" ht="13">
      <c r="A686" s="202"/>
    </row>
    <row r="687" spans="1:1" ht="13">
      <c r="A687" s="202"/>
    </row>
    <row r="688" spans="1:1" ht="13">
      <c r="A688" s="202"/>
    </row>
    <row r="689" spans="1:1" ht="13">
      <c r="A689" s="202"/>
    </row>
    <row r="690" spans="1:1" ht="13">
      <c r="A690" s="202"/>
    </row>
    <row r="691" spans="1:1" ht="13">
      <c r="A691" s="202"/>
    </row>
    <row r="692" spans="1:1" ht="13">
      <c r="A692" s="202"/>
    </row>
    <row r="693" spans="1:1" ht="13">
      <c r="A693" s="202"/>
    </row>
    <row r="694" spans="1:1" ht="13">
      <c r="A694" s="202"/>
    </row>
    <row r="695" spans="1:1" ht="13">
      <c r="A695" s="202"/>
    </row>
    <row r="696" spans="1:1" ht="13">
      <c r="A696" s="202"/>
    </row>
    <row r="697" spans="1:1" ht="13">
      <c r="A697" s="202"/>
    </row>
    <row r="698" spans="1:1" ht="13">
      <c r="A698" s="202"/>
    </row>
    <row r="699" spans="1:1" ht="13">
      <c r="A699" s="202"/>
    </row>
    <row r="700" spans="1:1" ht="13">
      <c r="A700" s="202"/>
    </row>
    <row r="701" spans="1:1" ht="13">
      <c r="A701" s="202"/>
    </row>
    <row r="702" spans="1:1" ht="13">
      <c r="A702" s="202"/>
    </row>
    <row r="703" spans="1:1" ht="13">
      <c r="A703" s="202"/>
    </row>
    <row r="704" spans="1:1" ht="13">
      <c r="A704" s="202"/>
    </row>
    <row r="705" spans="1:1" ht="13">
      <c r="A705" s="202"/>
    </row>
    <row r="706" spans="1:1" ht="13">
      <c r="A706" s="202"/>
    </row>
    <row r="707" spans="1:1" ht="13">
      <c r="A707" s="202"/>
    </row>
    <row r="708" spans="1:1" ht="13">
      <c r="A708" s="202"/>
    </row>
    <row r="709" spans="1:1" ht="13">
      <c r="A709" s="202"/>
    </row>
    <row r="710" spans="1:1" ht="13">
      <c r="A710" s="202"/>
    </row>
    <row r="711" spans="1:1" ht="13">
      <c r="A711" s="202"/>
    </row>
    <row r="712" spans="1:1" ht="13">
      <c r="A712" s="202"/>
    </row>
    <row r="713" spans="1:1" ht="13">
      <c r="A713" s="202"/>
    </row>
    <row r="714" spans="1:1" ht="13">
      <c r="A714" s="202"/>
    </row>
    <row r="715" spans="1:1" ht="13">
      <c r="A715" s="202"/>
    </row>
    <row r="716" spans="1:1" ht="13">
      <c r="A716" s="202"/>
    </row>
    <row r="717" spans="1:1" ht="13">
      <c r="A717" s="202"/>
    </row>
    <row r="718" spans="1:1" ht="13">
      <c r="A718" s="202"/>
    </row>
    <row r="719" spans="1:1" ht="13">
      <c r="A719" s="202"/>
    </row>
    <row r="720" spans="1:1" ht="13">
      <c r="A720" s="202"/>
    </row>
    <row r="721" spans="1:1" ht="13">
      <c r="A721" s="202"/>
    </row>
    <row r="722" spans="1:1" ht="13">
      <c r="A722" s="202"/>
    </row>
    <row r="723" spans="1:1" ht="13">
      <c r="A723" s="202"/>
    </row>
    <row r="724" spans="1:1" ht="13">
      <c r="A724" s="202"/>
    </row>
    <row r="725" spans="1:1" ht="13">
      <c r="A725" s="202"/>
    </row>
    <row r="726" spans="1:1" ht="13">
      <c r="A726" s="202"/>
    </row>
    <row r="727" spans="1:1" ht="13">
      <c r="A727" s="202"/>
    </row>
    <row r="728" spans="1:1" ht="13">
      <c r="A728" s="202"/>
    </row>
    <row r="729" spans="1:1" ht="13">
      <c r="A729" s="202"/>
    </row>
    <row r="730" spans="1:1" ht="13">
      <c r="A730" s="202"/>
    </row>
    <row r="731" spans="1:1" ht="13">
      <c r="A731" s="202"/>
    </row>
    <row r="732" spans="1:1" ht="13">
      <c r="A732" s="202"/>
    </row>
    <row r="733" spans="1:1" ht="13">
      <c r="A733" s="202"/>
    </row>
    <row r="734" spans="1:1" ht="13">
      <c r="A734" s="202"/>
    </row>
    <row r="735" spans="1:1" ht="13">
      <c r="A735" s="202"/>
    </row>
    <row r="736" spans="1:1" ht="13">
      <c r="A736" s="202"/>
    </row>
    <row r="737" spans="1:1" ht="13">
      <c r="A737" s="202"/>
    </row>
    <row r="738" spans="1:1" ht="13">
      <c r="A738" s="202"/>
    </row>
    <row r="739" spans="1:1" ht="13">
      <c r="A739" s="202"/>
    </row>
    <row r="740" spans="1:1" ht="13">
      <c r="A740" s="202"/>
    </row>
    <row r="741" spans="1:1" ht="13">
      <c r="A741" s="202"/>
    </row>
    <row r="742" spans="1:1" ht="13">
      <c r="A742" s="202"/>
    </row>
    <row r="743" spans="1:1" ht="13">
      <c r="A743" s="202"/>
    </row>
    <row r="744" spans="1:1" ht="13">
      <c r="A744" s="202"/>
    </row>
    <row r="745" spans="1:1" ht="13">
      <c r="A745" s="202"/>
    </row>
    <row r="746" spans="1:1" ht="13">
      <c r="A746" s="202"/>
    </row>
    <row r="747" spans="1:1" ht="13">
      <c r="A747" s="202"/>
    </row>
    <row r="748" spans="1:1" ht="13">
      <c r="A748" s="202"/>
    </row>
    <row r="749" spans="1:1" ht="13">
      <c r="A749" s="202"/>
    </row>
    <row r="750" spans="1:1" ht="13">
      <c r="A750" s="202"/>
    </row>
    <row r="751" spans="1:1" ht="13">
      <c r="A751" s="202"/>
    </row>
    <row r="752" spans="1:1" ht="13">
      <c r="A752" s="202"/>
    </row>
    <row r="753" spans="1:1" ht="13">
      <c r="A753" s="202"/>
    </row>
    <row r="754" spans="1:1" ht="13">
      <c r="A754" s="202"/>
    </row>
    <row r="755" spans="1:1" ht="13">
      <c r="A755" s="202"/>
    </row>
    <row r="756" spans="1:1" ht="13">
      <c r="A756" s="202"/>
    </row>
    <row r="757" spans="1:1" ht="13">
      <c r="A757" s="202"/>
    </row>
    <row r="758" spans="1:1" ht="13">
      <c r="A758" s="202"/>
    </row>
    <row r="759" spans="1:1" ht="13">
      <c r="A759" s="202"/>
    </row>
    <row r="760" spans="1:1" ht="13">
      <c r="A760" s="202"/>
    </row>
    <row r="761" spans="1:1" ht="13">
      <c r="A761" s="202"/>
    </row>
    <row r="762" spans="1:1" ht="13">
      <c r="A762" s="202"/>
    </row>
    <row r="763" spans="1:1" ht="13">
      <c r="A763" s="202"/>
    </row>
    <row r="764" spans="1:1" ht="13">
      <c r="A764" s="202"/>
    </row>
    <row r="765" spans="1:1" ht="13">
      <c r="A765" s="202"/>
    </row>
    <row r="766" spans="1:1" ht="13">
      <c r="A766" s="202"/>
    </row>
    <row r="767" spans="1:1" ht="13">
      <c r="A767" s="202"/>
    </row>
    <row r="768" spans="1:1" ht="13">
      <c r="A768" s="202"/>
    </row>
    <row r="769" spans="1:1" ht="13">
      <c r="A769" s="202"/>
    </row>
    <row r="770" spans="1:1" ht="13">
      <c r="A770" s="202"/>
    </row>
    <row r="771" spans="1:1" ht="13">
      <c r="A771" s="202"/>
    </row>
    <row r="772" spans="1:1" ht="13">
      <c r="A772" s="202"/>
    </row>
    <row r="773" spans="1:1" ht="13">
      <c r="A773" s="202"/>
    </row>
    <row r="774" spans="1:1" ht="13">
      <c r="A774" s="202"/>
    </row>
    <row r="775" spans="1:1" ht="13">
      <c r="A775" s="202"/>
    </row>
    <row r="776" spans="1:1" ht="13">
      <c r="A776" s="202"/>
    </row>
    <row r="777" spans="1:1" ht="13">
      <c r="A777" s="202"/>
    </row>
    <row r="778" spans="1:1" ht="13">
      <c r="A778" s="202"/>
    </row>
    <row r="779" spans="1:1" ht="13">
      <c r="A779" s="202"/>
    </row>
    <row r="780" spans="1:1" ht="13">
      <c r="A780" s="202"/>
    </row>
    <row r="781" spans="1:1" ht="13">
      <c r="A781" s="202"/>
    </row>
    <row r="782" spans="1:1" ht="13">
      <c r="A782" s="202"/>
    </row>
    <row r="783" spans="1:1" ht="13">
      <c r="A783" s="202"/>
    </row>
    <row r="784" spans="1:1" ht="13">
      <c r="A784" s="202"/>
    </row>
    <row r="785" spans="1:1" ht="13">
      <c r="A785" s="202"/>
    </row>
    <row r="786" spans="1:1" ht="13">
      <c r="A786" s="202"/>
    </row>
    <row r="787" spans="1:1" ht="13">
      <c r="A787" s="202"/>
    </row>
    <row r="788" spans="1:1" ht="13">
      <c r="A788" s="202"/>
    </row>
    <row r="789" spans="1:1" ht="13">
      <c r="A789" s="202"/>
    </row>
    <row r="790" spans="1:1" ht="13">
      <c r="A790" s="202"/>
    </row>
    <row r="791" spans="1:1" ht="13">
      <c r="A791" s="202"/>
    </row>
    <row r="792" spans="1:1" ht="13">
      <c r="A792" s="202"/>
    </row>
    <row r="793" spans="1:1" ht="13">
      <c r="A793" s="202"/>
    </row>
    <row r="794" spans="1:1" ht="13">
      <c r="A794" s="202"/>
    </row>
    <row r="795" spans="1:1" ht="13">
      <c r="A795" s="202"/>
    </row>
    <row r="796" spans="1:1" ht="13">
      <c r="A796" s="202"/>
    </row>
    <row r="797" spans="1:1" ht="13">
      <c r="A797" s="202"/>
    </row>
    <row r="798" spans="1:1" ht="13">
      <c r="A798" s="202"/>
    </row>
    <row r="799" spans="1:1" ht="13">
      <c r="A799" s="202"/>
    </row>
    <row r="800" spans="1:1" ht="13">
      <c r="A800" s="202"/>
    </row>
    <row r="801" spans="1:1" ht="13">
      <c r="A801" s="202"/>
    </row>
    <row r="802" spans="1:1" ht="13">
      <c r="A802" s="202"/>
    </row>
    <row r="803" spans="1:1" ht="13">
      <c r="A803" s="202"/>
    </row>
    <row r="804" spans="1:1" ht="13">
      <c r="A804" s="202"/>
    </row>
    <row r="805" spans="1:1" ht="13">
      <c r="A805" s="202"/>
    </row>
    <row r="806" spans="1:1" ht="13">
      <c r="A806" s="202"/>
    </row>
    <row r="807" spans="1:1" ht="13">
      <c r="A807" s="202"/>
    </row>
    <row r="808" spans="1:1" ht="13">
      <c r="A808" s="202"/>
    </row>
    <row r="809" spans="1:1" ht="13">
      <c r="A809" s="202"/>
    </row>
    <row r="810" spans="1:1" ht="13">
      <c r="A810" s="202"/>
    </row>
    <row r="811" spans="1:1" ht="13">
      <c r="A811" s="202"/>
    </row>
    <row r="812" spans="1:1" ht="13">
      <c r="A812" s="202"/>
    </row>
    <row r="813" spans="1:1" ht="13">
      <c r="A813" s="202"/>
    </row>
    <row r="814" spans="1:1" ht="13">
      <c r="A814" s="202"/>
    </row>
    <row r="815" spans="1:1" ht="13">
      <c r="A815" s="202"/>
    </row>
    <row r="816" spans="1:1" ht="13">
      <c r="A816" s="202"/>
    </row>
    <row r="817" spans="1:1" ht="13">
      <c r="A817" s="202"/>
    </row>
    <row r="818" spans="1:1" ht="13">
      <c r="A818" s="202"/>
    </row>
    <row r="819" spans="1:1" ht="13">
      <c r="A819" s="202"/>
    </row>
    <row r="820" spans="1:1" ht="13">
      <c r="A820" s="202"/>
    </row>
    <row r="821" spans="1:1" ht="13">
      <c r="A821" s="202"/>
    </row>
    <row r="822" spans="1:1" ht="13">
      <c r="A822" s="202"/>
    </row>
    <row r="823" spans="1:1" ht="13">
      <c r="A823" s="202"/>
    </row>
    <row r="824" spans="1:1" ht="13">
      <c r="A824" s="202"/>
    </row>
    <row r="825" spans="1:1" ht="13">
      <c r="A825" s="202"/>
    </row>
    <row r="826" spans="1:1" ht="13">
      <c r="A826" s="202"/>
    </row>
    <row r="827" spans="1:1" ht="13">
      <c r="A827" s="202"/>
    </row>
    <row r="828" spans="1:1" ht="13">
      <c r="A828" s="202"/>
    </row>
    <row r="829" spans="1:1" ht="13">
      <c r="A829" s="202"/>
    </row>
    <row r="830" spans="1:1" ht="13">
      <c r="A830" s="202"/>
    </row>
    <row r="831" spans="1:1" ht="13">
      <c r="A831" s="202"/>
    </row>
    <row r="832" spans="1:1" ht="13">
      <c r="A832" s="202"/>
    </row>
    <row r="833" spans="1:1" ht="13">
      <c r="A833" s="202"/>
    </row>
    <row r="834" spans="1:1" ht="13">
      <c r="A834" s="202"/>
    </row>
    <row r="835" spans="1:1" ht="13">
      <c r="A835" s="202"/>
    </row>
    <row r="836" spans="1:1" ht="13">
      <c r="A836" s="202"/>
    </row>
    <row r="837" spans="1:1" ht="13">
      <c r="A837" s="202"/>
    </row>
    <row r="838" spans="1:1" ht="13">
      <c r="A838" s="202"/>
    </row>
    <row r="839" spans="1:1" ht="13">
      <c r="A839" s="202"/>
    </row>
    <row r="840" spans="1:1" ht="13">
      <c r="A840" s="202"/>
    </row>
    <row r="841" spans="1:1" ht="13">
      <c r="A841" s="202"/>
    </row>
    <row r="842" spans="1:1" ht="13">
      <c r="A842" s="202"/>
    </row>
    <row r="843" spans="1:1" ht="13">
      <c r="A843" s="202"/>
    </row>
    <row r="844" spans="1:1" ht="13">
      <c r="A844" s="202"/>
    </row>
    <row r="845" spans="1:1" ht="13">
      <c r="A845" s="202"/>
    </row>
    <row r="846" spans="1:1" ht="13">
      <c r="A846" s="202"/>
    </row>
    <row r="847" spans="1:1" ht="13">
      <c r="A847" s="202"/>
    </row>
    <row r="848" spans="1:1" ht="13">
      <c r="A848" s="202"/>
    </row>
    <row r="849" spans="1:1" ht="13">
      <c r="A849" s="202"/>
    </row>
    <row r="850" spans="1:1" ht="13">
      <c r="A850" s="202"/>
    </row>
    <row r="851" spans="1:1" ht="13">
      <c r="A851" s="202"/>
    </row>
    <row r="852" spans="1:1" ht="13">
      <c r="A852" s="202"/>
    </row>
    <row r="853" spans="1:1" ht="13">
      <c r="A853" s="202"/>
    </row>
    <row r="854" spans="1:1" ht="13">
      <c r="A854" s="202"/>
    </row>
    <row r="855" spans="1:1" ht="13">
      <c r="A855" s="202"/>
    </row>
    <row r="856" spans="1:1" ht="13">
      <c r="A856" s="202"/>
    </row>
    <row r="857" spans="1:1" ht="13">
      <c r="A857" s="202"/>
    </row>
    <row r="858" spans="1:1" ht="13">
      <c r="A858" s="202"/>
    </row>
    <row r="859" spans="1:1" ht="13">
      <c r="A859" s="202"/>
    </row>
    <row r="860" spans="1:1" ht="13">
      <c r="A860" s="202"/>
    </row>
    <row r="861" spans="1:1" ht="13">
      <c r="A861" s="202"/>
    </row>
    <row r="862" spans="1:1" ht="13">
      <c r="A862" s="202"/>
    </row>
    <row r="863" spans="1:1" ht="13">
      <c r="A863" s="202"/>
    </row>
    <row r="864" spans="1:1" ht="13">
      <c r="A864" s="202"/>
    </row>
    <row r="865" spans="1:1" ht="13">
      <c r="A865" s="202"/>
    </row>
    <row r="866" spans="1:1" ht="13">
      <c r="A866" s="202"/>
    </row>
    <row r="867" spans="1:1" ht="13">
      <c r="A867" s="202"/>
    </row>
    <row r="868" spans="1:1" ht="13">
      <c r="A868" s="202"/>
    </row>
    <row r="869" spans="1:1" ht="13">
      <c r="A869" s="202"/>
    </row>
    <row r="870" spans="1:1" ht="13">
      <c r="A870" s="202"/>
    </row>
    <row r="871" spans="1:1" ht="13">
      <c r="A871" s="202"/>
    </row>
    <row r="872" spans="1:1" ht="13">
      <c r="A872" s="202"/>
    </row>
    <row r="873" spans="1:1" ht="13">
      <c r="A873" s="202"/>
    </row>
    <row r="874" spans="1:1" ht="13">
      <c r="A874" s="202"/>
    </row>
    <row r="875" spans="1:1" ht="13">
      <c r="A875" s="202"/>
    </row>
    <row r="876" spans="1:1" ht="13">
      <c r="A876" s="202"/>
    </row>
    <row r="877" spans="1:1" ht="13">
      <c r="A877" s="202"/>
    </row>
    <row r="878" spans="1:1" ht="13">
      <c r="A878" s="202"/>
    </row>
    <row r="879" spans="1:1" ht="13">
      <c r="A879" s="202"/>
    </row>
    <row r="880" spans="1:1" ht="13">
      <c r="A880" s="202"/>
    </row>
    <row r="881" spans="1:1" ht="13">
      <c r="A881" s="202"/>
    </row>
    <row r="882" spans="1:1" ht="13">
      <c r="A882" s="202"/>
    </row>
    <row r="883" spans="1:1" ht="13">
      <c r="A883" s="202"/>
    </row>
    <row r="884" spans="1:1" ht="13">
      <c r="A884" s="202"/>
    </row>
    <row r="885" spans="1:1" ht="13">
      <c r="A885" s="202"/>
    </row>
    <row r="886" spans="1:1" ht="13">
      <c r="A886" s="202"/>
    </row>
    <row r="887" spans="1:1" ht="13">
      <c r="A887" s="202"/>
    </row>
    <row r="888" spans="1:1" ht="13">
      <c r="A888" s="202"/>
    </row>
    <row r="889" spans="1:1" ht="13">
      <c r="A889" s="202"/>
    </row>
    <row r="890" spans="1:1" ht="13">
      <c r="A890" s="202"/>
    </row>
    <row r="891" spans="1:1" ht="13">
      <c r="A891" s="202"/>
    </row>
    <row r="892" spans="1:1" ht="13">
      <c r="A892" s="202"/>
    </row>
    <row r="893" spans="1:1" ht="13">
      <c r="A893" s="202"/>
    </row>
    <row r="894" spans="1:1" ht="13">
      <c r="A894" s="202"/>
    </row>
    <row r="895" spans="1:1" ht="13">
      <c r="A895" s="202"/>
    </row>
    <row r="896" spans="1:1" ht="13">
      <c r="A896" s="202"/>
    </row>
    <row r="897" spans="1:1" ht="13">
      <c r="A897" s="202"/>
    </row>
    <row r="898" spans="1:1" ht="13">
      <c r="A898" s="202"/>
    </row>
    <row r="899" spans="1:1" ht="13">
      <c r="A899" s="202"/>
    </row>
    <row r="900" spans="1:1" ht="13">
      <c r="A900" s="202"/>
    </row>
    <row r="901" spans="1:1" ht="13">
      <c r="A901" s="202"/>
    </row>
    <row r="902" spans="1:1" ht="13">
      <c r="A902" s="202"/>
    </row>
    <row r="903" spans="1:1" ht="13">
      <c r="A903" s="202"/>
    </row>
    <row r="904" spans="1:1" ht="13">
      <c r="A904" s="202"/>
    </row>
    <row r="905" spans="1:1" ht="13">
      <c r="A905" s="202"/>
    </row>
    <row r="906" spans="1:1" ht="13">
      <c r="A906" s="202"/>
    </row>
    <row r="907" spans="1:1" ht="13">
      <c r="A907" s="202"/>
    </row>
    <row r="908" spans="1:1" ht="13">
      <c r="A908" s="202"/>
    </row>
    <row r="909" spans="1:1" ht="13">
      <c r="A909" s="202"/>
    </row>
    <row r="910" spans="1:1" ht="13">
      <c r="A910" s="202"/>
    </row>
    <row r="911" spans="1:1" ht="13">
      <c r="A911" s="202"/>
    </row>
    <row r="912" spans="1:1" ht="13">
      <c r="A912" s="202"/>
    </row>
    <row r="913" spans="1:1" ht="13">
      <c r="A913" s="202"/>
    </row>
    <row r="914" spans="1:1" ht="13">
      <c r="A914" s="202"/>
    </row>
    <row r="915" spans="1:1" ht="13">
      <c r="A915" s="202"/>
    </row>
    <row r="916" spans="1:1" ht="13">
      <c r="A916" s="202"/>
    </row>
    <row r="917" spans="1:1" ht="13">
      <c r="A917" s="202"/>
    </row>
    <row r="918" spans="1:1" ht="13">
      <c r="A918" s="202"/>
    </row>
    <row r="919" spans="1:1" ht="13">
      <c r="A919" s="202"/>
    </row>
    <row r="920" spans="1:1" ht="13">
      <c r="A920" s="202"/>
    </row>
    <row r="921" spans="1:1" ht="13">
      <c r="A921" s="202"/>
    </row>
    <row r="922" spans="1:1" ht="13">
      <c r="A922" s="202"/>
    </row>
    <row r="923" spans="1:1" ht="13">
      <c r="A923" s="202"/>
    </row>
    <row r="924" spans="1:1" ht="13">
      <c r="A924" s="202"/>
    </row>
    <row r="925" spans="1:1" ht="13">
      <c r="A925" s="202"/>
    </row>
    <row r="926" spans="1:1" ht="13">
      <c r="A926" s="202"/>
    </row>
    <row r="927" spans="1:1" ht="13">
      <c r="A927" s="202"/>
    </row>
    <row r="928" spans="1:1" ht="13">
      <c r="A928" s="202"/>
    </row>
    <row r="929" spans="1:1" ht="13">
      <c r="A929" s="202"/>
    </row>
    <row r="930" spans="1:1" ht="13">
      <c r="A930" s="202"/>
    </row>
    <row r="931" spans="1:1" ht="13">
      <c r="A931" s="202"/>
    </row>
    <row r="932" spans="1:1" ht="13">
      <c r="A932" s="202"/>
    </row>
    <row r="933" spans="1:1" ht="13">
      <c r="A933" s="202"/>
    </row>
    <row r="934" spans="1:1" ht="13">
      <c r="A934" s="202"/>
    </row>
    <row r="935" spans="1:1" ht="13">
      <c r="A935" s="202"/>
    </row>
    <row r="936" spans="1:1" ht="13">
      <c r="A936" s="202"/>
    </row>
    <row r="937" spans="1:1" ht="13">
      <c r="A937" s="202"/>
    </row>
    <row r="938" spans="1:1" ht="13">
      <c r="A938" s="202"/>
    </row>
    <row r="939" spans="1:1" ht="13">
      <c r="A939" s="202"/>
    </row>
    <row r="940" spans="1:1" ht="13">
      <c r="A940" s="202"/>
    </row>
    <row r="941" spans="1:1" ht="13">
      <c r="A941" s="202"/>
    </row>
    <row r="942" spans="1:1" ht="13">
      <c r="A942" s="202"/>
    </row>
    <row r="943" spans="1:1" ht="13">
      <c r="A943" s="202"/>
    </row>
    <row r="944" spans="1:1" ht="13">
      <c r="A944" s="202"/>
    </row>
    <row r="945" spans="1:1" ht="13">
      <c r="A945" s="202"/>
    </row>
    <row r="946" spans="1:1" ht="13">
      <c r="A946" s="202"/>
    </row>
    <row r="947" spans="1:1" ht="13">
      <c r="A947" s="202"/>
    </row>
    <row r="948" spans="1:1" ht="13">
      <c r="A948" s="202"/>
    </row>
    <row r="949" spans="1:1" ht="13">
      <c r="A949" s="202"/>
    </row>
    <row r="950" spans="1:1" ht="13">
      <c r="A950" s="202"/>
    </row>
    <row r="951" spans="1:1" ht="13">
      <c r="A951" s="202"/>
    </row>
    <row r="952" spans="1:1" ht="13">
      <c r="A952" s="202"/>
    </row>
    <row r="953" spans="1:1" ht="13">
      <c r="A953" s="202"/>
    </row>
    <row r="954" spans="1:1" ht="13">
      <c r="A954" s="202"/>
    </row>
    <row r="955" spans="1:1" ht="13">
      <c r="A955" s="202"/>
    </row>
    <row r="956" spans="1:1" ht="13">
      <c r="A956" s="202"/>
    </row>
    <row r="957" spans="1:1" ht="13">
      <c r="A957" s="202"/>
    </row>
    <row r="958" spans="1:1" ht="13">
      <c r="A958" s="202"/>
    </row>
    <row r="959" spans="1:1" ht="13">
      <c r="A959" s="202"/>
    </row>
    <row r="960" spans="1:1" ht="13">
      <c r="A960" s="202"/>
    </row>
    <row r="961" spans="1:1" ht="13">
      <c r="A961" s="202"/>
    </row>
    <row r="962" spans="1:1" ht="13">
      <c r="A962" s="202"/>
    </row>
    <row r="963" spans="1:1" ht="13">
      <c r="A963" s="202"/>
    </row>
    <row r="964" spans="1:1" ht="13">
      <c r="A964" s="202"/>
    </row>
    <row r="965" spans="1:1" ht="13">
      <c r="A965" s="202"/>
    </row>
    <row r="966" spans="1:1" ht="13">
      <c r="A966" s="202"/>
    </row>
    <row r="967" spans="1:1" ht="13">
      <c r="A967" s="202"/>
    </row>
    <row r="968" spans="1:1" ht="13">
      <c r="A968" s="202"/>
    </row>
    <row r="969" spans="1:1" ht="13">
      <c r="A969" s="202"/>
    </row>
    <row r="970" spans="1:1" ht="13">
      <c r="A970" s="202"/>
    </row>
    <row r="971" spans="1:1" ht="13">
      <c r="A971" s="202"/>
    </row>
    <row r="972" spans="1:1" ht="13">
      <c r="A972" s="202"/>
    </row>
    <row r="973" spans="1:1" ht="13">
      <c r="A973" s="202"/>
    </row>
    <row r="974" spans="1:1" ht="13">
      <c r="A974" s="202"/>
    </row>
    <row r="975" spans="1:1" ht="13">
      <c r="A975" s="202"/>
    </row>
    <row r="976" spans="1:1" ht="13">
      <c r="A976" s="202"/>
    </row>
    <row r="977" spans="1:1" ht="13">
      <c r="A977" s="202"/>
    </row>
    <row r="978" spans="1:1" ht="13">
      <c r="A978" s="202"/>
    </row>
    <row r="979" spans="1:1" ht="13">
      <c r="A979" s="202"/>
    </row>
    <row r="980" spans="1:1" ht="13">
      <c r="A980" s="202"/>
    </row>
    <row r="981" spans="1:1" ht="13">
      <c r="A981" s="202"/>
    </row>
    <row r="982" spans="1:1" ht="13">
      <c r="A982" s="202"/>
    </row>
    <row r="983" spans="1:1" ht="13">
      <c r="A983" s="202"/>
    </row>
    <row r="984" spans="1:1" ht="13">
      <c r="A984" s="202"/>
    </row>
    <row r="985" spans="1:1" ht="13">
      <c r="A985" s="202"/>
    </row>
    <row r="986" spans="1:1" ht="13">
      <c r="A986" s="202"/>
    </row>
    <row r="987" spans="1:1" ht="13">
      <c r="A987" s="202"/>
    </row>
    <row r="988" spans="1:1" ht="13">
      <c r="A988" s="202"/>
    </row>
    <row r="989" spans="1:1" ht="13">
      <c r="A989" s="202"/>
    </row>
    <row r="990" spans="1:1" ht="13">
      <c r="A990" s="202"/>
    </row>
  </sheetData>
  <mergeCells count="1">
    <mergeCell ref="A21:D21"/>
  </mergeCells>
  <pageMargins left="0.7" right="0.7" top="0.75" bottom="0.75" header="0.3" footer="0.3"/>
  <pageSetup paperSize="9" orientation="portrait" horizontalDpi="0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FFFF"/>
    <outlinePr summaryBelow="0" summaryRight="0"/>
  </sheetPr>
  <dimension ref="A1:G10"/>
  <sheetViews>
    <sheetView workbookViewId="0"/>
  </sheetViews>
  <sheetFormatPr baseColWidth="10" defaultColWidth="12.6640625" defaultRowHeight="15.75" customHeight="1"/>
  <cols>
    <col min="1" max="1" width="32.5" customWidth="1"/>
  </cols>
  <sheetData>
    <row r="1" spans="1:7" ht="15.75" customHeight="1">
      <c r="A1" s="226" t="s">
        <v>318</v>
      </c>
      <c r="B1" s="58" t="s">
        <v>304</v>
      </c>
      <c r="C1" s="58" t="s">
        <v>319</v>
      </c>
      <c r="D1" s="58" t="s">
        <v>4</v>
      </c>
      <c r="E1" s="27" t="s">
        <v>5</v>
      </c>
      <c r="F1" s="204" t="s">
        <v>9</v>
      </c>
      <c r="G1" s="308" t="s">
        <v>320</v>
      </c>
    </row>
    <row r="2" spans="1:7" ht="15.75" customHeight="1">
      <c r="A2" s="27" t="s">
        <v>147</v>
      </c>
      <c r="B2" s="61">
        <v>18724</v>
      </c>
      <c r="C2" s="61">
        <f>'Исходные данные'!B60</f>
        <v>18724</v>
      </c>
      <c r="D2" s="108">
        <f>2145371+42000+30000</f>
        <v>2217371</v>
      </c>
      <c r="E2" s="200">
        <v>12</v>
      </c>
      <c r="F2" s="61"/>
      <c r="G2" s="309">
        <f t="shared" ref="G2:G3" si="0">D2/E2</f>
        <v>184780.91666666666</v>
      </c>
    </row>
    <row r="3" spans="1:7" ht="15.75" customHeight="1">
      <c r="A3" s="27" t="s">
        <v>321</v>
      </c>
      <c r="B3" s="108"/>
      <c r="C3" s="61"/>
      <c r="D3" s="61">
        <f>10000+5200</f>
        <v>15200</v>
      </c>
      <c r="E3" s="200">
        <v>12</v>
      </c>
      <c r="F3" s="61"/>
      <c r="G3" s="309">
        <f t="shared" si="0"/>
        <v>1266.6666666666667</v>
      </c>
    </row>
    <row r="4" spans="1:7" ht="15.75" customHeight="1">
      <c r="A4" s="58" t="s">
        <v>152</v>
      </c>
      <c r="B4" s="210"/>
      <c r="C4" s="61"/>
      <c r="D4" s="61"/>
      <c r="E4" s="200"/>
      <c r="F4" s="61">
        <f>'Общие расходы ГЭ'!G16</f>
        <v>9.1731976502919679</v>
      </c>
      <c r="G4" s="309">
        <f>B4*F4</f>
        <v>0</v>
      </c>
    </row>
    <row r="5" spans="1:7" ht="15.75" customHeight="1">
      <c r="A5" s="159"/>
      <c r="B5" s="310"/>
      <c r="C5" s="310"/>
      <c r="D5" s="310"/>
      <c r="E5" s="311"/>
      <c r="F5" s="310"/>
      <c r="G5" s="312">
        <f>SUM(G2:G4)</f>
        <v>186047.58333333331</v>
      </c>
    </row>
    <row r="6" spans="1:7" ht="15.75" customHeight="1">
      <c r="B6" s="148"/>
      <c r="C6" s="148"/>
      <c r="D6" s="148"/>
      <c r="E6" s="149"/>
      <c r="F6" s="148"/>
      <c r="G6" s="149"/>
    </row>
    <row r="7" spans="1:7" ht="15.75" customHeight="1">
      <c r="B7" s="148"/>
      <c r="C7" s="148"/>
      <c r="D7" s="148"/>
      <c r="E7" s="149"/>
      <c r="F7" s="148"/>
      <c r="G7" s="149"/>
    </row>
    <row r="8" spans="1:7" ht="15.75" customHeight="1">
      <c r="B8" s="148"/>
      <c r="C8" s="148"/>
      <c r="D8" s="148"/>
      <c r="E8" s="149"/>
      <c r="F8" s="148"/>
      <c r="G8" s="149"/>
    </row>
    <row r="9" spans="1:7" ht="15.75" customHeight="1">
      <c r="B9" s="148"/>
      <c r="C9" s="148"/>
      <c r="D9" s="148"/>
      <c r="E9" s="149"/>
      <c r="F9" s="148"/>
      <c r="G9" s="149"/>
    </row>
    <row r="10" spans="1:7" ht="15.75" customHeight="1">
      <c r="B10" s="148"/>
      <c r="C10" s="148"/>
      <c r="D10" s="148"/>
      <c r="E10" s="149"/>
      <c r="F10" s="148"/>
      <c r="G10" s="149"/>
    </row>
  </sheetData>
  <pageMargins left="0.7" right="0.7" top="0.75" bottom="0.75" header="0.3" footer="0.3"/>
  <pageSetup paperSize="9" orientation="portrait" horizontalDpi="0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FF"/>
    <outlinePr summaryBelow="0" summaryRight="0"/>
  </sheetPr>
  <dimension ref="A1:I24"/>
  <sheetViews>
    <sheetView workbookViewId="0"/>
  </sheetViews>
  <sheetFormatPr baseColWidth="10" defaultColWidth="12.6640625" defaultRowHeight="15.75" customHeight="1"/>
  <cols>
    <col min="1" max="1" width="24.33203125" customWidth="1"/>
    <col min="6" max="6" width="10.6640625" customWidth="1"/>
    <col min="7" max="7" width="8.83203125" customWidth="1"/>
    <col min="8" max="8" width="14.5" customWidth="1"/>
    <col min="9" max="9" width="15" customWidth="1"/>
  </cols>
  <sheetData>
    <row r="1" spans="1:9" ht="15.75" customHeight="1">
      <c r="A1" s="275" t="s">
        <v>73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9" ht="15.75" customHeight="1">
      <c r="A2" s="254" t="s">
        <v>293</v>
      </c>
      <c r="B2" s="44">
        <f>'Исходные данные'!D53</f>
        <v>635</v>
      </c>
      <c r="C2" s="44">
        <f>'Исходные данные'!D50</f>
        <v>15</v>
      </c>
      <c r="D2" s="44"/>
      <c r="E2" s="44">
        <v>66000</v>
      </c>
      <c r="F2" s="253">
        <v>12</v>
      </c>
      <c r="G2" s="119"/>
      <c r="H2" s="44">
        <f>E2/F2</f>
        <v>5500</v>
      </c>
      <c r="I2" s="278">
        <f>H2/B2*C2</f>
        <v>129.9212598425197</v>
      </c>
    </row>
    <row r="3" spans="1:9" ht="15.75" customHeight="1">
      <c r="A3" s="254" t="s">
        <v>322</v>
      </c>
      <c r="B3" s="44"/>
      <c r="C3" s="44"/>
      <c r="D3" s="44"/>
      <c r="E3" s="279"/>
      <c r="F3" s="253"/>
      <c r="G3" s="119"/>
      <c r="H3" s="44"/>
      <c r="I3" s="278"/>
    </row>
    <row r="4" spans="1:9" ht="15.75" customHeight="1">
      <c r="A4" s="257" t="s">
        <v>315</v>
      </c>
      <c r="B4" s="258"/>
      <c r="C4" s="258"/>
      <c r="D4" s="258"/>
      <c r="E4" s="313">
        <f>78906+4065</f>
        <v>82971</v>
      </c>
      <c r="F4" s="281">
        <v>12</v>
      </c>
      <c r="G4" s="258"/>
      <c r="H4" s="258">
        <f t="shared" ref="H4:H5" si="0">E4/F4</f>
        <v>6914.25</v>
      </c>
      <c r="I4" s="278">
        <f t="shared" ref="I4:I5" si="1">E4/F4</f>
        <v>6914.25</v>
      </c>
    </row>
    <row r="5" spans="1:9" ht="15.75" customHeight="1">
      <c r="A5" s="73" t="s">
        <v>148</v>
      </c>
      <c r="B5" s="258"/>
      <c r="C5" s="258"/>
      <c r="D5" s="258"/>
      <c r="E5" s="313">
        <f>61519+1140+5569</f>
        <v>68228</v>
      </c>
      <c r="F5" s="281">
        <v>12</v>
      </c>
      <c r="G5" s="258"/>
      <c r="H5" s="258">
        <f t="shared" si="0"/>
        <v>5685.666666666667</v>
      </c>
      <c r="I5" s="278">
        <f t="shared" si="1"/>
        <v>5685.666666666667</v>
      </c>
    </row>
    <row r="6" spans="1:9" ht="15.75" customHeight="1">
      <c r="A6" s="254" t="s">
        <v>152</v>
      </c>
      <c r="B6" s="44"/>
      <c r="C6" s="119"/>
      <c r="D6" s="300">
        <f>B12+B13</f>
        <v>170</v>
      </c>
      <c r="E6" s="119"/>
      <c r="F6" s="253"/>
      <c r="G6" s="44">
        <f>'Общие расходы ГЭ'!G16</f>
        <v>9.1731976502919679</v>
      </c>
      <c r="H6" s="119"/>
      <c r="I6" s="278">
        <f t="shared" ref="I6:I8" si="2">D6*G6</f>
        <v>1559.4436005496345</v>
      </c>
    </row>
    <row r="7" spans="1:9" ht="15.75" customHeight="1">
      <c r="A7" s="254" t="s">
        <v>290</v>
      </c>
      <c r="B7" s="44"/>
      <c r="C7" s="119"/>
      <c r="D7" s="300">
        <f>B12+B13</f>
        <v>170</v>
      </c>
      <c r="E7" s="119"/>
      <c r="F7" s="253"/>
      <c r="G7" s="44">
        <f>'Общие расходы г. Инно'!F4</f>
        <v>1.6890710382513661</v>
      </c>
      <c r="H7" s="119"/>
      <c r="I7" s="278">
        <f t="shared" si="2"/>
        <v>287.14207650273221</v>
      </c>
    </row>
    <row r="8" spans="1:9" ht="15.75" customHeight="1">
      <c r="A8" s="254" t="s">
        <v>292</v>
      </c>
      <c r="B8" s="44"/>
      <c r="C8" s="119"/>
      <c r="D8" s="300">
        <f>B12+B13</f>
        <v>170</v>
      </c>
      <c r="E8" s="258"/>
      <c r="F8" s="253"/>
      <c r="G8" s="44">
        <f>'Общие расходы г. Зеленодольск'!F12</f>
        <v>0.92421155651427089</v>
      </c>
      <c r="H8" s="119"/>
      <c r="I8" s="278">
        <f t="shared" si="2"/>
        <v>157.11596460742606</v>
      </c>
    </row>
    <row r="9" spans="1:9" ht="15.75" customHeight="1">
      <c r="A9" s="301"/>
      <c r="B9" s="268"/>
      <c r="C9" s="268"/>
      <c r="D9" s="268"/>
      <c r="E9" s="268"/>
      <c r="F9" s="302"/>
      <c r="G9" s="268"/>
      <c r="H9" s="268"/>
      <c r="I9" s="283">
        <f>SUM(I2:I8)</f>
        <v>14733.539568168981</v>
      </c>
    </row>
    <row r="10" spans="1:9" ht="15.75" customHeight="1">
      <c r="A10" s="39"/>
      <c r="B10" s="55"/>
      <c r="C10" s="55"/>
      <c r="D10" s="55"/>
      <c r="E10" s="55"/>
      <c r="F10" s="39"/>
      <c r="G10" s="55"/>
      <c r="H10" s="55"/>
      <c r="I10" s="55"/>
    </row>
    <row r="12" spans="1:9" ht="15.75" customHeight="1">
      <c r="A12" s="58" t="s">
        <v>205</v>
      </c>
      <c r="B12" s="213">
        <f>'Исходные данные'!B69</f>
        <v>78</v>
      </c>
    </row>
    <row r="13" spans="1:9" ht="15.75" customHeight="1">
      <c r="A13" s="58" t="s">
        <v>206</v>
      </c>
      <c r="B13" s="213">
        <f>'Исходные данные'!C69</f>
        <v>92</v>
      </c>
    </row>
    <row r="14" spans="1:9" ht="15.75" customHeight="1">
      <c r="A14" s="58" t="s">
        <v>207</v>
      </c>
      <c r="B14" s="213">
        <f>'Исходные данные'!D69</f>
        <v>15</v>
      </c>
    </row>
    <row r="15" spans="1:9" ht="15.75" customHeight="1">
      <c r="F15" s="60" t="s">
        <v>323</v>
      </c>
    </row>
    <row r="16" spans="1:9" ht="15.75" customHeight="1">
      <c r="A16" s="333" t="s">
        <v>208</v>
      </c>
      <c r="B16" s="332"/>
      <c r="C16" s="332"/>
      <c r="D16" s="321"/>
    </row>
    <row r="17" spans="1:4" ht="15.75" customHeight="1">
      <c r="A17" s="215" t="s">
        <v>209</v>
      </c>
      <c r="B17" s="216" t="s">
        <v>210</v>
      </c>
      <c r="C17" s="78" t="s">
        <v>5</v>
      </c>
      <c r="D17" s="216" t="s">
        <v>211</v>
      </c>
    </row>
    <row r="18" spans="1:4" ht="15.75" customHeight="1">
      <c r="A18" s="238"/>
      <c r="B18" s="239"/>
      <c r="C18" s="239"/>
      <c r="D18" s="239"/>
    </row>
    <row r="19" spans="1:4" ht="15.75" customHeight="1">
      <c r="A19" s="58"/>
      <c r="B19" s="239"/>
      <c r="C19" s="239"/>
      <c r="D19" s="239"/>
    </row>
    <row r="20" spans="1:4" ht="15.75" customHeight="1">
      <c r="A20" s="241"/>
      <c r="B20" s="239"/>
      <c r="C20" s="239"/>
      <c r="D20" s="239"/>
    </row>
    <row r="21" spans="1:4" ht="15.75" customHeight="1">
      <c r="A21" s="58"/>
      <c r="B21" s="239"/>
      <c r="C21" s="239"/>
      <c r="D21" s="147"/>
    </row>
    <row r="22" spans="1:4" ht="15.75" customHeight="1">
      <c r="A22" s="58"/>
      <c r="B22" s="239"/>
      <c r="C22" s="239"/>
      <c r="D22" s="239"/>
    </row>
    <row r="23" spans="1:4" ht="15.75" customHeight="1">
      <c r="A23" s="27"/>
      <c r="B23" s="61"/>
      <c r="C23" s="61"/>
      <c r="D23" s="61"/>
    </row>
    <row r="24" spans="1:4" ht="15.75" customHeight="1">
      <c r="A24" s="27"/>
      <c r="B24" s="61"/>
      <c r="C24" s="61"/>
      <c r="D24" s="61"/>
    </row>
  </sheetData>
  <mergeCells count="1">
    <mergeCell ref="A16:D16"/>
  </mergeCells>
  <pageMargins left="0.7" right="0.7" top="0.75" bottom="0.75" header="0.3" footer="0.3"/>
  <pageSetup paperSize="9"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0000"/>
    <outlinePr summaryBelow="0" summaryRight="0"/>
  </sheetPr>
  <dimension ref="A1:J25"/>
  <sheetViews>
    <sheetView workbookViewId="0"/>
  </sheetViews>
  <sheetFormatPr baseColWidth="10" defaultColWidth="12.6640625" defaultRowHeight="15.75" customHeight="1"/>
  <cols>
    <col min="1" max="1" width="29.83203125" customWidth="1"/>
    <col min="7" max="7" width="10.1640625" customWidth="1"/>
    <col min="8" max="8" width="15.6640625" customWidth="1"/>
    <col min="9" max="9" width="15.5" customWidth="1"/>
  </cols>
  <sheetData>
    <row r="1" spans="1:10" ht="15.75" customHeight="1">
      <c r="A1" s="314" t="s">
        <v>84</v>
      </c>
      <c r="B1" s="204" t="s">
        <v>195</v>
      </c>
      <c r="C1" s="204" t="s">
        <v>196</v>
      </c>
      <c r="D1" s="204" t="s">
        <v>197</v>
      </c>
      <c r="E1" s="276" t="s">
        <v>4</v>
      </c>
      <c r="F1" s="277" t="s">
        <v>5</v>
      </c>
      <c r="G1" s="277" t="s">
        <v>9</v>
      </c>
      <c r="H1" s="277" t="s">
        <v>6</v>
      </c>
      <c r="I1" s="205" t="s">
        <v>198</v>
      </c>
    </row>
    <row r="2" spans="1:10" ht="15.75" customHeight="1">
      <c r="A2" s="254" t="s">
        <v>293</v>
      </c>
      <c r="B2" s="119">
        <v>104</v>
      </c>
      <c r="C2" s="119">
        <v>23</v>
      </c>
      <c r="D2" s="119"/>
      <c r="E2" s="44">
        <v>66000</v>
      </c>
      <c r="F2" s="255">
        <v>12</v>
      </c>
      <c r="G2" s="119"/>
      <c r="H2" s="119">
        <f t="shared" ref="H2:H6" si="0">E2/F2</f>
        <v>5500</v>
      </c>
      <c r="I2" s="278">
        <f>H2/B2*C2</f>
        <v>1216.3461538461538</v>
      </c>
      <c r="J2" s="227"/>
    </row>
    <row r="3" spans="1:10" ht="15.75" customHeight="1">
      <c r="A3" s="257" t="s">
        <v>315</v>
      </c>
      <c r="B3" s="260"/>
      <c r="C3" s="258"/>
      <c r="D3" s="258"/>
      <c r="E3" s="258">
        <f>74755+650</f>
        <v>75405</v>
      </c>
      <c r="F3" s="259">
        <v>12</v>
      </c>
      <c r="G3" s="260"/>
      <c r="H3" s="258">
        <f t="shared" si="0"/>
        <v>6283.75</v>
      </c>
      <c r="I3" s="278">
        <f t="shared" ref="I3:I6" si="1">H3</f>
        <v>6283.75</v>
      </c>
    </row>
    <row r="4" spans="1:10" ht="15.75" customHeight="1">
      <c r="A4" s="257" t="s">
        <v>324</v>
      </c>
      <c r="B4" s="260"/>
      <c r="C4" s="258"/>
      <c r="D4" s="258"/>
      <c r="E4" s="258"/>
      <c r="F4" s="259">
        <v>12</v>
      </c>
      <c r="G4" s="260"/>
      <c r="H4" s="258">
        <f t="shared" si="0"/>
        <v>0</v>
      </c>
      <c r="I4" s="278">
        <f t="shared" si="1"/>
        <v>0</v>
      </c>
    </row>
    <row r="5" spans="1:10" ht="15.75" customHeight="1">
      <c r="A5" s="73" t="s">
        <v>148</v>
      </c>
      <c r="B5" s="44"/>
      <c r="C5" s="119"/>
      <c r="D5" s="119"/>
      <c r="E5" s="119">
        <f>31776+5500+10000</f>
        <v>47276</v>
      </c>
      <c r="F5" s="255">
        <v>12</v>
      </c>
      <c r="G5" s="44"/>
      <c r="H5" s="258">
        <f t="shared" si="0"/>
        <v>3939.6666666666665</v>
      </c>
      <c r="I5" s="278">
        <f t="shared" si="1"/>
        <v>3939.6666666666665</v>
      </c>
    </row>
    <row r="6" spans="1:10" ht="15.75" customHeight="1">
      <c r="A6" s="254" t="s">
        <v>325</v>
      </c>
      <c r="B6" s="44"/>
      <c r="C6" s="119"/>
      <c r="D6" s="119"/>
      <c r="E6" s="119"/>
      <c r="F6" s="255">
        <v>12</v>
      </c>
      <c r="G6" s="44"/>
      <c r="H6" s="119">
        <f t="shared" si="0"/>
        <v>0</v>
      </c>
      <c r="I6" s="278">
        <f t="shared" si="1"/>
        <v>0</v>
      </c>
    </row>
    <row r="7" spans="1:10" ht="15.75" customHeight="1">
      <c r="A7" s="254" t="s">
        <v>152</v>
      </c>
      <c r="B7" s="44"/>
      <c r="C7" s="119"/>
      <c r="D7" s="300">
        <f>B14</f>
        <v>440</v>
      </c>
      <c r="E7" s="119"/>
      <c r="F7" s="255"/>
      <c r="G7" s="44">
        <f>'Общие расходы ГЭ'!G16</f>
        <v>9.1731976502919679</v>
      </c>
      <c r="H7" s="119"/>
      <c r="I7" s="278">
        <f t="shared" ref="I7:I9" si="2">D7*G7</f>
        <v>4036.2069661284659</v>
      </c>
    </row>
    <row r="8" spans="1:10" ht="15.75" customHeight="1">
      <c r="A8" s="254" t="s">
        <v>290</v>
      </c>
      <c r="B8" s="44"/>
      <c r="C8" s="119"/>
      <c r="D8" s="300">
        <f>B14</f>
        <v>440</v>
      </c>
      <c r="E8" s="119"/>
      <c r="F8" s="255"/>
      <c r="G8" s="44">
        <f>'Общие расходы г. Инно'!F4</f>
        <v>1.6890710382513661</v>
      </c>
      <c r="H8" s="119"/>
      <c r="I8" s="278">
        <f t="shared" si="2"/>
        <v>743.19125683060111</v>
      </c>
    </row>
    <row r="9" spans="1:10" ht="15.75" customHeight="1">
      <c r="A9" s="254" t="s">
        <v>292</v>
      </c>
      <c r="B9" s="44"/>
      <c r="C9" s="119"/>
      <c r="D9" s="300">
        <f>B14</f>
        <v>440</v>
      </c>
      <c r="E9" s="258"/>
      <c r="F9" s="255"/>
      <c r="G9" s="44">
        <f>'Общие расходы г. Зеленодольск'!F12</f>
        <v>0.92421155651427089</v>
      </c>
      <c r="H9" s="119"/>
      <c r="I9" s="278">
        <f t="shared" si="2"/>
        <v>406.65308486627919</v>
      </c>
    </row>
    <row r="10" spans="1:10" ht="15.75" customHeight="1">
      <c r="A10" s="303"/>
      <c r="B10" s="304"/>
      <c r="C10" s="304"/>
      <c r="D10" s="304"/>
      <c r="E10" s="304"/>
      <c r="F10" s="146"/>
      <c r="G10" s="304"/>
      <c r="H10" s="304"/>
      <c r="I10" s="256">
        <f>SUM(I2:I9)</f>
        <v>16625.814128338166</v>
      </c>
    </row>
    <row r="11" spans="1:10" ht="15.75" customHeight="1">
      <c r="A11" s="315"/>
      <c r="B11" s="316"/>
      <c r="C11" s="55"/>
      <c r="D11" s="55"/>
      <c r="E11" s="55"/>
      <c r="F11" s="39"/>
      <c r="G11" s="55"/>
      <c r="H11" s="55"/>
      <c r="I11" s="55"/>
    </row>
    <row r="13" spans="1:10" ht="15.75" customHeight="1">
      <c r="A13" s="58" t="s">
        <v>326</v>
      </c>
      <c r="B13" s="213">
        <f>'Исходные данные'!B70</f>
        <v>0</v>
      </c>
    </row>
    <row r="14" spans="1:10" ht="15.75" customHeight="1">
      <c r="A14" s="58" t="s">
        <v>206</v>
      </c>
      <c r="B14" s="213">
        <f>'Исходные данные'!C70</f>
        <v>440</v>
      </c>
    </row>
    <row r="15" spans="1:10" ht="15.75" customHeight="1">
      <c r="A15" s="58" t="s">
        <v>207</v>
      </c>
      <c r="B15" s="213">
        <v>0</v>
      </c>
      <c r="G15" s="60" t="s">
        <v>327</v>
      </c>
    </row>
    <row r="17" spans="1:4" ht="15.75" customHeight="1">
      <c r="A17" s="333" t="s">
        <v>208</v>
      </c>
      <c r="B17" s="332"/>
      <c r="C17" s="332"/>
      <c r="D17" s="321"/>
    </row>
    <row r="18" spans="1:4" ht="15.75" customHeight="1">
      <c r="A18" s="215" t="s">
        <v>209</v>
      </c>
      <c r="B18" s="216" t="s">
        <v>210</v>
      </c>
      <c r="C18" s="78" t="s">
        <v>5</v>
      </c>
      <c r="D18" s="216" t="s">
        <v>211</v>
      </c>
    </row>
    <row r="19" spans="1:4" ht="15.75" customHeight="1">
      <c r="A19" s="238"/>
      <c r="B19" s="239"/>
      <c r="C19" s="239"/>
      <c r="D19" s="239"/>
    </row>
    <row r="20" spans="1:4" ht="15.75" customHeight="1">
      <c r="A20" s="58"/>
      <c r="B20" s="239"/>
      <c r="C20" s="239"/>
      <c r="D20" s="239"/>
    </row>
    <row r="21" spans="1:4" ht="15.75" customHeight="1">
      <c r="A21" s="241"/>
      <c r="B21" s="239"/>
      <c r="C21" s="239"/>
      <c r="D21" s="239"/>
    </row>
    <row r="22" spans="1:4" ht="15.75" customHeight="1">
      <c r="A22" s="58"/>
      <c r="B22" s="239"/>
      <c r="C22" s="239"/>
      <c r="D22" s="147"/>
    </row>
    <row r="23" spans="1:4" ht="15.75" customHeight="1">
      <c r="A23" s="58"/>
      <c r="B23" s="239"/>
      <c r="C23" s="239"/>
      <c r="D23" s="239"/>
    </row>
    <row r="24" spans="1:4" ht="15.75" customHeight="1">
      <c r="A24" s="27"/>
      <c r="B24" s="61"/>
      <c r="C24" s="61"/>
      <c r="D24" s="61"/>
    </row>
    <row r="25" spans="1:4" ht="15.75" customHeight="1">
      <c r="A25" s="27"/>
      <c r="B25" s="61"/>
      <c r="C25" s="61"/>
      <c r="D25" s="61"/>
    </row>
  </sheetData>
  <mergeCells count="1">
    <mergeCell ref="A17:D17"/>
  </mergeCells>
  <pageMargins left="0.7" right="0.7" top="0.75" bottom="0.75" header="0.3" footer="0.3"/>
  <pageSetup paperSize="9"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I22"/>
  <sheetViews>
    <sheetView workbookViewId="0"/>
  </sheetViews>
  <sheetFormatPr baseColWidth="10" defaultColWidth="12.6640625" defaultRowHeight="15.75" customHeight="1"/>
  <cols>
    <col min="1" max="1" width="25" customWidth="1"/>
    <col min="7" max="7" width="8.83203125" customWidth="1"/>
    <col min="8" max="8" width="15.1640625" customWidth="1"/>
    <col min="9" max="9" width="16.6640625" customWidth="1"/>
  </cols>
  <sheetData>
    <row r="1" spans="1:9" ht="15.75" customHeight="1">
      <c r="A1" s="275" t="s">
        <v>140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9" ht="15.75" customHeight="1">
      <c r="A2" s="254" t="s">
        <v>293</v>
      </c>
      <c r="B2" s="44">
        <v>0</v>
      </c>
      <c r="C2" s="44">
        <v>0</v>
      </c>
      <c r="D2" s="44"/>
      <c r="E2" s="44">
        <v>25800</v>
      </c>
      <c r="F2" s="253">
        <v>12</v>
      </c>
      <c r="G2" s="119"/>
      <c r="H2" s="44">
        <f t="shared" ref="H2:H3" si="0">E2/F2</f>
        <v>2150</v>
      </c>
      <c r="I2" s="278">
        <f t="shared" ref="I2:I3" si="1">H2</f>
        <v>2150</v>
      </c>
    </row>
    <row r="3" spans="1:9" ht="15.75" customHeight="1">
      <c r="A3" s="257" t="s">
        <v>259</v>
      </c>
      <c r="B3" s="260"/>
      <c r="C3" s="258"/>
      <c r="D3" s="258"/>
      <c r="E3" s="258"/>
      <c r="F3" s="281">
        <v>12</v>
      </c>
      <c r="G3" s="260"/>
      <c r="H3" s="258">
        <f t="shared" si="0"/>
        <v>0</v>
      </c>
      <c r="I3" s="278">
        <f t="shared" si="1"/>
        <v>0</v>
      </c>
    </row>
    <row r="4" spans="1:9" ht="15.75" customHeight="1">
      <c r="A4" s="73" t="s">
        <v>148</v>
      </c>
      <c r="B4" s="44"/>
      <c r="C4" s="119"/>
      <c r="D4" s="300"/>
      <c r="E4" s="119">
        <v>0</v>
      </c>
      <c r="F4" s="253"/>
      <c r="G4" s="44"/>
      <c r="H4" s="119"/>
      <c r="I4" s="278"/>
    </row>
    <row r="5" spans="1:9" ht="15.75" customHeight="1">
      <c r="A5" s="254" t="s">
        <v>152</v>
      </c>
      <c r="B5" s="44"/>
      <c r="C5" s="119"/>
      <c r="D5" s="300">
        <f>B10</f>
        <v>1115</v>
      </c>
      <c r="E5" s="119"/>
      <c r="F5" s="253"/>
      <c r="G5" s="44">
        <f>'Общие расходы ГЭ'!G16</f>
        <v>9.1731976502919679</v>
      </c>
      <c r="H5" s="119"/>
      <c r="I5" s="278">
        <f t="shared" ref="I5:I7" si="2">D5*G5</f>
        <v>10228.115380075544</v>
      </c>
    </row>
    <row r="6" spans="1:9" ht="15.75" customHeight="1">
      <c r="A6" s="254" t="s">
        <v>290</v>
      </c>
      <c r="B6" s="44"/>
      <c r="C6" s="119"/>
      <c r="D6" s="300">
        <f>B10</f>
        <v>1115</v>
      </c>
      <c r="E6" s="119"/>
      <c r="F6" s="253"/>
      <c r="G6" s="44">
        <f>'Общие расходы г. Инно'!F4</f>
        <v>1.6890710382513661</v>
      </c>
      <c r="H6" s="119"/>
      <c r="I6" s="278">
        <f t="shared" si="2"/>
        <v>1883.3142076502731</v>
      </c>
    </row>
    <row r="7" spans="1:9" ht="15.75" customHeight="1">
      <c r="A7" s="254" t="s">
        <v>292</v>
      </c>
      <c r="B7" s="44"/>
      <c r="C7" s="119"/>
      <c r="D7" s="300">
        <f>B10</f>
        <v>1115</v>
      </c>
      <c r="E7" s="258"/>
      <c r="F7" s="253"/>
      <c r="G7" s="44"/>
      <c r="H7" s="119"/>
      <c r="I7" s="278">
        <f t="shared" si="2"/>
        <v>0</v>
      </c>
    </row>
    <row r="8" spans="1:9" ht="15.75" customHeight="1">
      <c r="A8" s="301"/>
      <c r="B8" s="268"/>
      <c r="C8" s="268"/>
      <c r="D8" s="268"/>
      <c r="E8" s="268"/>
      <c r="F8" s="302"/>
      <c r="G8" s="268"/>
      <c r="H8" s="268"/>
      <c r="I8" s="278">
        <f>SUM(I2:I7)</f>
        <v>14261.429587725817</v>
      </c>
    </row>
    <row r="10" spans="1:9" ht="15.75" customHeight="1">
      <c r="A10" s="58" t="s">
        <v>328</v>
      </c>
      <c r="B10" s="213">
        <f>'Исходные данные'!B65</f>
        <v>1115</v>
      </c>
    </row>
    <row r="11" spans="1:9" ht="15.75" customHeight="1">
      <c r="A11" s="58" t="s">
        <v>206</v>
      </c>
      <c r="B11" s="213">
        <f>'Исходные данные'!C65</f>
        <v>0</v>
      </c>
    </row>
    <row r="12" spans="1:9" ht="15.75" customHeight="1">
      <c r="A12" s="58" t="s">
        <v>207</v>
      </c>
      <c r="B12" s="213">
        <f>'Исходные данные'!D66</f>
        <v>46</v>
      </c>
    </row>
    <row r="14" spans="1:9" ht="15.75" customHeight="1">
      <c r="A14" s="333" t="s">
        <v>208</v>
      </c>
      <c r="B14" s="332"/>
      <c r="C14" s="332"/>
      <c r="D14" s="321"/>
    </row>
    <row r="15" spans="1:9" ht="15.75" customHeight="1">
      <c r="A15" s="215" t="s">
        <v>209</v>
      </c>
      <c r="B15" s="216" t="s">
        <v>210</v>
      </c>
      <c r="C15" s="78" t="s">
        <v>5</v>
      </c>
      <c r="D15" s="216" t="s">
        <v>211</v>
      </c>
    </row>
    <row r="16" spans="1:9" ht="15.75" customHeight="1">
      <c r="A16" s="238"/>
      <c r="B16" s="239"/>
      <c r="C16" s="239"/>
      <c r="D16" s="239"/>
    </row>
    <row r="17" spans="1:4" ht="15.75" customHeight="1">
      <c r="A17" s="58"/>
      <c r="B17" s="239"/>
      <c r="C17" s="239"/>
      <c r="D17" s="239"/>
    </row>
    <row r="18" spans="1:4" ht="15.75" customHeight="1">
      <c r="A18" s="241"/>
      <c r="B18" s="239"/>
      <c r="C18" s="239"/>
      <c r="D18" s="239"/>
    </row>
    <row r="19" spans="1:4" ht="15.75" customHeight="1">
      <c r="A19" s="58"/>
      <c r="B19" s="239"/>
      <c r="C19" s="239"/>
      <c r="D19" s="147"/>
    </row>
    <row r="20" spans="1:4" ht="15.75" customHeight="1">
      <c r="A20" s="58"/>
      <c r="B20" s="239"/>
      <c r="C20" s="239"/>
      <c r="D20" s="239"/>
    </row>
    <row r="21" spans="1:4" ht="15.75" customHeight="1">
      <c r="A21" s="27"/>
      <c r="B21" s="61"/>
      <c r="C21" s="61"/>
      <c r="D21" s="61"/>
    </row>
    <row r="22" spans="1:4" ht="15.75" customHeight="1">
      <c r="A22" s="27"/>
      <c r="B22" s="61"/>
      <c r="C22" s="61"/>
      <c r="D22" s="61"/>
    </row>
  </sheetData>
  <mergeCells count="1">
    <mergeCell ref="A14:D14"/>
  </mergeCells>
  <pageMargins left="0.7" right="0.7" top="0.75" bottom="0.75" header="0.3" footer="0.3"/>
  <pageSetup paperSize="9"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I22"/>
  <sheetViews>
    <sheetView workbookViewId="0"/>
  </sheetViews>
  <sheetFormatPr baseColWidth="10" defaultColWidth="12.6640625" defaultRowHeight="15.75" customHeight="1"/>
  <cols>
    <col min="1" max="1" width="25" customWidth="1"/>
    <col min="7" max="7" width="8.83203125" customWidth="1"/>
    <col min="8" max="8" width="15.1640625" customWidth="1"/>
    <col min="9" max="9" width="16.6640625" customWidth="1"/>
  </cols>
  <sheetData>
    <row r="1" spans="1:9" ht="15.75" customHeight="1">
      <c r="A1" s="275" t="s">
        <v>74</v>
      </c>
      <c r="B1" s="204" t="s">
        <v>195</v>
      </c>
      <c r="C1" s="204" t="s">
        <v>196</v>
      </c>
      <c r="D1" s="204" t="s">
        <v>197</v>
      </c>
      <c r="E1" s="37" t="s">
        <v>4</v>
      </c>
      <c r="F1" s="38" t="s">
        <v>5</v>
      </c>
      <c r="G1" s="277" t="s">
        <v>9</v>
      </c>
      <c r="H1" s="38" t="s">
        <v>6</v>
      </c>
      <c r="I1" s="205" t="s">
        <v>198</v>
      </c>
    </row>
    <row r="2" spans="1:9" ht="15.75" customHeight="1">
      <c r="A2" s="254" t="s">
        <v>293</v>
      </c>
      <c r="B2" s="289">
        <f>'Исходные данные'!D53</f>
        <v>635</v>
      </c>
      <c r="C2" s="289">
        <f>'Исходные данные'!D51</f>
        <v>4</v>
      </c>
      <c r="D2" s="44"/>
      <c r="E2" s="44">
        <v>902051</v>
      </c>
      <c r="F2" s="253">
        <v>12</v>
      </c>
      <c r="G2" s="119"/>
      <c r="H2" s="44">
        <f t="shared" ref="H2:H4" si="0">E2/F2</f>
        <v>75170.916666666672</v>
      </c>
      <c r="I2" s="278">
        <f>H2/B2*C2</f>
        <v>473.5175853018373</v>
      </c>
    </row>
    <row r="3" spans="1:9" ht="15.75" customHeight="1">
      <c r="A3" s="257" t="s">
        <v>315</v>
      </c>
      <c r="B3" s="260"/>
      <c r="C3" s="258"/>
      <c r="D3" s="317"/>
      <c r="E3" s="258">
        <v>14925</v>
      </c>
      <c r="F3" s="281">
        <v>12</v>
      </c>
      <c r="G3" s="260"/>
      <c r="H3" s="258">
        <f t="shared" si="0"/>
        <v>1243.75</v>
      </c>
      <c r="I3" s="278">
        <f t="shared" ref="I3:I4" si="1">H3</f>
        <v>1243.75</v>
      </c>
    </row>
    <row r="4" spans="1:9" ht="15.75" customHeight="1">
      <c r="A4" s="257" t="s">
        <v>313</v>
      </c>
      <c r="B4" s="260"/>
      <c r="C4" s="258"/>
      <c r="D4" s="317"/>
      <c r="E4" s="258">
        <v>26666</v>
      </c>
      <c r="F4" s="281">
        <v>12</v>
      </c>
      <c r="G4" s="260"/>
      <c r="H4" s="258">
        <f t="shared" si="0"/>
        <v>2222.1666666666665</v>
      </c>
      <c r="I4" s="278">
        <f t="shared" si="1"/>
        <v>2222.1666666666665</v>
      </c>
    </row>
    <row r="5" spans="1:9" ht="15.75" customHeight="1">
      <c r="A5" s="254" t="s">
        <v>152</v>
      </c>
      <c r="B5" s="44"/>
      <c r="C5" s="119"/>
      <c r="D5" s="298">
        <f>B10</f>
        <v>105</v>
      </c>
      <c r="E5" s="119"/>
      <c r="F5" s="253"/>
      <c r="G5" s="44">
        <f>'Общие расходы ГЭ'!G16</f>
        <v>9.1731976502919679</v>
      </c>
      <c r="H5" s="119"/>
      <c r="I5" s="278">
        <f t="shared" ref="I5:I7" si="2">D5*G5</f>
        <v>963.18575328065663</v>
      </c>
    </row>
    <row r="6" spans="1:9" ht="15.75" customHeight="1">
      <c r="A6" s="254" t="s">
        <v>290</v>
      </c>
      <c r="B6" s="44"/>
      <c r="C6" s="119"/>
      <c r="D6" s="298">
        <f>B10</f>
        <v>105</v>
      </c>
      <c r="E6" s="119"/>
      <c r="F6" s="253"/>
      <c r="G6" s="44">
        <f>'Общие расходы г. Инно'!F4</f>
        <v>1.6890710382513661</v>
      </c>
      <c r="H6" s="119"/>
      <c r="I6" s="278">
        <f t="shared" si="2"/>
        <v>177.35245901639342</v>
      </c>
    </row>
    <row r="7" spans="1:9" ht="15.75" customHeight="1">
      <c r="A7" s="254" t="s">
        <v>292</v>
      </c>
      <c r="B7" s="44"/>
      <c r="C7" s="119"/>
      <c r="D7" s="298">
        <f>B10</f>
        <v>105</v>
      </c>
      <c r="E7" s="258"/>
      <c r="F7" s="253"/>
      <c r="G7" s="44">
        <f>'Общие расходы г. Зеленодольск'!F12</f>
        <v>0.92421155651427089</v>
      </c>
      <c r="H7" s="119"/>
      <c r="I7" s="278">
        <f t="shared" si="2"/>
        <v>97.042213433998441</v>
      </c>
    </row>
    <row r="8" spans="1:9" ht="15.75" customHeight="1">
      <c r="A8" s="301"/>
      <c r="B8" s="268"/>
      <c r="C8" s="268"/>
      <c r="D8" s="268"/>
      <c r="E8" s="268"/>
      <c r="F8" s="302"/>
      <c r="G8" s="268"/>
      <c r="H8" s="268"/>
      <c r="I8" s="283">
        <f>SUM(I2:I7)</f>
        <v>5177.0146776995525</v>
      </c>
    </row>
    <row r="10" spans="1:9" ht="15.75" customHeight="1">
      <c r="A10" s="58" t="s">
        <v>326</v>
      </c>
      <c r="B10" s="213">
        <f>'Исходные данные'!B64</f>
        <v>105</v>
      </c>
    </row>
    <row r="11" spans="1:9" ht="15.75" customHeight="1">
      <c r="A11" s="58" t="s">
        <v>206</v>
      </c>
      <c r="B11" s="213">
        <f>'Исходные данные'!C64</f>
        <v>0</v>
      </c>
    </row>
    <row r="12" spans="1:9" ht="15.75" customHeight="1">
      <c r="A12" s="58" t="s">
        <v>207</v>
      </c>
      <c r="B12" s="213">
        <f>'Исходные данные'!D64</f>
        <v>4</v>
      </c>
    </row>
    <row r="14" spans="1:9" ht="15.75" customHeight="1">
      <c r="A14" s="333" t="s">
        <v>208</v>
      </c>
      <c r="B14" s="332"/>
      <c r="C14" s="332"/>
      <c r="D14" s="321"/>
    </row>
    <row r="15" spans="1:9" ht="15.75" customHeight="1">
      <c r="A15" s="215" t="s">
        <v>209</v>
      </c>
      <c r="B15" s="216" t="s">
        <v>210</v>
      </c>
      <c r="C15" s="78" t="s">
        <v>5</v>
      </c>
      <c r="D15" s="216" t="s">
        <v>211</v>
      </c>
    </row>
    <row r="16" spans="1:9" ht="15.75" customHeight="1">
      <c r="A16" s="238"/>
      <c r="B16" s="239"/>
      <c r="C16" s="239"/>
      <c r="D16" s="239"/>
    </row>
    <row r="17" spans="1:4" ht="15.75" customHeight="1">
      <c r="A17" s="58"/>
      <c r="B17" s="239"/>
      <c r="C17" s="239"/>
      <c r="D17" s="239"/>
    </row>
    <row r="18" spans="1:4" ht="15.75" customHeight="1">
      <c r="A18" s="241"/>
      <c r="B18" s="239"/>
      <c r="C18" s="239"/>
      <c r="D18" s="239"/>
    </row>
    <row r="19" spans="1:4" ht="15.75" customHeight="1">
      <c r="A19" s="58"/>
      <c r="B19" s="239"/>
      <c r="C19" s="239"/>
      <c r="D19" s="147"/>
    </row>
    <row r="20" spans="1:4" ht="15.75" customHeight="1">
      <c r="A20" s="58"/>
      <c r="B20" s="239"/>
      <c r="C20" s="239"/>
      <c r="D20" s="239"/>
    </row>
    <row r="21" spans="1:4" ht="15.75" customHeight="1">
      <c r="A21" s="27"/>
      <c r="B21" s="61"/>
      <c r="C21" s="61"/>
      <c r="D21" s="61"/>
    </row>
    <row r="22" spans="1:4" ht="15.75" customHeight="1">
      <c r="A22" s="27"/>
      <c r="B22" s="61"/>
      <c r="C22" s="61"/>
      <c r="D22" s="61"/>
    </row>
  </sheetData>
  <mergeCells count="1">
    <mergeCell ref="A14:D1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50</vt:i4>
      </vt:variant>
    </vt:vector>
  </HeadingPairs>
  <TitlesOfParts>
    <vt:vector size="50" baseType="lpstr">
      <vt:lpstr>расходы спутника</vt:lpstr>
      <vt:lpstr>Химки</vt:lpstr>
      <vt:lpstr>Общие расходы г. Казань</vt:lpstr>
      <vt:lpstr>Общие расходы г. Тюмень</vt:lpstr>
      <vt:lpstr>Исходные данные</vt:lpstr>
      <vt:lpstr>Общие расходы г. Инно</vt:lpstr>
      <vt:lpstr>Общие расходы г. Зеленодольск</vt:lpstr>
      <vt:lpstr>Общие расходы г. Альметьевск</vt:lpstr>
      <vt:lpstr>Общие расходы ГЭ</vt:lpstr>
      <vt:lpstr>Доход-Расход</vt:lpstr>
      <vt:lpstr>по годам</vt:lpstr>
      <vt:lpstr>Монолит</vt:lpstr>
      <vt:lpstr>Усадьба</vt:lpstr>
      <vt:lpstr>Тобол</vt:lpstr>
      <vt:lpstr>Высота</vt:lpstr>
      <vt:lpstr>Электрон</vt:lpstr>
      <vt:lpstr>Запад</vt:lpstr>
      <vt:lpstr>Вавилон</vt:lpstr>
      <vt:lpstr>Юг</vt:lpstr>
      <vt:lpstr>Суходолье</vt:lpstr>
      <vt:lpstr>Надежное управление</vt:lpstr>
      <vt:lpstr>УК линейная</vt:lpstr>
      <vt:lpstr>ЖЭУ 9</vt:lpstr>
      <vt:lpstr>УК на Ткацком</vt:lpstr>
      <vt:lpstr>УК на пражской</vt:lpstr>
      <vt:lpstr>ЖСУ</vt:lpstr>
      <vt:lpstr>Восток сити</vt:lpstr>
      <vt:lpstr>Аурика </vt:lpstr>
      <vt:lpstr>УК на Полевой</vt:lpstr>
      <vt:lpstr>Ирида</vt:lpstr>
      <vt:lpstr>ТЭСК</vt:lpstr>
      <vt:lpstr>Ладья</vt:lpstr>
      <vt:lpstr>Алсу</vt:lpstr>
      <vt:lpstr>интернет юр лица</vt:lpstr>
      <vt:lpstr>УК Альметьевск</vt:lpstr>
      <vt:lpstr>Новация</vt:lpstr>
      <vt:lpstr>Жилкомплекс</vt:lpstr>
      <vt:lpstr>Радужный_З</vt:lpstr>
      <vt:lpstr>Салават Купере</vt:lpstr>
      <vt:lpstr>ТСЖ №6</vt:lpstr>
      <vt:lpstr>Прямые</vt:lpstr>
      <vt:lpstr>ЖК Моск рай-на</vt:lpstr>
      <vt:lpstr>Радужный (Казань)</vt:lpstr>
      <vt:lpstr>Фукса 12</vt:lpstr>
      <vt:lpstr>ТСЖ Соврменник</vt:lpstr>
      <vt:lpstr>ЭРТХ_К</vt:lpstr>
      <vt:lpstr>Тринити</vt:lpstr>
      <vt:lpstr>ЗИОН</vt:lpstr>
      <vt:lpstr>Жилищный фонд</vt:lpstr>
      <vt:lpstr>СК Иннокомфорт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a26559</cp:lastModifiedBy>
  <cp:lastPrinted>2026-05-19T07:10:52Z</cp:lastPrinted>
  <dcterms:modified xsi:type="dcterms:W3CDTF">2026-05-19T08:05:17Z</dcterms:modified>
</cp:coreProperties>
</file>