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" sheetId="1" r:id="rId5"/>
    <sheet state="visible" name="Альметьевск" sheetId="2" r:id="rId6"/>
    <sheet state="visible" name="Зеленодольск" sheetId="3" r:id="rId7"/>
    <sheet state="visible" name="Казань" sheetId="4" r:id="rId8"/>
    <sheet state="visible" name="Иннополис" sheetId="5" r:id="rId9"/>
    <sheet state="visible" name="Тюмень" sheetId="6" r:id="rId10"/>
    <sheet state="visible" name="Зион" sheetId="7" r:id="rId11"/>
    <sheet state="visible" name="Раниф тест" sheetId="8" r:id="rId12"/>
    <sheet state="visible" name="Марат" sheetId="9" r:id="rId13"/>
  </sheets>
  <definedNames>
    <definedName hidden="1" localSheetId="1" name="_xlnm._FilterDatabase">'Альметьевск'!$A$1:$AB$78</definedName>
    <definedName hidden="1" localSheetId="2" name="_xlnm._FilterDatabase">'Зеленодольск'!$A$1:$AT$997</definedName>
    <definedName hidden="1" localSheetId="3" name="_xlnm._FilterDatabase">'Казань'!$A$1:$AJ$17</definedName>
    <definedName hidden="1" localSheetId="4" name="_xlnm._FilterDatabase">'Иннополис'!$C$1:$M$4</definedName>
    <definedName hidden="1" localSheetId="5" name="_xlnm._FilterDatabase">'Тюмень'!$A$1:$AS$1071</definedName>
    <definedName hidden="1" localSheetId="6" name="_xlnm._FilterDatabase">'Зион'!$B$1:$L$30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tc={a117ad80-1885-4769-9cf3-6223ea17b28d}</author>
  </authors>
  <commentList>
    <comment authorId="0" xr:uid="{a117ad80-1885-4769-9cf3-6223ea17b2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вход 3 подъезд, ключи у главной по дому(42кв) в подвале прямо и налево 8-10 пролетов(между 1 и 2 подъездом)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">
      <text>
        <t xml:space="preserve">admin
slava121212
</t>
      </text>
    </comment>
    <comment authorId="0" ref="H2">
      <text>
        <t xml:space="preserve">физ.лицо	
Фадеев Вячеслав Александрович кв.5,
 8(987)230-64-09</t>
      </text>
    </comment>
    <comment authorId="0" ref="I2">
      <text>
        <t xml:space="preserve">номер ID контракта при оплате</t>
      </text>
    </comment>
    <comment authorId="0" ref="E3">
      <text>
        <t xml:space="preserve">admin
ais321
https://galeeva8.keenetic.link/
admin              admin12345
</t>
      </text>
    </comment>
    <comment authorId="0" ref="G3">
      <text>
        <t xml:space="preserve">деньги нужно закидывать на этот номер: 89196811989</t>
      </text>
    </comment>
    <comment authorId="0" ref="H3">
      <text>
        <t xml:space="preserve">деньги нужно закидывать на этот номер: 89196811989, шаблон</t>
      </text>
    </comment>
    <comment authorId="0" ref="AA3">
      <text>
        <t xml:space="preserve">автоплатеж 19.05</t>
      </text>
    </comment>
    <comment authorId="0" ref="AD3">
      <text>
        <t xml:space="preserve">автоплатеж</t>
      </text>
    </comment>
    <comment authorId="0" ref="E4">
      <text>
        <t xml:space="preserve">admin
ais321
</t>
      </text>
    </comment>
    <comment authorId="0" ref="E5">
      <text>
        <t xml:space="preserve">admin
ais321</t>
      </text>
    </comment>
    <comment authorId="0" ref="G5">
      <text>
        <t xml:space="preserve">на счет перезагрузки роутера звонить сюда, это хозяйка кв +79172651035
</t>
      </text>
    </comment>
    <comment authorId="0" ref="L5">
      <text>
        <t xml:space="preserve">690 стал</t>
      </text>
    </comment>
    <comment authorId="0" ref="AA5">
      <text>
        <t xml:space="preserve">2200 на балансе, оплачено до 06.06.24, внести нужно в эту дату</t>
      </text>
    </comment>
    <comment authorId="0" ref="E6">
      <text>
        <t xml:space="preserve">admin
ais321</t>
      </text>
    </comment>
    <comment authorId="0" ref="E7">
      <text>
        <t xml:space="preserve">admin
ais321
</t>
      </text>
    </comment>
    <comment authorId="0" ref="U7">
      <text>
        <t xml:space="preserve">На сегодняшний день услуги оплачены до 08.10.2024. Следующую оплату можете произвести в эту дату.</t>
      </text>
    </comment>
    <comment authorId="0" ref="E8">
      <text>
        <t xml:space="preserve">admin
ais321
</t>
      </text>
    </comment>
    <comment authorId="0" ref="H8">
      <text>
        <t xml:space="preserve">альфа банк / оплатить/интрнет/татааиснефть/татаиснефть.
</t>
      </text>
    </comment>
    <comment authorId="0" ref="E9">
      <text>
        <t xml:space="preserve">admin
ais321
</t>
      </text>
    </comment>
    <comment authorId="0" ref="G9">
      <text>
        <t xml:space="preserve">житель 
Айгуль, +7(917)263-73-70
</t>
      </text>
    </comment>
    <comment authorId="0" ref="E10">
      <text>
        <t xml:space="preserve">admin
ais321
Роутер дополнительный
http://gal31.keenetic.link</t>
      </text>
    </comment>
    <comment authorId="0" ref="G10">
      <text>
        <t xml:space="preserve"> оплата на номер телефона 89872836671</t>
      </text>
    </comment>
    <comment authorId="0" ref="H10">
      <text>
        <t xml:space="preserve">оплата на номер телефона 89872836671</t>
      </text>
    </comment>
    <comment authorId="0" ref="M10">
      <text>
        <t xml:space="preserve">настроила ьавтоплатеж на 10 число</t>
      </text>
    </comment>
    <comment authorId="0" ref="O10">
      <text>
        <t xml:space="preserve">сделать автоплатеж15.12 </t>
      </text>
    </comment>
    <comment authorId="0" ref="Q10">
      <text>
        <t xml:space="preserve">сделать автоплатеж15.11 </t>
      </text>
    </comment>
    <comment authorId="0" ref="T10">
      <text>
        <t xml:space="preserve">19 оплатила, поэтому 15.10 автоплатежа не будет, деньги уже внесены. 
след платеж 15.11 </t>
      </text>
    </comment>
    <comment authorId="0" ref="U10">
      <text>
        <t xml:space="preserve">автоплатеж на альфе 15.08</t>
      </text>
    </comment>
    <comment authorId="0" ref="W10">
      <text>
        <t xml:space="preserve">автоплатеж на альфе 15.08</t>
      </text>
    </comment>
    <comment authorId="0" ref="Y10">
      <text>
        <t xml:space="preserve">автоплатеж на альфе 15.07</t>
      </text>
    </comment>
    <comment authorId="0" ref="AA10">
      <text>
        <t xml:space="preserve">700 р 15.05 оплатила
700 р автоплатеж на 15.06 альфа настроила</t>
      </text>
    </comment>
    <comment authorId="0" ref="AC10">
      <text>
        <t xml:space="preserve"> оплатить 700</t>
      </text>
    </comment>
    <comment authorId="0" ref="AD10">
      <text>
        <t xml:space="preserve">автоплатеж</t>
      </text>
    </comment>
    <comment authorId="0" ref="AE10">
      <text>
        <t xml:space="preserve">у нас перплата</t>
      </text>
    </comment>
    <comment authorId="0" ref="E11">
      <text>
        <t xml:space="preserve">admin
ais321
</t>
      </text>
    </comment>
    <comment authorId="0" ref="G11">
      <text>
        <t xml:space="preserve"> оплата на номер телефона 89172483195</t>
      </text>
    </comment>
    <comment authorId="0" ref="H11">
      <text>
        <t xml:space="preserve"> оплата на номер телефона 
8 917 248 31 95</t>
      </text>
    </comment>
    <comment authorId="0" ref="AA11">
      <text>
        <t xml:space="preserve">автоплатеж 19.05</t>
      </text>
    </comment>
    <comment authorId="0" ref="AD11">
      <text>
        <t xml:space="preserve">автоплатеж</t>
      </text>
    </comment>
    <comment authorId="0" ref="G12">
      <text>
        <t xml:space="preserve"> оплата на номер телефона 8-960-058-1234</t>
      </text>
    </comment>
    <comment authorId="0" ref="E13">
      <text>
        <t xml:space="preserve">пароль almet20277</t>
      </text>
    </comment>
    <comment authorId="0" ref="G14">
      <text>
        <t xml:space="preserve">необходимо ежемесячно класть деньги на номер 8 986 900 78 87</t>
      </text>
    </comment>
    <comment authorId="0" ref="H14">
      <text>
        <t xml:space="preserve">необходимо ежемесячно класть деньги на номер 8 986 900 78 87</t>
      </text>
    </comment>
    <comment authorId="0" ref="AA14">
      <text>
        <t xml:space="preserve">автоплатеж 19.05</t>
      </text>
    </comment>
    <comment authorId="0" ref="AD14">
      <text>
        <t xml:space="preserve">автоплатеж</t>
      </text>
    </comment>
    <comment authorId="0" ref="G15">
      <text>
        <t xml:space="preserve">на номер </t>
      </text>
    </comment>
    <comment authorId="0" ref="H15">
      <text>
        <t xml:space="preserve">на номер телефона</t>
      </text>
    </comment>
    <comment authorId="0" ref="AA15">
      <text>
        <t xml:space="preserve">автоплатеж 19.05</t>
      </text>
    </comment>
    <comment authorId="0" ref="AD15">
      <text>
        <t xml:space="preserve">автоплатеж</t>
      </text>
    </comment>
    <comment authorId="0" ref="E17">
      <text>
        <t xml:space="preserve">admin
ais321</t>
      </text>
    </comment>
    <comment authorId="0" ref="L17">
      <text>
        <t xml:space="preserve">810 р тариф</t>
      </text>
    </comment>
    <comment authorId="0" ref="E18">
      <text>
        <t xml:space="preserve">admin
ais321</t>
      </text>
    </comment>
    <comment authorId="0" ref="G18">
      <text>
        <t xml:space="preserve">Гульнара 89872218728 
старшая по дому у ее сына роутер стоит в 12 квартире</t>
      </text>
    </comment>
    <comment authorId="0" ref="G19">
      <text>
        <t xml:space="preserve">на номер 8 986 713 05 03</t>
      </text>
    </comment>
    <comment authorId="0" ref="H19">
      <text>
        <t xml:space="preserve">на номер 8 986 713 05 03</t>
      </text>
    </comment>
    <comment authorId="0" ref="M19">
      <text>
        <t xml:space="preserve">за два месяца</t>
      </text>
    </comment>
    <comment authorId="0" ref="AA19">
      <text>
        <t xml:space="preserve">автоплатеж 19.05</t>
      </text>
    </comment>
    <comment authorId="0" ref="AD19">
      <text>
        <t xml:space="preserve">автоплатеж</t>
      </text>
    </comment>
    <comment authorId="0" ref="E20">
      <text>
        <t xml:space="preserve">admin
ais321</t>
      </text>
    </comment>
    <comment authorId="0" ref="E21">
      <text>
        <t xml:space="preserve">admin
ais321</t>
      </text>
    </comment>
    <comment authorId="0" ref="I22">
      <text>
        <t xml:space="preserve">Логин: B107456908 Пароль: B107456908B</t>
      </text>
    </comment>
    <comment authorId="0" ref="K22">
      <text>
        <t xml:space="preserve">автоплатеж на сбере 8 числа каждого месяца</t>
      </text>
    </comment>
    <comment authorId="0" ref="M22">
      <text>
        <t xml:space="preserve">автоплатеж на сбере</t>
      </text>
    </comment>
    <comment authorId="0" ref="O22">
      <text>
        <t xml:space="preserve">сделать автоплатеж на тинькове 8.12</t>
      </text>
    </comment>
    <comment authorId="0" ref="Q22">
      <text>
        <t xml:space="preserve">сделать автоплатеж на тинькове 8.11</t>
      </text>
    </comment>
    <comment authorId="0" ref="S22">
      <text>
        <t xml:space="preserve">автоплатеж на тинькове 8.10</t>
      </text>
    </comment>
    <comment authorId="0" ref="U22">
      <text>
        <t xml:space="preserve">автоплатеж на тинькове 8.09</t>
      </text>
    </comment>
    <comment authorId="0" ref="W22">
      <text>
        <t xml:space="preserve">автоплатеж на тинькове 8.08</t>
      </text>
    </comment>
    <comment authorId="0" ref="Y22">
      <text>
        <t xml:space="preserve">автоплатеж на тинькове</t>
      </text>
    </comment>
    <comment authorId="0" ref="AA22">
      <text>
        <t xml:space="preserve">оплачено 13.05 из кассы
750 поставила автоплатеж на 08.06 на сбер</t>
      </text>
    </comment>
    <comment authorId="0" ref="AC22">
      <text>
        <t xml:space="preserve">уже оплатили 530 = 14.04 (я забираю себе)
и на 13.05 поставить автоплатеж 650р </t>
      </text>
    </comment>
    <comment authorId="0" ref="AE22">
      <text>
        <t xml:space="preserve">
550+100 аб плата и стат адрес, 360 за подключение
оплачен при подключении</t>
      </text>
    </comment>
    <comment authorId="0" ref="E23">
      <text>
        <t xml:space="preserve">admin
ais321</t>
      </text>
    </comment>
    <comment authorId="0" ref="H24">
      <text>
        <t xml:space="preserve">по номеру телефона
 8 986 712 43 13 </t>
      </text>
    </comment>
    <comment authorId="0" ref="L24">
      <text>
        <t xml:space="preserve"> </t>
      </text>
    </comment>
    <comment authorId="0" ref="M24">
      <text>
        <t xml:space="preserve">автоплатеж на 7 число </t>
      </text>
    </comment>
    <comment authorId="0" ref="O24">
      <text>
        <t xml:space="preserve">поставить автоплатеж на 07.12 на альфу
</t>
      </text>
    </comment>
    <comment authorId="0" ref="Q24">
      <text>
        <t xml:space="preserve">поставить автоплатеж на 07.11 на альфу
</t>
      </text>
    </comment>
    <comment authorId="0" ref="T24">
      <text>
        <t xml:space="preserve">19 оплатила, поэтому 07.10 автоплатежа не будет, деньги уже внесены. 
след платеж 07.11 </t>
      </text>
    </comment>
    <comment authorId="0" ref="U24">
      <text>
        <t xml:space="preserve">07.09 автоплатеж на альфе</t>
      </text>
    </comment>
    <comment authorId="0" ref="W24">
      <text>
        <t xml:space="preserve">07.08 автоплатеж на альфе</t>
      </text>
    </comment>
    <comment authorId="0" ref="Y24">
      <text>
        <t xml:space="preserve">07.07 автоплатеж на альфе</t>
      </text>
    </comment>
    <comment authorId="0" ref="AA24">
      <text>
        <t xml:space="preserve">заказать все равно для автоплатежа, автоплатеж будет 07.06 на альфе</t>
      </text>
    </comment>
    <comment authorId="0" ref="AD24">
      <text>
        <t xml:space="preserve">автоплатеж</t>
      </text>
    </comment>
    <comment authorId="0" ref="AE24">
      <text>
        <t xml:space="preserve">640 абон плата и 150 интернет сразу эту сумму запросить</t>
      </text>
    </comment>
    <comment authorId="0" ref="E27">
      <text>
        <t xml:space="preserve">admin
ais321</t>
      </text>
    </comment>
    <comment authorId="0" ref="E28">
      <text>
        <t xml:space="preserve">admin
ais321</t>
      </text>
    </comment>
    <comment authorId="0" ref="E29">
      <text>
        <t xml:space="preserve">admin
ais321</t>
      </text>
    </comment>
    <comment authorId="0" ref="C30">
      <text>
        <t xml:space="preserve">Новиков сад литер 1 3 подъезд квартира 80. </t>
      </text>
    </comment>
    <comment authorId="0" ref="E30">
      <text>
        <t xml:space="preserve">admin
ais321</t>
      </text>
    </comment>
    <comment authorId="0" ref="G30">
      <text>
        <t xml:space="preserve">9216 040851
Отделом УФИС России Респ Татарстан в Альметьевском районе, 24.03.16. Код подр 160-019</t>
      </text>
    </comment>
    <comment authorId="0" ref="M31">
      <text>
        <t xml:space="preserve">20.12 и 19.01</t>
      </text>
    </comment>
    <comment authorId="0" ref="O31">
      <text>
        <t xml:space="preserve">осталось с прошлого месяца</t>
      </text>
    </comment>
    <comment authorId="0" ref="G32">
      <text>
        <t xml:space="preserve">оплачивать на номер телефона 840 (оплата мобильной связи)
8 917 393 60 18</t>
      </text>
    </comment>
    <comment authorId="0" ref="H32">
      <text>
        <t xml:space="preserve">оплачивать на номер телефона 840 (оплата мобильной связи)</t>
      </text>
    </comment>
    <comment authorId="0" ref="M32">
      <text>
        <t xml:space="preserve">оставить автоплатеж на 07.01 на альфу
</t>
      </text>
    </comment>
    <comment authorId="0" ref="O32">
      <text>
        <t xml:space="preserve">сдеалть авто платеж 10.12 альфа</t>
      </text>
    </comment>
    <comment authorId="0" ref="Q32">
      <text>
        <t xml:space="preserve">сдеалть авто платеж 10.11 альфа</t>
      </text>
    </comment>
    <comment authorId="0" ref="T32">
      <text>
        <t xml:space="preserve">19 оплатила, поэтому 10.10 автоплатежа не будет, деньги уже внесены. 
след платеж 10.11 </t>
      </text>
    </comment>
    <comment authorId="0" ref="U32">
      <text>
        <t xml:space="preserve">автоплатеж на альфе 10.09</t>
      </text>
    </comment>
    <comment authorId="0" ref="W32">
      <text>
        <t xml:space="preserve">автоплатеж на альфе 10.08</t>
      </text>
    </comment>
    <comment authorId="0" ref="Y32">
      <text>
        <t xml:space="preserve">автоплатеж на альфе 10.07</t>
      </text>
    </comment>
    <comment authorId="0" ref="AA32">
      <text>
        <t xml:space="preserve">840 14.05 оплатила 
840 для автоплатежа на 10.06 на альфу 
</t>
      </text>
    </comment>
    <comment authorId="0" ref="E33">
      <text>
        <t xml:space="preserve">admin	роутер в лифт 1 под	ais321	http://gaf66.keenetic.link
admin	роутер в лифт 2 под	ais321	http://gaf66l2.keenetic.link</t>
      </text>
    </comment>
    <comment authorId="0" ref="G33">
      <text>
        <t xml:space="preserve"> оплата на номер телефона 89178648932</t>
      </text>
    </comment>
    <comment authorId="0" ref="H33">
      <text>
        <t xml:space="preserve"> оплата на номер телефона 89178648932</t>
      </text>
    </comment>
    <comment authorId="0" ref="AA33">
      <text>
        <t xml:space="preserve">автоплатеж 19.05</t>
      </text>
    </comment>
    <comment authorId="0" ref="AD33">
      <text>
        <t xml:space="preserve">автоплатеж</t>
      </text>
    </comment>
    <comment authorId="0" ref="E34">
      <text>
        <t xml:space="preserve">admin	роутер в лифт 1 под	ais321	http://gaf66.keenetic.link
admin	роутер в лифт 2 под	ais321	http://gaf66l2.keenetic.link</t>
      </text>
    </comment>
    <comment authorId="0" ref="H34">
      <text>
        <t xml:space="preserve">заходить в лк, через код, ввести номер номер 76162332480 и там брать счет </t>
      </text>
    </comment>
    <comment authorId="0" ref="E35">
      <text>
        <t xml:space="preserve">admin
ais321
http://zaripova5.keenetic.link
</t>
      </text>
    </comment>
    <comment authorId="0" ref="G35">
      <text>
        <t xml:space="preserve">по лицевому счету </t>
      </text>
    </comment>
    <comment authorId="0" ref="H35">
      <text>
        <t xml:space="preserve">по лицевому счету  310 306 317 61
платежи/МТС и ТГТС/по лиц счету </t>
      </text>
    </comment>
    <comment authorId="0" ref="U35">
      <text>
        <t xml:space="preserve">1070 внесла изи своих 17.08, забрать потом</t>
      </text>
    </comment>
    <comment authorId="0" ref="AG35">
      <text>
        <t xml:space="preserve">965 надо оплатить в марте, так как у нас преплата была </t>
      </text>
    </comment>
    <comment authorId="0" ref="E36">
      <text>
        <t xml:space="preserve">admin
ais321
</t>
      </text>
    </comment>
    <comment authorId="0" ref="E37">
      <text>
        <t xml:space="preserve">admin
ais321
</t>
      </text>
    </comment>
    <comment authorId="0" ref="E38">
      <text>
        <t xml:space="preserve">admin
ais321
</t>
      </text>
    </comment>
    <comment authorId="0" ref="E39">
      <text>
        <t xml:space="preserve">admin
admin</t>
      </text>
    </comment>
    <comment authorId="0" ref="E40">
      <text>
        <t xml:space="preserve">admin
ais321</t>
      </text>
    </comment>
    <comment authorId="0" ref="G40">
      <text>
        <t xml:space="preserve">лучше его не беспокоить звонками</t>
      </text>
    </comment>
    <comment authorId="0" ref="H40">
      <text>
        <t xml:space="preserve"> оплата на номер телефона 8(917)859-10-55</t>
      </text>
    </comment>
    <comment authorId="0" ref="AA40">
      <text>
        <t xml:space="preserve">автоплатеж 19.05</t>
      </text>
    </comment>
    <comment authorId="0" ref="AD40">
      <text>
        <t xml:space="preserve">автоплатеж</t>
      </text>
    </comment>
    <comment authorId="0" ref="AA47">
      <text>
        <t xml:space="preserve">заказала</t>
      </text>
    </comment>
    <comment authorId="0" ref="AA48">
      <text>
        <t xml:space="preserve">в итоге оплатила</t>
      </text>
    </comment>
    <comment authorId="0" ref="O49">
      <text>
        <t xml:space="preserve">вернула за декабристов 127</t>
      </text>
    </comment>
    <comment authorId="0" ref="O50">
      <text>
        <t xml:space="preserve">откуда то остались лишние, тоже вернула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E3">
      <text>
        <t xml:space="preserve">670 + 30 р доплатила </t>
      </text>
    </comment>
    <comment authorId="0" ref="G6">
      <text>
        <t xml:space="preserve">оплату вносить на номер 89656215520</t>
      </text>
    </comment>
    <comment authorId="0" ref="H6">
      <text>
        <t xml:space="preserve">оплату вносить на номер 89656215520 (пополнять на сбер)</t>
      </text>
    </comment>
    <comment authorId="0" ref="E16">
      <text>
        <t xml:space="preserve">логин admin
пароль password1</t>
      </text>
    </comment>
    <comment authorId="0" ref="E17">
      <text>
        <t xml:space="preserve">логин admin
пароль password1</t>
      </text>
    </comment>
    <comment authorId="0" ref="E18">
      <text>
        <t xml:space="preserve">логин admin
пароль password1</t>
      </text>
    </comment>
    <comment authorId="0" ref="E20">
      <text>
        <t xml:space="preserve">Логин: ivleva.kate@sputnik.systems
Пароль: CgenybrAfhtdf/</t>
      </text>
    </comment>
    <comment authorId="0" ref="H20">
      <text>
        <t xml:space="preserve">мы это не оплачиваем </t>
      </text>
    </comment>
    <comment authorId="0" ref="L20">
      <text>
        <t xml:space="preserve">мы это не оплачиваем</t>
      </text>
    </comment>
    <comment authorId="0" ref="Q24">
      <text>
        <t xml:space="preserve">хватает оплаты в лк</t>
      </text>
    </comment>
    <comment authorId="0" ref="S24">
      <text>
        <t xml:space="preserve">хватает оплаты в лк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Назира апа, 2 под 5 этаж около лифта квартира</t>
      </text>
    </comment>
    <comment authorId="0" ref="H3">
      <text>
        <t xml:space="preserve">v1966586
bn7k4epf</t>
      </text>
    </comment>
    <comment authorId="0" ref="I3">
      <text>
        <t xml:space="preserve">пароль r3fb8b5w</t>
      </text>
    </comment>
    <comment authorId="0" ref="K4">
      <text>
        <t xml:space="preserve">житель попросил оплачивать до 5 числа </t>
      </text>
    </comment>
    <comment authorId="0" ref="H5">
      <text>
        <t xml:space="preserve">+7 917 865 36 30 номер для пополнения ежемесячной суммы)</t>
      </text>
    </comment>
    <comment authorId="0" ref="L5">
      <text>
        <t xml:space="preserve">79876001969_serv1 - логин
g5i9m099 - пароль
МТС 
1 месяц бесплатно, 3 месяца по 320 руб
Потом с 4 ого мес 640руб
+7 917 865 36 30 номер для пополнения ежемесячной суммы)</t>
      </text>
    </comment>
    <comment authorId="0" ref="S5">
      <text>
        <t xml:space="preserve">оплатила из своих </t>
      </text>
    </comment>
    <comment authorId="0" ref="AA5">
      <text>
        <t xml:space="preserve">автоплатеж 19.05</t>
      </text>
    </comment>
    <comment authorId="0" ref="AD5">
      <text>
        <t xml:space="preserve">автоплатеж</t>
      </text>
    </comment>
    <comment authorId="0" ref="C6">
      <text>
        <t xml:space="preserve">под лестницей в шкафу в ВРУ 3 под</t>
      </text>
    </comment>
    <comment authorId="0" ref="G6">
      <text>
        <t xml:space="preserve">8 905 375 48 65</t>
      </text>
    </comment>
    <comment authorId="0" ref="H6">
      <text>
        <t xml:space="preserve">v2101431
xytpv56m</t>
      </text>
    </comment>
    <comment authorId="0" ref="I6">
      <text>
        <t xml:space="preserve">пароль 7hpki29z вот это актуально</t>
      </text>
    </comment>
    <comment authorId="0" ref="O6">
      <text>
        <t xml:space="preserve">отключили с 22.11.25 без долгов </t>
      </text>
    </comment>
    <comment authorId="0" ref="I7">
      <text>
        <t xml:space="preserve"> оплачивать по номеру телефона 
8 987 219 74 77</t>
      </text>
    </comment>
    <comment authorId="0" ref="AA7">
      <text>
        <t xml:space="preserve">автоплатеж 19.05</t>
      </text>
    </comment>
    <comment authorId="0" ref="AD7">
      <text>
        <t xml:space="preserve">автоплатеж</t>
      </text>
    </comment>
    <comment authorId="0" ref="E8">
      <text>
        <t xml:space="preserve">admin
ais321
</t>
      </text>
    </comment>
    <comment authorId="0" ref="H8">
      <text>
        <t xml:space="preserve">оплата по договору 310 090 643 25
платежи/МТС и ТГТС/по лиц счету </t>
      </text>
    </comment>
    <comment authorId="0" ref="L8">
      <text>
        <t xml:space="preserve">был тариф 470</t>
      </text>
    </comment>
    <comment authorId="0" ref="E9">
      <text>
        <t xml:space="preserve">admin
ais321
</t>
      </text>
    </comment>
    <comment authorId="0" ref="H9">
      <text>
        <t xml:space="preserve">автоплатеж через сбер
Казанская городская сеть</t>
      </text>
    </comment>
    <comment authorId="0" ref="M9">
      <text>
        <t xml:space="preserve">05 числа автоплатеж на сбере</t>
      </text>
    </comment>
    <comment authorId="0" ref="O9">
      <text>
        <t xml:space="preserve">остались деньги с того месца, так как житель переоформлял договор и в ноябре оптау не вносили</t>
      </text>
    </comment>
    <comment authorId="0" ref="Q9">
      <text>
        <t xml:space="preserve">10.11 автоплатеж на сбере</t>
      </text>
    </comment>
    <comment authorId="0" ref="S9">
      <text>
        <t xml:space="preserve">10.10 автоплатеж на сбере</t>
      </text>
    </comment>
    <comment authorId="0" ref="U9">
      <text>
        <t xml:space="preserve">10.09 автоплатеж на сбере</t>
      </text>
    </comment>
    <comment authorId="0" ref="W9">
      <text>
        <t xml:space="preserve">10.08 автоплатеж на сбере</t>
      </text>
    </comment>
    <comment authorId="0" ref="Y9">
      <text>
        <t xml:space="preserve">автоплатеж на сбере 10.07</t>
      </text>
    </comment>
    <comment authorId="0" ref="AA9">
      <text>
        <t xml:space="preserve">автоплатеж на 10.06 на сбере</t>
      </text>
    </comment>
    <comment authorId="0" ref="AE9">
      <text>
        <t xml:space="preserve">внести для автоплатежа</t>
      </text>
    </comment>
    <comment authorId="0" ref="AF9">
      <text>
        <t xml:space="preserve">внесла для автоплатежа</t>
      </text>
    </comment>
    <comment authorId="0" ref="AG9">
      <text>
        <t xml:space="preserve">один платеж вернуть Юле и один внести на баланс для автоплатежа</t>
      </text>
    </comment>
    <comment authorId="0" ref="AH9">
      <text>
        <t xml:space="preserve">стоит автоплатеж на эту дату</t>
      </text>
    </comment>
    <comment authorId="0" ref="C10">
      <text>
        <t xml:space="preserve">интернет взят не от жителя, а напрямую договорились с сотрудником Ростелекома и он нас подключил как физ.лицо
по Выборгской 3- тоже самое.
Номер этого сотрудника есть у Ранифа +7 919 621-37-18 Михаил</t>
      </text>
    </comment>
    <comment authorId="0" ref="E10">
      <text>
        <t xml:space="preserve">admin
Sputnik7
</t>
      </text>
    </comment>
    <comment authorId="0" ref="H10">
      <text>
        <t xml:space="preserve">по номеру договора </t>
      </text>
    </comment>
    <comment authorId="0" ref="M10">
      <text>
        <t xml:space="preserve">последний платеж </t>
      </text>
    </comment>
    <comment authorId="0" ref="AC10">
      <text>
        <t xml:space="preserve">заплатила из кассы 11.04, поэтому 0</t>
      </text>
    </comment>
    <comment authorId="0" ref="E11">
      <text>
        <t xml:space="preserve">admin
ais321
</t>
      </text>
    </comment>
    <comment authorId="0" ref="S11">
      <text>
        <t xml:space="preserve">платеж 19.09 и 19.10</t>
      </text>
    </comment>
    <comment authorId="0" ref="C12">
      <text>
        <t xml:space="preserve">917 296 5012 на этот номер закидывать абон плату</t>
      </text>
    </comment>
    <comment authorId="0" ref="E12">
      <text>
        <t xml:space="preserve">admin
ais321
</t>
      </text>
    </comment>
    <comment authorId="0" ref="H12">
      <text>
        <t xml:space="preserve">917 296 5012 на этот номер закидывать абон плату
</t>
      </text>
    </comment>
    <comment authorId="0" ref="I12">
      <text>
        <t xml:space="preserve">Логин- 79172965012_serv1
Пароль- 8pM15a91</t>
      </text>
    </comment>
    <comment authorId="0" ref="AA12">
      <text>
        <t xml:space="preserve">автоплатеж на 19.05</t>
      </text>
    </comment>
    <comment authorId="0" ref="AD12">
      <text>
        <t xml:space="preserve">автоплатеж</t>
      </text>
    </comment>
    <comment authorId="0" ref="E13">
      <text>
        <t xml:space="preserve">https://dec178a.keenetic.link</t>
      </text>
    </comment>
    <comment authorId="0" ref="H13">
      <text>
        <t xml:space="preserve">на номер телефона нужно закинуть деньги
79172765969</t>
      </text>
    </comment>
    <comment authorId="0" ref="I13">
      <text>
        <t xml:space="preserve">на номер телефона нужно закинуть деньги
79172765969_serv1 - логин
Qp1187s6 - пароль
номер договора - 31009574138</t>
      </text>
    </comment>
    <comment authorId="0" ref="M13">
      <text>
        <t xml:space="preserve">автоплатеж на 17 число</t>
      </text>
    </comment>
    <comment authorId="0" ref="O13">
      <text>
        <t xml:space="preserve">автоплатеж на альфе 17.12</t>
      </text>
    </comment>
    <comment authorId="0" ref="S13">
      <text>
        <t xml:space="preserve">автоплатеж на альфе 17.10</t>
      </text>
    </comment>
    <comment authorId="0" ref="U13">
      <text>
        <t xml:space="preserve">автоплатеж на альфе 17.09</t>
      </text>
    </comment>
    <comment authorId="0" ref="W13">
      <text>
        <t xml:space="preserve">автоплатеж на альфе 17.08.</t>
      </text>
    </comment>
    <comment authorId="0" ref="Y13">
      <text>
        <t xml:space="preserve">автоплатеж на альфе 17.07</t>
      </text>
    </comment>
    <comment authorId="0" ref="AA13">
      <text>
        <t xml:space="preserve">840 спишется 17.05 
840 автоплатеж на 17.06</t>
      </text>
    </comment>
    <comment authorId="0" ref="AD13">
      <text>
        <t xml:space="preserve">автоплатеж</t>
      </text>
    </comment>
    <comment authorId="0" ref="I14">
      <text>
        <t xml:space="preserve">в группе вн казань инфа от рнифа от 10.10</t>
      </text>
    </comment>
    <comment authorId="0" ref="L14">
      <text>
        <t xml:space="preserve">06.10 внесено 518
20.10 внесено 518 
след внесение в декабре!!</t>
      </text>
    </comment>
    <comment authorId="0" ref="O14">
      <text>
        <t xml:space="preserve">вернула в кассу</t>
      </text>
    </comment>
    <comment authorId="0" ref="A15">
      <text>
        <t xml:space="preserve">18.08.21</t>
      </text>
    </comment>
    <comment authorId="0" ref="L15">
      <text>
        <t xml:space="preserve">тариф увеличился, теперь 530 р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https://my.yota.ru/devices
логин 89600343630
пароль Marat2021!
</t>
      </text>
    </comment>
    <comment authorId="0" ref="P2">
      <text>
        <t xml:space="preserve">отключили тк дом ушел</t>
      </text>
    </comment>
    <comment authorId="0" ref="AB2">
      <text>
        <t xml:space="preserve">оплатила 665</t>
      </text>
    </comment>
    <comment authorId="0" ref="J3">
      <text>
        <t xml:space="preserve">https://my.yota.ru/devices
логин 89600343630
пароль Marat2021!
</t>
      </text>
    </comment>
    <comment authorId="0" ref="Z3">
      <text>
        <t xml:space="preserve">665 платеж 18.06
665 платеж 18.07</t>
      </text>
    </comment>
    <comment authorId="0" ref="AB3">
      <text>
        <t xml:space="preserve">оплатила 665</t>
      </text>
    </comment>
    <comment authorId="0" ref="AD3">
      <text>
        <t xml:space="preserve">платеж 18 мая</t>
      </text>
    </comment>
    <comment authorId="0" ref="AF3">
      <text>
        <t xml:space="preserve">платеж от 20.03 и от 19.04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2">
      <text>
        <t xml:space="preserve">логин v02296801
пароль v4c925fc
</t>
      </text>
    </comment>
    <comment authorId="0" ref="J3">
      <text>
        <t xml:space="preserve">логин v02410450
пароль hkvak54t
</t>
      </text>
    </comment>
    <comment authorId="0" ref="C4">
      <text>
        <t xml:space="preserve">роутер в подвале, вход в подвал со 2 подъезда. Шкаф на стене </t>
      </text>
    </comment>
    <comment authorId="0" ref="J4">
      <text>
        <t xml:space="preserve">50 лет октября 60 кВ 35
Для оплаты: 89829379006 
60400722433
ЛОГИН: TYM_00004790    ПАРОЛЬ: cYSbrQHZ1b</t>
      </text>
    </comment>
    <comment authorId="0" ref="J5">
      <text>
        <t xml:space="preserve">50 лет октября 68 кВ 39 
Для оплаты ю: 89829476256
60400722434
ЛОГИН: TYM_00004791    ПАРОЛЬ: Si35StQsv4
Оплачивать как сотовую связь</t>
      </text>
    </comment>
    <comment authorId="0" ref="F6">
      <text>
        <t xml:space="preserve">v03452769
dr66ysff</t>
      </text>
    </comment>
    <comment authorId="0" ref="J6">
      <text>
        <t xml:space="preserve">720017283753
Nk!h7_5P
от личного кабинета
Для настройки роутера
v03452769
dr66ysff</t>
      </text>
    </comment>
    <comment authorId="0" ref="M6">
      <text>
        <t xml:space="preserve">200 IP адрес</t>
      </text>
    </comment>
    <comment authorId="0" ref="C7">
      <text>
        <t xml:space="preserve">роутер в подвале 2 подъезд
Адрес: Мжф, Тюмень г., ул Севастопольская , 33 , 33
Лс: 572011585088
Логин : 77725669120
Пароль: aS2t5jYwcZn
Договор: 12676139 от 12.10.2023</t>
      </text>
    </comment>
    <comment authorId="0" ref="J7">
      <text>
        <t xml:space="preserve">720018904822
7oS3-#bQ
РРРоЕ
v04013225
433uvv7u</t>
      </text>
    </comment>
    <comment authorId="0" ref="C8">
      <text>
        <t xml:space="preserve">роутер в подвале 2 подъезд
Адрес: Мжф, Тюмень г., ул Севастопольская , 33 , 33
Лс: 572011585088
Логин : 77725669120
Пароль: aS2t5jYwcZn
Договор: 12676139 от 12.10.2023</t>
      </text>
    </comment>
    <comment authorId="0" ref="J8">
      <text>
        <t xml:space="preserve">логин 77725669120
пароль aS2t5jYwcZn</t>
      </text>
    </comment>
    <comment authorId="0" ref="C9">
      <text>
        <t xml:space="preserve">во 2м подъезде
25 числа списание</t>
      </text>
    </comment>
    <comment authorId="0" ref="J9">
      <text>
        <t xml:space="preserve">https://my.yota.ru/devices
логин 89600343630
пароль Marat2021!
</t>
      </text>
    </comment>
    <comment authorId="0" ref="N9">
      <text>
        <t xml:space="preserve">18.12 и 17.01</t>
      </text>
    </comment>
    <comment authorId="0" ref="P9">
      <text>
        <t xml:space="preserve">
</t>
      </text>
    </comment>
    <comment authorId="0" ref="C10">
      <text>
        <t xml:space="preserve">роутер в подъезде во 2ом
21 числа списание</t>
      </text>
    </comment>
    <comment authorId="0" ref="J10">
      <text>
        <t xml:space="preserve">https://my.yota.ru/devices
логин 89600343630
пароль Marat2021!
</t>
      </text>
    </comment>
    <comment authorId="0" ref="AB10">
      <text>
        <t xml:space="preserve">оплатила 725</t>
      </text>
    </comment>
    <comment authorId="0" ref="AI10">
      <text>
        <t xml:space="preserve">оплата внесена уже на март</t>
      </text>
    </comment>
    <comment authorId="0" ref="C11">
      <text>
        <t xml:space="preserve">роутер в подъезде во 2ом
21 числа списание</t>
      </text>
    </comment>
    <comment authorId="0" ref="J11">
      <text>
        <t xml:space="preserve">720018899016
Zx52d_#V
PPPoE
v04011218
yuvpexue</t>
      </text>
    </comment>
    <comment authorId="0" ref="I12">
      <text>
        <t xml:space="preserve">оплату вносить до 21 числа по номеру договора
 0 85 802 45 35 </t>
      </text>
    </comment>
    <comment authorId="0" ref="M12">
      <text>
        <t xml:space="preserve">автоплатеж на 20 число подключила</t>
      </text>
    </comment>
    <comment authorId="0" ref="R12">
      <text>
        <t xml:space="preserve">автоплатеж сбер настроить на 20.10</t>
      </text>
    </comment>
    <comment authorId="0" ref="Z12">
      <text>
        <t xml:space="preserve">20.06 автаплатеж на сбере</t>
      </text>
    </comment>
    <comment authorId="0" ref="AB12">
      <text>
        <t xml:space="preserve">20.05 автоплатеж на сбере </t>
      </text>
    </comment>
    <comment authorId="0" ref="AE12">
      <text>
        <t xml:space="preserve">автоплатеж на 20.04</t>
      </text>
    </comment>
    <comment authorId="0" ref="AI12">
      <text>
        <t xml:space="preserve">автоплатеж на 20 число подключила</t>
      </text>
    </comment>
    <comment authorId="0" ref="F14">
      <text>
        <t xml:space="preserve">логин: admin
пароль: 7iHp9Esu</t>
      </text>
    </comment>
    <comment authorId="0" ref="J14">
      <text>
        <t xml:space="preserve">77725757485
VCTZ99NDyRV
</t>
      </text>
    </comment>
    <comment authorId="0" ref="F15">
      <text>
        <t xml:space="preserve">логин admin
пароль Pass55word</t>
      </text>
    </comment>
    <comment authorId="0" ref="J15">
      <text>
        <t xml:space="preserve">логин  v02296802
пароль rs387c9s
</t>
      </text>
    </comment>
    <comment authorId="0" ref="J16">
      <text>
        <t xml:space="preserve">Личный кабинет
720016524626
D!5e3W-v
PPPoe 
v03292795
psx3mxvp
30letpobedi73.keenetic.link
</t>
      </text>
    </comment>
    <comment authorId="0" ref="J17">
      <text>
        <t xml:space="preserve">логин 77725745195
пароль 6DpWRSXynxN</t>
      </text>
    </comment>
    <comment authorId="0" ref="F19">
      <text>
        <t xml:space="preserve">пароль admin
логин Pass55word!</t>
      </text>
    </comment>
    <comment authorId="0" ref="F20">
      <text>
        <t xml:space="preserve">пароль admin
логин Pass55word!</t>
      </text>
    </comment>
    <comment authorId="0" ref="C24">
      <text>
        <t xml:space="preserve">подвал</t>
      </text>
    </comment>
    <comment authorId="0" ref="C25">
      <text>
        <t xml:space="preserve">подвал</t>
      </text>
    </comment>
    <comment authorId="0" ref="F25">
      <text>
        <t xml:space="preserve">пароль admin
логин Pass55word!
не возможно зайти по ссылке надо проверить в роутере домен</t>
      </text>
    </comment>
    <comment authorId="0" ref="C26">
      <text>
        <t xml:space="preserve">подвал</t>
      </text>
    </comment>
    <comment authorId="0" ref="F26">
      <text>
        <t xml:space="preserve">пароль admin
логин Pass55word!
zhitkova5.keenetic.link</t>
      </text>
    </comment>
    <comment authorId="0" ref="C27">
      <text>
        <t xml:space="preserve">подвал</t>
      </text>
    </comment>
    <comment authorId="0" ref="F27">
      <text>
        <t xml:space="preserve">пароль admin
логин Pass55word!</t>
      </text>
    </comment>
    <comment authorId="0" ref="C28">
      <text>
        <t xml:space="preserve">подвал</t>
      </text>
    </comment>
    <comment authorId="0" ref="F28">
      <text>
        <t xml:space="preserve">пароль admin
логин Pass55word!</t>
      </text>
    </comment>
    <comment authorId="0" ref="C29">
      <text>
        <t xml:space="preserve">подвал</t>
      </text>
    </comment>
    <comment authorId="0" ref="F29">
      <text>
        <t xml:space="preserve">пароль admin
логин Pass55word!</t>
      </text>
    </comment>
    <comment authorId="0" ref="C30">
      <text>
        <t xml:space="preserve">подвал</t>
      </text>
    </comment>
    <comment authorId="0" ref="F30">
      <text>
        <t xml:space="preserve">пароль admin
логин Pass55word!</t>
      </text>
    </comment>
    <comment authorId="0" ref="C31">
      <text>
        <t xml:space="preserve">подвал</t>
      </text>
    </comment>
    <comment authorId="0" ref="F31">
      <text>
        <t xml:space="preserve">пароль admin
логин Pass55word!</t>
      </text>
    </comment>
    <comment authorId="0" ref="C32">
      <text>
        <t xml:space="preserve">подвал</t>
      </text>
    </comment>
    <comment authorId="0" ref="F32">
      <text>
        <t xml:space="preserve">пароль admin
логин Pass55word!</t>
      </text>
    </comment>
    <comment authorId="0" ref="C34">
      <text>
        <t xml:space="preserve">подвал</t>
      </text>
    </comment>
    <comment authorId="0" ref="F34">
      <text>
        <t xml:space="preserve">пароль admin
логин Pass55word!</t>
      </text>
    </comment>
    <comment authorId="0" ref="C35">
      <text>
        <t xml:space="preserve">подвал</t>
      </text>
    </comment>
    <comment authorId="0" ref="F35">
      <text>
        <t xml:space="preserve">пароль admin
логин Pass55word!</t>
      </text>
    </comment>
    <comment authorId="0" ref="C36">
      <text>
        <t xml:space="preserve">подвал</t>
      </text>
    </comment>
    <comment authorId="0" ref="F36">
      <text>
        <t xml:space="preserve">пароль admin
логин Pass55word!</t>
      </text>
    </comment>
    <comment authorId="0" ref="C37">
      <text>
        <t xml:space="preserve">подвал</t>
      </text>
    </comment>
    <comment authorId="0" ref="F37">
      <text>
        <t xml:space="preserve">пароль admin
логин Pass55word!</t>
      </text>
    </comment>
    <comment authorId="0" ref="J41">
      <text>
        <t xml:space="preserve">77725708982
rApWeHvhZfs</t>
      </text>
    </comment>
    <comment authorId="0" ref="C42">
      <text>
        <t xml:space="preserve">в подвале около шкафа Ростелеком под 2ым подъездом </t>
      </text>
    </comment>
    <comment authorId="0" ref="J42">
      <text>
        <t xml:space="preserve">77725688612
6vzGru5_n9u</t>
      </text>
    </comment>
    <comment authorId="0" ref="J43">
      <text>
        <t xml:space="preserve">логин 77725705893
пароль 5TBqddAPejJ</t>
      </text>
    </comment>
    <comment authorId="0" ref="C44">
      <text>
        <t xml:space="preserve">в подвале как спускаешься</t>
      </text>
    </comment>
    <comment authorId="0" ref="J44">
      <text>
        <t xml:space="preserve">77725719481	
kqG3tNVvWTy</t>
      </text>
    </comment>
    <comment authorId="0" ref="C45">
      <text>
        <t xml:space="preserve">шкаф во 2 ом подъезде
</t>
      </text>
    </comment>
    <comment authorId="0" ref="F45">
      <text>
        <t xml:space="preserve">admin
ais321</t>
      </text>
    </comment>
    <comment authorId="0" ref="J45">
      <text>
        <t xml:space="preserve">v02698553	
4w5ehuw4</t>
      </text>
    </comment>
    <comment authorId="0" ref="C46">
      <text>
        <t xml:space="preserve">Шкаф во втором подъезде 1 инет на 2 дома, по улице объединен проводом
</t>
      </text>
    </comment>
    <comment authorId="0" ref="F46">
      <text>
        <t xml:space="preserve">admin
ais321</t>
      </text>
    </comment>
    <comment authorId="0" ref="J46">
      <text>
        <t xml:space="preserve">v02698511	
22hy24n4</t>
      </text>
    </comment>
    <comment authorId="0" ref="C47">
      <text>
        <t xml:space="preserve">Шкаф во втором подъезде 1 инет на 2 дома, по улице объединен проводом</t>
      </text>
    </comment>
    <comment authorId="0" ref="F47">
      <text>
        <t xml:space="preserve">admin
ais321</t>
      </text>
    </comment>
    <comment authorId="0" ref="I47">
      <text>
        <t xml:space="preserve">нет отдельно точки поэтому всегда 0, не платим </t>
      </text>
    </comment>
    <comment authorId="0" ref="J47">
      <text>
        <t xml:space="preserve">v02698511	
22hy24n4</t>
      </text>
    </comment>
    <comment authorId="0" ref="C48">
      <text>
        <t xml:space="preserve">на 8 ом подъезде Чердаке, Тех этаж
</t>
      </text>
    </comment>
    <comment authorId="0" ref="F48">
      <text>
        <t xml:space="preserve">https://golsova10.keenetic.link
admin
ais321
</t>
      </text>
    </comment>
    <comment authorId="0" ref="J48">
      <text>
        <t xml:space="preserve">77725595349	
rYUb6YCFHAX</t>
      </text>
    </comment>
    <comment authorId="0" ref="C49">
      <text>
        <t xml:space="preserve">во 2 подъезде в подвале</t>
      </text>
    </comment>
    <comment authorId="0" ref="F49">
      <text>
        <t xml:space="preserve">Логин: admin
Пароль: Ueb3yCie </t>
      </text>
    </comment>
    <comment authorId="0" ref="J49">
      <text>
        <t xml:space="preserve">77725636647
M8ZQF2YgeYJ</t>
      </text>
    </comment>
    <comment authorId="0" ref="C50">
      <text>
        <t xml:space="preserve">во 2 подъезде в подвале</t>
      </text>
    </comment>
    <comment authorId="0" ref="F50">
      <text>
        <t xml:space="preserve">Логин admin
Пароль: eAyvUYai</t>
      </text>
    </comment>
    <comment authorId="0" ref="J50">
      <text>
        <t xml:space="preserve">77725636615
D6tCJK32wXA</t>
      </text>
    </comment>
    <comment authorId="0" ref="F51">
      <text>
        <t xml:space="preserve">пароль admin
логин Pass55word!
через комп не заходит на ссылку, а через  телефон заходит
</t>
      </text>
    </comment>
    <comment authorId="0" ref="J51">
      <text>
        <t xml:space="preserve">логин v02400925
пароль bzp68whx</t>
      </text>
    </comment>
    <comment authorId="0" ref="J52">
      <text>
        <t xml:space="preserve">От личного кабинета
720017313263
2Ss!M_7p
Настройки роутера
v03457387
xk5evvuz
Pass55word!
belinskogo6.keenetic.link
Подключен постоянный IP 89.250.150.137</t>
      </text>
    </comment>
    <comment authorId="0" ref="J53">
      <text>
        <t xml:space="preserve">пароль
evo8!GgEK.Q50_6</t>
      </text>
    </comment>
    <comment authorId="0" ref="C54">
      <text>
        <t xml:space="preserve">Подвал
</t>
      </text>
    </comment>
    <comment authorId="0" ref="F54">
      <text>
        <t xml:space="preserve">admin	
Admin1!admin1</t>
      </text>
    </comment>
    <comment authorId="0" ref="J54">
      <text>
        <t xml:space="preserve">логин 77725533868
пароль tcBpNZeEqs</t>
      </text>
    </comment>
    <comment authorId="0" ref="C55">
      <text>
        <t xml:space="preserve">в подвале</t>
      </text>
    </comment>
    <comment authorId="0" ref="F55">
      <text>
        <t xml:space="preserve">admin	
ais321
Доменное имя 
https://kcetk21.keenetic.link/</t>
      </text>
    </comment>
    <comment authorId="0" ref="J55">
      <text>
        <t xml:space="preserve">v02720581	
p84xz8r
вход в ЛК
логин 720012393086
пароль tdxecsi5</t>
      </text>
    </comment>
    <comment authorId="0" ref="C56">
      <text>
        <t xml:space="preserve">5 под в подвале шкаф основной, во втором под - де тоже есть шкаф) 2 шкафа объеденены ЮТП.</t>
      </text>
    </comment>
    <comment authorId="0" ref="F56">
      <text>
        <t xml:space="preserve">superadmin	
Pass55word!</t>
      </text>
    </comment>
    <comment authorId="0" ref="C57">
      <text>
        <t xml:space="preserve"> в подвале в 3 под</t>
      </text>
    </comment>
    <comment authorId="0" ref="F57">
      <text>
        <t xml:space="preserve">логин: admin
пароль: LcYAGxUz</t>
      </text>
    </comment>
    <comment authorId="0" ref="J57">
      <text>
        <t xml:space="preserve">логин 77725754233
пароль eXQanLndD3R
</t>
      </text>
    </comment>
    <comment authorId="0" ref="F58">
      <text>
        <t xml:space="preserve">admin	
Pass55word!</t>
      </text>
    </comment>
    <comment authorId="0" ref="J58">
      <text>
        <t xml:space="preserve">логин   v02333391
пароль    vb3w5p64</t>
      </text>
    </comment>
    <comment authorId="0" ref="C59">
      <text>
        <t xml:space="preserve">В закутке во втором подьезде</t>
      </text>
    </comment>
    <comment authorId="0" ref="F59">
      <text>
        <t xml:space="preserve">admin	
Pass55word!</t>
      </text>
    </comment>
    <comment authorId="0" ref="J59">
      <text>
        <t xml:space="preserve">логин  v02370539
пароль     5527h5ns</t>
      </text>
    </comment>
    <comment authorId="0" ref="C60">
      <text>
        <t xml:space="preserve">в подвале в 3 под</t>
      </text>
    </comment>
    <comment authorId="0" ref="F60">
      <text>
        <t xml:space="preserve">admin	
Pass55word!
</t>
      </text>
    </comment>
    <comment authorId="0" ref="J60">
      <text>
        <t xml:space="preserve">логин  v02410469 
пароль   ktd3har2</t>
      </text>
    </comment>
    <comment authorId="0" ref="C61">
      <text>
        <t xml:space="preserve">в 3 под. в подвале</t>
      </text>
    </comment>
    <comment authorId="0" ref="F61">
      <text>
        <t xml:space="preserve"> Логин: admin
Пароль: yeiuavTA</t>
      </text>
    </comment>
    <comment authorId="0" ref="J61">
      <text>
        <t xml:space="preserve">77725723450
ejuWbAGMFkp</t>
      </text>
    </comment>
    <comment authorId="0" ref="C62">
      <text>
        <t xml:space="preserve">в 3ем подъезде на 1 ом этаже под лестницей) </t>
      </text>
    </comment>
    <comment authorId="0" ref="F62">
      <text>
        <t xml:space="preserve">superadmin	
admin1admin1</t>
      </text>
    </comment>
    <comment authorId="0" ref="J62">
      <text>
        <t xml:space="preserve">логин 77725577027
пароль DtrbSUGYDD_</t>
      </text>
    </comment>
    <comment authorId="0" ref="C63">
      <text>
        <t xml:space="preserve">во 2 подъезде
</t>
      </text>
    </comment>
    <comment authorId="0" ref="J63">
      <text>
        <t xml:space="preserve">v02583378	
v6uxd6xh</t>
      </text>
    </comment>
    <comment authorId="0" ref="C64">
      <text>
        <t xml:space="preserve">во 6 ом подъезде
</t>
      </text>
    </comment>
    <comment authorId="0" ref="J64">
      <text>
        <t xml:space="preserve">v02594345	
8kttkuee
720010938551
пароль</t>
      </text>
    </comment>
    <comment authorId="0" ref="C65">
      <text>
        <t xml:space="preserve">В подвале под 1ым подъездом наш шкаф у узком коридорчике
</t>
      </text>
    </comment>
    <comment authorId="0" ref="F65">
      <text>
        <t xml:space="preserve">admin	
dd3f9k87</t>
      </text>
    </comment>
    <comment authorId="0" ref="J65">
      <text>
        <t xml:space="preserve">77725552938	
Eatmg34F75F</t>
      </text>
    </comment>
    <comment authorId="0" ref="F66">
      <text>
        <t xml:space="preserve">admin	
Admin1!admin1</t>
      </text>
    </comment>
    <comment authorId="0" ref="J66">
      <text>
        <t xml:space="preserve">логин 77725568209
пароль KUTmCZ6e5AZ</t>
      </text>
    </comment>
    <comment authorId="0" ref="C67">
      <text>
        <t xml:space="preserve">в подвале ящик под 4ым под.</t>
      </text>
    </comment>
    <comment authorId="0" ref="F67">
      <text>
        <t xml:space="preserve">admin	
562758if
Дополнительный роутер Keenetic по WAN для настройки камер 
http://ymsk57.keenetic.link
</t>
      </text>
    </comment>
    <comment authorId="0" ref="J67">
      <text>
        <t xml:space="preserve">77725600019	
S57eXse47vY</t>
      </text>
    </comment>
    <comment authorId="0" ref="C68">
      <text>
        <t xml:space="preserve">линию завести в тех.помещение рядом с 4 подъездом</t>
      </text>
    </comment>
    <comment authorId="0" ref="F68">
      <text>
        <t xml:space="preserve">admin	
Pass55word!</t>
      </text>
    </comment>
    <comment authorId="0" ref="J68">
      <text>
        <t xml:space="preserve">логин  v02410470
пароль  yv3k2hdh</t>
      </text>
    </comment>
    <comment authorId="0" ref="C69">
      <text>
        <t xml:space="preserve">линию завести в тех.помещение рядом с 4 подъездом</t>
      </text>
    </comment>
    <comment authorId="0" ref="F69">
      <text>
        <t xml:space="preserve">Логин: admin
Пароль: kqUeHAde</t>
      </text>
    </comment>
    <comment authorId="0" ref="J69">
      <text>
        <t xml:space="preserve">77725723515
9ENWTkaqN3r
</t>
      </text>
    </comment>
    <comment authorId="0" ref="J70">
      <text>
        <t xml:space="preserve">720016783713
Pr8-6zB_
</t>
      </text>
    </comment>
    <comment authorId="0" ref="AF70">
      <text>
        <t xml:space="preserve">200 р долатила 27.03 так как тариф увеличился
</t>
      </text>
    </comment>
    <comment authorId="0" ref="F71">
      <text>
        <t xml:space="preserve">admin	
Pass55word!</t>
      </text>
    </comment>
    <comment authorId="0" ref="J71">
      <text>
        <t xml:space="preserve">v03126229	
hccs45ud</t>
      </text>
    </comment>
    <comment authorId="0" ref="F72">
      <text>
        <t xml:space="preserve">admin	
Pass55word!</t>
      </text>
    </comment>
    <comment authorId="0" ref="J72">
      <text>
        <t xml:space="preserve">логин   v02400921 
пароль   kr2x6rdm</t>
      </text>
    </comment>
    <comment authorId="0" ref="F73">
      <text>
        <t xml:space="preserve">admin	
Pass55word!</t>
      </text>
    </comment>
    <comment authorId="0" ref="J74">
      <text>
        <t xml:space="preserve">пароль q!3WyE7_
</t>
      </text>
    </comment>
    <comment authorId="0" ref="J76">
      <text>
        <t xml:space="preserve">логин 77725727933
пароль cxu8wdcLYW2</t>
      </text>
    </comment>
    <comment authorId="0" ref="M76">
      <text>
        <t xml:space="preserve">=750+99 с ноября 2025</t>
      </text>
    </comment>
    <comment authorId="0" ref="C77">
      <text>
        <t xml:space="preserve">роутер под 4 подъездом</t>
      </text>
    </comment>
    <comment authorId="0" ref="F77">
      <text>
        <t xml:space="preserve">polevaya27podezd4.crazedns.ru
Pass55word!
для роутера</t>
      </text>
    </comment>
    <comment authorId="0" ref="J77">
      <text>
        <t xml:space="preserve">720018759055
8C!d-9Kf</t>
      </text>
    </comment>
    <comment authorId="0" ref="I78">
      <text>
        <t xml:space="preserve">договор 720019236764, пароль v5M_qB#4
логин-пароль от роутера 
admin
Admin11345</t>
      </text>
    </comment>
    <comment authorId="0" ref="C79">
      <text>
        <t xml:space="preserve">договор оформлен на республики 190 кв 11
Шкаф установлен на 1 этаже под камерой с право от лифтового холла </t>
      </text>
    </comment>
    <comment authorId="0" ref="J79">
      <text>
        <t xml:space="preserve">Договор
720018352043
Пароль
Jg#1_3iW</t>
      </text>
    </comment>
    <comment authorId="0" ref="M79">
      <text>
        <t xml:space="preserve">200 статика</t>
      </text>
    </comment>
    <comment authorId="0" ref="C80">
      <text>
        <t xml:space="preserve">договор оформлен на республики 188 кв 45
Шкаф установлен в холле 1 этажа. На стене между лифтом и лестницей 
</t>
      </text>
    </comment>
    <comment authorId="0" ref="J80">
      <text>
        <t xml:space="preserve">720018416617
j1XS-o!5</t>
      </text>
    </comment>
    <comment authorId="0" ref="M80">
      <text>
        <t xml:space="preserve">200 статика</t>
      </text>
    </comment>
    <comment authorId="0" ref="C81">
      <text>
        <t xml:space="preserve">
</t>
      </text>
    </comment>
    <comment authorId="0" ref="J81">
      <text>
        <t xml:space="preserve">720018423312
k7_#2PzS</t>
      </text>
    </comment>
    <comment authorId="0" ref="M81">
      <text>
        <t xml:space="preserve">200 статика</t>
      </text>
    </comment>
    <comment authorId="0" ref="J82">
      <text>
        <t xml:space="preserve">720018461921, пароль c5#_K3oV</t>
      </text>
    </comment>
    <comment authorId="0" ref="M82">
      <text>
        <t xml:space="preserve">тариф 1150, в сентябре делали доплату поэтому 950 р оплачивали</t>
      </text>
    </comment>
    <comment authorId="0" ref="R82">
      <text>
        <t xml:space="preserve">1150 оплатили из кассы 16.10, поэтому не заказываю
</t>
      </text>
    </comment>
    <comment authorId="0" ref="T82">
      <text>
        <t xml:space="preserve">950р оплатили из кассы, поэтому на этот дом не заказываю </t>
      </text>
    </comment>
    <comment authorId="0" ref="J83">
      <text>
        <t xml:space="preserve">к договору пароль e479z4zn
к логину v03232085 
пароль xmww8x6n</t>
      </text>
    </comment>
    <comment authorId="0" ref="J85">
      <text>
        <t xml:space="preserve">77725616730
KAFnQvxBneD</t>
      </text>
    </comment>
    <comment authorId="0" ref="J86">
      <text>
        <t xml:space="preserve">ЛК
720019370482
6!HB9x#u
v04109584
w7nfzxba
</t>
      </text>
    </comment>
    <comment authorId="0" ref="I87">
      <text>
        <t xml:space="preserve">8 982 919 52 48 номер для оплаты</t>
      </text>
    </comment>
    <comment authorId="0" ref="J87">
      <text>
        <t xml:space="preserve">Данные для pppoe: 
Логин: 79123917906_serv1
Пароль: 7v7ac26T</t>
      </text>
    </comment>
    <comment authorId="0" ref="I88">
      <text>
        <t xml:space="preserve">79123917906_serv15
2F6aT2G0</t>
      </text>
    </comment>
    <comment authorId="0" ref="J92">
      <text>
        <t xml:space="preserve">логин 720015499042
пароль ramxnzni</t>
      </text>
    </comment>
    <comment authorId="0" ref="C93">
      <text>
        <t xml:space="preserve">27 числа списание
</t>
      </text>
    </comment>
    <comment authorId="0" ref="J93">
      <text>
        <t xml:space="preserve">https://my.yota.ru/devices
логин 89600343630
пароль Marat2021!
</t>
      </text>
    </comment>
    <comment authorId="0" ref="AD93">
      <text>
        <t xml:space="preserve">отключили</t>
      </text>
    </comment>
    <comment authorId="0" ref="C94">
      <text>
        <t xml:space="preserve"> 
Черниговская 5 пом 83</t>
      </text>
    </comment>
    <comment authorId="0" ref="J94">
      <text>
        <t xml:space="preserve">777 257 577 88
hxVF_qMDv8C</t>
      </text>
    </comment>
    <comment authorId="0" ref="J95">
      <text>
        <t xml:space="preserve">77725754232
fdCtCwcT6cY</t>
      </text>
    </comment>
    <comment authorId="0" ref="T95">
      <text>
        <t xml:space="preserve">в приложении к оплате 0 р </t>
      </text>
    </comment>
    <comment authorId="0" ref="AF95">
      <text>
        <t xml:space="preserve">стоит положительный баланс 361 р, сколько вносить?</t>
      </text>
    </comment>
    <comment authorId="0" ref="F96">
      <text>
        <t xml:space="preserve">логин admin
пароль b9e38hfc</t>
      </text>
    </comment>
    <comment authorId="0" ref="I96">
      <text>
        <t xml:space="preserve">всегда 680 кладем, договоренность с Алешиной </t>
      </text>
    </comment>
    <comment authorId="0" ref="J96">
      <text>
        <t xml:space="preserve">логин 77725552938
пароль KBPwggTN8bh</t>
      </text>
    </comment>
    <comment authorId="0" ref="C97">
      <text>
        <t xml:space="preserve">3 этаж внутри подъезда</t>
      </text>
    </comment>
    <comment authorId="0" ref="F97">
      <text>
        <t xml:space="preserve">логин superadmin
пароль Pass55word!</t>
      </text>
    </comment>
    <comment authorId="0" ref="J97">
      <text>
        <t xml:space="preserve">логин 572011440926
пароль  cEnFgp6ZwHT</t>
      </text>
    </comment>
    <comment authorId="0" ref="C98">
      <text>
        <t xml:space="preserve">наш ящик в электро щитовой на 1 этаж. с левой стороны</t>
      </text>
    </comment>
    <comment authorId="0" ref="J98">
      <text>
        <t xml:space="preserve">логин 77725718676
пароль vcmZF8Azcaz</t>
      </text>
    </comment>
    <comment authorId="0" ref="J99">
      <text>
        <t xml:space="preserve">720018363854
bMe#8_6T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W4">
      <text>
        <t xml:space="preserve">отключили</t>
      </text>
    </comment>
    <comment authorId="0" ref="Y4">
      <text>
        <t xml:space="preserve">20.07 и 19.08 по 850</t>
      </text>
    </comment>
    <comment authorId="0" ref="Z4">
      <text>
        <t xml:space="preserve">850 аня оплатила, 850 оставить на счете для списания 19.08</t>
      </text>
    </comment>
    <comment authorId="0" ref="AE5">
      <text>
        <t xml:space="preserve">платеж 19.04 и 19.05</t>
      </text>
    </comment>
    <comment authorId="0" ref="U6">
      <text>
        <t xml:space="preserve">отключили</t>
      </text>
    </comment>
    <comment authorId="0" ref="U7">
      <text>
        <t xml:space="preserve">отключили так как теперь там билайн</t>
      </text>
    </comment>
    <comment authorId="0" ref="AH8">
      <text>
        <t xml:space="preserve">раниф внес, снова включил эту симку</t>
      </text>
    </comment>
    <comment authorId="0" ref="H9">
      <text>
        <t xml:space="preserve">пополнять по номеру телефона каждый 20 и 5 числа каждого месяца по 272 руб</t>
      </text>
    </comment>
    <comment authorId="0" ref="L9">
      <text>
        <t xml:space="preserve">два раза  в мес по 272 
272 автоплатеж 05 числа альфа
272 автоплатеж 18 числа альфа</t>
      </text>
    </comment>
    <comment authorId="0" ref="R9">
      <text>
        <t xml:space="preserve">272 внесено</t>
      </text>
    </comment>
    <comment authorId="0" ref="AA9">
      <text>
        <t xml:space="preserve">272  на списание 19.06  и  5 июля
автоплатежи на альфе, оба</t>
      </text>
    </comment>
    <comment authorId="0" ref="AC9">
      <text>
        <t xml:space="preserve">272  на списание 19.05  и  5 июня
автоплатежи на альфе, оба</t>
      </text>
    </comment>
    <comment authorId="0" ref="AE9">
      <text>
        <t xml:space="preserve">272  на списание 18.04  и  5 мая
автоплатежи на альфе, оба</t>
      </text>
    </comment>
    <comment authorId="0" ref="AG9">
      <text>
        <t xml:space="preserve">250  на списание 20.03  и  5 апреля
250 автоплатеж 05 числа со сбера
250 автоплатеж 19 числа альфа</t>
      </text>
    </comment>
    <comment authorId="0" ref="AH9">
      <text>
        <t xml:space="preserve">250 р внесено </t>
      </text>
    </comment>
    <comment authorId="0" ref="AI9">
      <text>
        <t xml:space="preserve">250 автоплатеж 05 числа со сбера
250 автоплатеж 19 числа альфа</t>
      </text>
    </comment>
    <comment authorId="0" ref="H10">
      <text>
        <t xml:space="preserve">пополнять по номеру телефона каждый 20 и 5 числа каждого месяца по 250 руб</t>
      </text>
    </comment>
    <comment authorId="0" ref="L10">
      <text>
        <t xml:space="preserve">два раза  в мес по 250
250 автоплатеж 05 числа альфа
250 автоплатеж 18 числа альфа</t>
      </text>
    </comment>
    <comment authorId="0" ref="R10">
      <text>
        <t xml:space="preserve">250 внесено</t>
      </text>
    </comment>
    <comment authorId="0" ref="AA10">
      <text>
        <t xml:space="preserve">250  на списание 19.06  и  5 июля
автоплатежи на альфе, оба</t>
      </text>
    </comment>
    <comment authorId="0" ref="AC10">
      <text>
        <t xml:space="preserve">250  на списание 18.04  и  5 мая
автоплатежи на альфе, оба</t>
      </text>
    </comment>
    <comment authorId="0" ref="AE10">
      <text>
        <t xml:space="preserve">250 на списание 18.04  и  5 мая
автоплатежи на альфе, оба</t>
      </text>
    </comment>
    <comment authorId="0" ref="AG11">
      <text>
        <t xml:space="preserve">отключили, было 600 р</t>
      </text>
    </comment>
    <comment authorId="0" ref="I12">
      <text>
        <t xml:space="preserve">оплачиваем по номеру лицевого счета</t>
      </text>
    </comment>
    <comment authorId="0" ref="R12">
      <text>
        <t xml:space="preserve">из кассы</t>
      </text>
    </comment>
    <comment authorId="0" ref="AG12">
      <text>
        <t xml:space="preserve">до 12 апреля нужно внести поэтому снова нужно оплатить</t>
      </text>
    </comment>
    <comment authorId="0" ref="AH12">
      <text>
        <t xml:space="preserve">эту же сумму внесла 19.03, так как 12.04 уже списание </t>
      </text>
    </comment>
    <comment authorId="0" ref="W15">
      <text>
        <t xml:space="preserve">отключили</t>
      </text>
    </comment>
    <comment authorId="0" ref="AC15">
      <text>
        <t xml:space="preserve">оплатила 785</t>
      </text>
    </comment>
    <comment authorId="0" ref="AE15">
      <text>
        <t xml:space="preserve">платеж 19.05</t>
      </text>
    </comment>
    <comment authorId="0" ref="AG15">
      <text>
        <t xml:space="preserve">тут уже платеж  от 20.03 и от 19.04 заложеи</t>
      </text>
    </comment>
    <comment authorId="0" ref="C17">
      <text>
        <t xml:space="preserve">В комментариях указав цифры абонентского номера «1176»
</t>
      </text>
    </comment>
    <comment authorId="0" ref="H17">
      <text>
        <t xml:space="preserve">В комментариях указав цифры абонентского номера «1176»</t>
      </text>
    </comment>
    <comment authorId="0" ref="AC17">
      <text>
        <t xml:space="preserve">Раниф написал что не платим больше</t>
      </text>
    </comment>
    <comment authorId="0" ref="AE17">
      <text>
        <t xml:space="preserve">Раниф написал что не платим больше</t>
      </text>
    </comment>
    <comment authorId="0" ref="Q18">
      <text>
        <t xml:space="preserve">осталось с прошлого месяца</t>
      </text>
    </comment>
    <comment authorId="0" ref="AA19">
      <text>
        <t xml:space="preserve">725 18.06
725 18.07</t>
      </text>
    </comment>
    <comment authorId="0" ref="AC19">
      <text>
        <t xml:space="preserve">оплатила 725</t>
      </text>
    </comment>
    <comment authorId="0" ref="AE19">
      <text>
        <t xml:space="preserve">платеж 19.05</t>
      </text>
    </comment>
    <comment authorId="0" ref="AG19">
      <text>
        <t xml:space="preserve">платеж от 20.03 и от 19.04</t>
      </text>
    </comment>
    <comment authorId="0" ref="AC20">
      <text>
        <t xml:space="preserve">оплатила 665</t>
      </text>
    </comment>
    <comment authorId="0" ref="AJ20">
      <text>
        <t xml:space="preserve">оплата внесена уже на март</t>
      </text>
    </comment>
    <comment authorId="0" ref="AJ21">
      <text>
        <t xml:space="preserve">оплата внесена уже на март</t>
      </text>
    </comment>
    <comment authorId="0" ref="AC24">
      <text>
        <t xml:space="preserve">665 оплатила</t>
      </text>
    </comment>
    <comment authorId="0" ref="AC25">
      <text>
        <t xml:space="preserve">665 оплатила</t>
      </text>
    </comment>
    <comment authorId="0" ref="AJ25">
      <text>
        <t xml:space="preserve">оплата внесена уже на март</t>
      </text>
    </comment>
    <comment authorId="0" ref="AJ44">
      <text>
        <t xml:space="preserve">600 от Марата на его йоту</t>
      </text>
    </comment>
  </commentList>
</comments>
</file>

<file path=xl/sharedStrings.xml><?xml version="1.0" encoding="utf-8"?>
<sst xmlns="http://schemas.openxmlformats.org/spreadsheetml/2006/main" count="1848" uniqueCount="708">
  <si>
    <t>Город</t>
  </si>
  <si>
    <t>Провайдер</t>
  </si>
  <si>
    <t>На кого оформлен</t>
  </si>
  <si>
    <t>Номер договора</t>
  </si>
  <si>
    <t>Телефон</t>
  </si>
  <si>
    <t>ЛК</t>
  </si>
  <si>
    <t>Тюмень</t>
  </si>
  <si>
    <t>Эр-телеком холдинг</t>
  </si>
  <si>
    <t>ООО Безопасный город</t>
  </si>
  <si>
    <t>ФК5610</t>
  </si>
  <si>
    <t>https://auth.dom.ru/auth/realms/user/protocol/openid-connect/auth?response_type=code&amp;redirect_uri=https%3A%2F%2Fnewlkb2b.dom.ru%2Flk&amp;client_id=lkb2b&amp;nonce=7c18d7d140f36a1abe642da98ff7fdce&amp;state=0e9862fd05f45efee6156aa126019c4d&amp;scope=openid</t>
  </si>
  <si>
    <t>spirina@gorod.expert</t>
  </si>
  <si>
    <t>wy6f04wh</t>
  </si>
  <si>
    <t>Позитив</t>
  </si>
  <si>
    <t>00-0655 от 19.05.2022</t>
  </si>
  <si>
    <t>8-3452-56-22-26</t>
  </si>
  <si>
    <t>https://lk.pozitivtelecom.ru/accounts/00-0655/details</t>
  </si>
  <si>
    <t>v295334</t>
  </si>
  <si>
    <t>Ростелеком</t>
  </si>
  <si>
    <t>Сафиуллин Раниф</t>
  </si>
  <si>
    <t>https://b2c.passport.rt.ru/auth/realms/b2c/login-actions/authenticate?execution=fc343b3b-9ff7-4786-bb30-e60caa7821cd&amp;client_id=lk_b2c&amp;tab_id=42XYkA7yKv0</t>
  </si>
  <si>
    <t>7 905 375-48-65</t>
  </si>
  <si>
    <t>K.3XK3u*jp73#yL</t>
  </si>
  <si>
    <t>Дом.ру</t>
  </si>
  <si>
    <t>Ссылка для входа в ЛК физ.лица</t>
  </si>
  <si>
    <t>https://tmn.dom.ru/user/login?referrer=/lk&amp;utm_referrer=https://yandex.ru/</t>
  </si>
  <si>
    <t xml:space="preserve">индивидуальные данные </t>
  </si>
  <si>
    <t>Зеленодольск</t>
  </si>
  <si>
    <t>Интердол</t>
  </si>
  <si>
    <t>ООО Сектор безопасности</t>
  </si>
  <si>
    <t>16966-06-2021</t>
  </si>
  <si>
    <t>8-84371-9-30-00</t>
  </si>
  <si>
    <t>Казань</t>
  </si>
  <si>
    <t>Йота</t>
  </si>
  <si>
    <t>https://lk.yota.ru/devices</t>
  </si>
  <si>
    <t>Gmail.com7a!</t>
  </si>
  <si>
    <t xml:space="preserve">Якупов Марат </t>
  </si>
  <si>
    <t>https://my.yota.ru/devices</t>
  </si>
  <si>
    <t>Marat2021!</t>
  </si>
  <si>
    <t>МТС юр лицо</t>
  </si>
  <si>
    <t>https://lk-b2b.mts.ru/mts_business_web/history</t>
  </si>
  <si>
    <t>Татаиснефть</t>
  </si>
  <si>
    <t>8 (8553) 30‑50-00</t>
  </si>
  <si>
    <t>МТС</t>
  </si>
  <si>
    <t>8 (800) 250-08-90</t>
  </si>
  <si>
    <t>Ростелеком (РТК)</t>
  </si>
  <si>
    <t>8 (800) 100-08-00</t>
  </si>
  <si>
    <t>Казгорсеть (КГС)</t>
  </si>
  <si>
    <t>8 (843) 209-02-09</t>
  </si>
  <si>
    <t>нажать 2, затем 2</t>
  </si>
  <si>
    <t>Таттелеком</t>
  </si>
  <si>
    <t>8 (843) 222-22-22</t>
  </si>
  <si>
    <t>8 (800) 707-42-19</t>
  </si>
  <si>
    <t>88003332444- тех. поддержка</t>
  </si>
  <si>
    <t xml:space="preserve">ОНИКС </t>
  </si>
  <si>
    <t>Кол-во</t>
  </si>
  <si>
    <t>Адреса и где находится шкаф в примечании</t>
  </si>
  <si>
    <t>Кол-во подъездов</t>
  </si>
  <si>
    <t>Ссылки на роутер</t>
  </si>
  <si>
    <t>УК</t>
  </si>
  <si>
    <t>ФИО</t>
  </si>
  <si>
    <t>Оператор</t>
  </si>
  <si>
    <t>Договор, логин и пароль в примечании</t>
  </si>
  <si>
    <t>Что установлено</t>
  </si>
  <si>
    <t xml:space="preserve">Дата списание </t>
  </si>
  <si>
    <t>Тариф</t>
  </si>
  <si>
    <t>оплата в декабре</t>
  </si>
  <si>
    <t>Оплата в ноябре</t>
  </si>
  <si>
    <t>оплата в октябре</t>
  </si>
  <si>
    <t>оплата в сентябре</t>
  </si>
  <si>
    <t>оплата в августе</t>
  </si>
  <si>
    <t>оплата в июле</t>
  </si>
  <si>
    <t>оплата в июне</t>
  </si>
  <si>
    <t>Оплата в мае</t>
  </si>
  <si>
    <t xml:space="preserve">ОПЛАТА В АПРЕЛЕ </t>
  </si>
  <si>
    <t>ОПЛАТА В МАРТЕ</t>
  </si>
  <si>
    <t>Оплата в феврале</t>
  </si>
  <si>
    <t xml:space="preserve">Оплата в январе </t>
  </si>
  <si>
    <t>Галеева 4</t>
  </si>
  <si>
    <t>http://78.138.177.251:8888</t>
  </si>
  <si>
    <t>Алсу</t>
  </si>
  <si>
    <t>Фадеев Вячеслав Александрович кв.5, 8(987)230-64-09</t>
  </si>
  <si>
    <t>Камеры</t>
  </si>
  <si>
    <t>30 числа</t>
  </si>
  <si>
    <t>Галеева 8</t>
  </si>
  <si>
    <t>http://217.173.19.66:81</t>
  </si>
  <si>
    <t>Фаракшин Фарит Минакдясович кв.102,  +7 (999) 169-08-64</t>
  </si>
  <si>
    <t>до 6 числа</t>
  </si>
  <si>
    <t>Галеева 10</t>
  </si>
  <si>
    <t>http://178.207.9.103</t>
  </si>
  <si>
    <t xml:space="preserve">Нуриахмедов Талгат Марсович кв.1, +7 (917) 233-15-29 </t>
  </si>
  <si>
    <t xml:space="preserve"> 25 числа</t>
  </si>
  <si>
    <t>Галеева 22</t>
  </si>
  <si>
    <t>http://78.138.174.236:8080</t>
  </si>
  <si>
    <t>Маннанов Марсель Забирович, кв.1, .8 9870627535</t>
  </si>
  <si>
    <t>105 408 289 от 30.12.19</t>
  </si>
  <si>
    <t>Галеева 23</t>
  </si>
  <si>
    <t>http://178.207.12.175</t>
  </si>
  <si>
    <t xml:space="preserve">Валиева Резеда Рависовна кв.191, звонить ей - 89991692785 (посл раз при звонке муж сказал звонить ей 8 (919) 631-11-60 номер ее мужа. </t>
  </si>
  <si>
    <t>Спутник, Камеры</t>
  </si>
  <si>
    <t>абон.плата 800 руб. в месяц+50р =920</t>
  </si>
  <si>
    <t>Галеева 25</t>
  </si>
  <si>
    <t>http://178.207.12.220</t>
  </si>
  <si>
    <t>Зиганшина Ляйсан Илсуровна кв.123, 8(927)455-35-55</t>
  </si>
  <si>
    <t xml:space="preserve">АБ. опл.795 р.  без рассрочки, 3227р. с рассрочкой </t>
  </si>
  <si>
    <t>Галеева 27</t>
  </si>
  <si>
    <t>http://185.148.216.67</t>
  </si>
  <si>
    <t>Сальцин Алексей В. кв.122, 8(927)424-24-33</t>
  </si>
  <si>
    <t>104 73 29</t>
  </si>
  <si>
    <t>до 25 числа</t>
  </si>
  <si>
    <t>905р.</t>
  </si>
  <si>
    <t>Галеева 29</t>
  </si>
  <si>
    <t>http://178.207.12.177:8080</t>
  </si>
  <si>
    <t>Крифтиков Николай Николаевич</t>
  </si>
  <si>
    <t>Галеева 31</t>
  </si>
  <si>
    <t>http://217.173.17.173</t>
  </si>
  <si>
    <t>Рафикова  Альбина Георгиевна кв.82, 89872836671</t>
  </si>
  <si>
    <t>310 391 39 074</t>
  </si>
  <si>
    <t>до 15 числа</t>
  </si>
  <si>
    <t>Галеева 33</t>
  </si>
  <si>
    <t>http://217.173.17.191</t>
  </si>
  <si>
    <t>Ахметшин Нияз Зуфарович</t>
  </si>
  <si>
    <t>310 392 679 03</t>
  </si>
  <si>
    <t>Галеева 35</t>
  </si>
  <si>
    <t>http://78.138.190.178/</t>
  </si>
  <si>
    <t>Миргазитов Алмаз Ирекович кв 234</t>
  </si>
  <si>
    <t>105 911 370</t>
  </si>
  <si>
    <t>Гафиатуллина 62</t>
  </si>
  <si>
    <t>http://185.148.216.28:8080/</t>
  </si>
  <si>
    <t>Гатауллин Марсель Валиаметович, кв. 36, 89274708700</t>
  </si>
  <si>
    <t>Ленина 106</t>
  </si>
  <si>
    <t>Спутник</t>
  </si>
  <si>
    <t>до 24 числа</t>
  </si>
  <si>
    <t>Ленина 147</t>
  </si>
  <si>
    <t>Кадыров Радик Халитович, 8917 270 93 90</t>
  </si>
  <si>
    <t>Ленина 143</t>
  </si>
  <si>
    <t>Зигангирова Регина Фархатовна, 89625743377</t>
  </si>
  <si>
    <t>Ленина 157 А</t>
  </si>
  <si>
    <t>http://178.207.13.192:8080</t>
  </si>
  <si>
    <t>Кучкина Светлана. кв. 40, домофон 2402, 8(960)059-92-18</t>
  </si>
  <si>
    <t>Нефтяников 11А</t>
  </si>
  <si>
    <t>http://185.148.219.161</t>
  </si>
  <si>
    <t>Аюпов Сергей Александрович  кв 12 89874207630</t>
  </si>
  <si>
    <t>10 52 354</t>
  </si>
  <si>
    <t>Нефтяников 17</t>
  </si>
  <si>
    <t>Елесеева Дарья Владимировна</t>
  </si>
  <si>
    <t>Нефтяников 35</t>
  </si>
  <si>
    <t>http://neftyanikov35.keenetic.link</t>
  </si>
  <si>
    <t xml:space="preserve">Васильев Богдан </t>
  </si>
  <si>
    <t>Строителей 61</t>
  </si>
  <si>
    <t>http://178.207.12.187</t>
  </si>
  <si>
    <t>Новикова Лилия Раисовна кв.12, 89503138559</t>
  </si>
  <si>
    <t>106 350 692</t>
  </si>
  <si>
    <t>Строителей 53б</t>
  </si>
  <si>
    <t>Ананьева Олеся Владимировна, кв 63     89172239401</t>
  </si>
  <si>
    <t>камеры, спутники</t>
  </si>
  <si>
    <t>8 числа</t>
  </si>
  <si>
    <t>Строителей 68</t>
  </si>
  <si>
    <t>http://78.138.190.21/</t>
  </si>
  <si>
    <t>кв.265 Халилова Марина Игоревна</t>
  </si>
  <si>
    <t>100 726 004</t>
  </si>
  <si>
    <t>Строителей 70</t>
  </si>
  <si>
    <t>Замалиев Руслан Ришатович, 89867124313</t>
  </si>
  <si>
    <t>08 числа</t>
  </si>
  <si>
    <t>Строителей 74</t>
  </si>
  <si>
    <t>Кропачева Алия Рафаэльевна , кв 36</t>
  </si>
  <si>
    <t>Строителей 78</t>
  </si>
  <si>
    <t>Булатова Альбина Рамилевна, кв 118</t>
  </si>
  <si>
    <t>Строителей 76</t>
  </si>
  <si>
    <r>
      <t xml:space="preserve">
</t>
    </r>
    <r>
      <rPr>
        <rFont val="Arial"/>
        <color rgb="FF1155CC"/>
        <u/>
      </rPr>
      <t>https://stroitelei76.keenetic.link/</t>
    </r>
  </si>
  <si>
    <t>Фролов Геннадий Александрович, кв 230 +79393775392</t>
  </si>
  <si>
    <t>105 96 65</t>
  </si>
  <si>
    <t>Строителей 80</t>
  </si>
  <si>
    <t>http://178.207.15.106:8080</t>
  </si>
  <si>
    <t>Крымский Дамир Рафаэльевич</t>
  </si>
  <si>
    <t>105 831 706</t>
  </si>
  <si>
    <t>Чернышевского 46а</t>
  </si>
  <si>
    <t>http://178.207.8.74</t>
  </si>
  <si>
    <t>Хаббулина Рамиля Мохаметкасимовна, 89869135351</t>
  </si>
  <si>
    <t xml:space="preserve">Новикова 1 </t>
  </si>
  <si>
    <t>http://178.207.8.118:8080</t>
  </si>
  <si>
    <t>Кузнецов Артем Степанович</t>
  </si>
  <si>
    <t>Олимпик лайф 2 Гафиатул 60</t>
  </si>
  <si>
    <t>Якупов Марат</t>
  </si>
  <si>
    <t xml:space="preserve">Шевченко 116 </t>
  </si>
  <si>
    <t>Калимуллин Раиль  Гаптрашитович кв 41    89173936018</t>
  </si>
  <si>
    <t>10 числа</t>
  </si>
  <si>
    <t>Гафиатуллина 66</t>
  </si>
  <si>
    <t>http://217.173.19.42:8080/</t>
  </si>
  <si>
    <t>Альмет</t>
  </si>
  <si>
    <t>Сания Зуфаровна Х</t>
  </si>
  <si>
    <t>МТС (юр лицо)</t>
  </si>
  <si>
    <t>в лк брать счет</t>
  </si>
  <si>
    <t>?</t>
  </si>
  <si>
    <t>Зарипова 5</t>
  </si>
  <si>
    <t>http://217.173.17.140:8080</t>
  </si>
  <si>
    <t xml:space="preserve">Муфазарова Эльвира Жоробаева, кв 28,  </t>
  </si>
  <si>
    <t>Зарипова 11</t>
  </si>
  <si>
    <t>http://185.148.216.4</t>
  </si>
  <si>
    <t>Яруллин Фарит кв.39, 8(917)234-70-60</t>
  </si>
  <si>
    <t>104 83 60</t>
  </si>
  <si>
    <t>1 числа</t>
  </si>
  <si>
    <t>695р.</t>
  </si>
  <si>
    <t>Зарипова 13Б</t>
  </si>
  <si>
    <t>http://178.207.13.207</t>
  </si>
  <si>
    <t>Шарифуллин Динар Ильфирович кв.44, 8(917)220-66-29</t>
  </si>
  <si>
    <t>Зарипова 13А</t>
  </si>
  <si>
    <t>http://78.138.190.10:80</t>
  </si>
  <si>
    <t>Асафов Виктор Андреевич, 89871752101 кв 38</t>
  </si>
  <si>
    <t>Зарипова 17</t>
  </si>
  <si>
    <t>http://178.207.67.192/</t>
  </si>
  <si>
    <t>Мухаматов Ильгиз Илгизарович.</t>
  </si>
  <si>
    <t>101 715 440</t>
  </si>
  <si>
    <t>Зарипова 21</t>
  </si>
  <si>
    <t>http://217.173.17.188:8080</t>
  </si>
  <si>
    <t>Нурдиллаев Рамиль Равилевич кв.43, 8(917)859-10-55</t>
  </si>
  <si>
    <t>450р.</t>
  </si>
  <si>
    <t>Аминова 3</t>
  </si>
  <si>
    <t>http://185.148.217.40:8080/</t>
  </si>
  <si>
    <t>Чизракова Наталья Андреевна</t>
  </si>
  <si>
    <t>ТатАИСнефть</t>
  </si>
  <si>
    <t>104 4477</t>
  </si>
  <si>
    <t>АЛСУ</t>
  </si>
  <si>
    <t>АЛЬМЕТЬЕВСК</t>
  </si>
  <si>
    <t>ИТОГО</t>
  </si>
  <si>
    <t>4537 из кассы</t>
  </si>
  <si>
    <t>665 лишнее с йоты, но я их закинула на йоту</t>
  </si>
  <si>
    <t>взять у Марата</t>
  </si>
  <si>
    <t>марат</t>
  </si>
  <si>
    <t>степная 1 а вернула</t>
  </si>
  <si>
    <t>моя зп</t>
  </si>
  <si>
    <t xml:space="preserve">оплата в октябре </t>
  </si>
  <si>
    <t xml:space="preserve">оплата в сентябре </t>
  </si>
  <si>
    <t xml:space="preserve">оплата в августе </t>
  </si>
  <si>
    <t xml:space="preserve">оплата в июле </t>
  </si>
  <si>
    <t xml:space="preserve">оплата в июне </t>
  </si>
  <si>
    <t xml:space="preserve">оплата в мае </t>
  </si>
  <si>
    <t xml:space="preserve">оплата в апреле </t>
  </si>
  <si>
    <t>оплата в  марте</t>
  </si>
  <si>
    <t>оплата в феврале</t>
  </si>
  <si>
    <t xml:space="preserve">оплата в январе </t>
  </si>
  <si>
    <t>Дата начало обслу-ания</t>
  </si>
  <si>
    <t>Дата списания</t>
  </si>
  <si>
    <t>оплата в ноябре</t>
  </si>
  <si>
    <t>сумма</t>
  </si>
  <si>
    <t>дата</t>
  </si>
  <si>
    <t>К.Маркса д. 30а</t>
  </si>
  <si>
    <r>
      <rPr>
        <color rgb="FF1155CC"/>
        <u/>
      </rPr>
      <t>http://178.205.102.182</t>
    </r>
    <r>
      <rPr>
        <color rgb="FF1155CC"/>
        <u/>
      </rPr>
      <t xml:space="preserve"> нет статики</t>
    </r>
  </si>
  <si>
    <t>Радужный</t>
  </si>
  <si>
    <t xml:space="preserve">Чукурова  Надежда Григорьевна кв 1 89874050052 </t>
  </si>
  <si>
    <t>25 числа</t>
  </si>
  <si>
    <t>К.Маркса д. 36а</t>
  </si>
  <si>
    <t>https://marksa36a.keenetic.link</t>
  </si>
  <si>
    <t>Малиневская Светлана Эдуардовна кв 5, 89503264501</t>
  </si>
  <si>
    <t>К.Маркса д. 36б</t>
  </si>
  <si>
    <t>https://marksa36b.keenetic.link/</t>
  </si>
  <si>
    <t>Мухаев Юрий Леонидович 89053100058 кв 9</t>
  </si>
  <si>
    <t>Комарова д. 14а</t>
  </si>
  <si>
    <t>ТСЖ №6</t>
  </si>
  <si>
    <t>Христафоров Сергей Васильевич, 89600387171</t>
  </si>
  <si>
    <t>ТатаисНефть</t>
  </si>
  <si>
    <t>Спутники</t>
  </si>
  <si>
    <t>27.22.25</t>
  </si>
  <si>
    <t>Ленина д. 21</t>
  </si>
  <si>
    <t>Жилкомплекс</t>
  </si>
  <si>
    <t>Якупов Марат Мансурович</t>
  </si>
  <si>
    <t>Yota</t>
  </si>
  <si>
    <t>4 числа</t>
  </si>
  <si>
    <t>Егорова Татьяна Алексеевна, кв 14</t>
  </si>
  <si>
    <t>105 805 637</t>
  </si>
  <si>
    <t>19 числа</t>
  </si>
  <si>
    <t>Гоголя д. 22 а</t>
  </si>
  <si>
    <t>Сектор безопасности</t>
  </si>
  <si>
    <t>Оникс</t>
  </si>
  <si>
    <t>без.нал</t>
  </si>
  <si>
    <t>Карла Маркса д. 35</t>
  </si>
  <si>
    <t>Ленина д. 1</t>
  </si>
  <si>
    <t>Ленина д. 2</t>
  </si>
  <si>
    <t>Паратская д. 13</t>
  </si>
  <si>
    <t>Паратская д. 15</t>
  </si>
  <si>
    <t>Тукая д. 22</t>
  </si>
  <si>
    <t>Карла Маркса д. 57а</t>
  </si>
  <si>
    <t>karlamarksa57a.keenetic.link</t>
  </si>
  <si>
    <t>Комарова д. 21</t>
  </si>
  <si>
    <t>komarova21.keenetic.link</t>
  </si>
  <si>
    <t>Комарова д. 23</t>
  </si>
  <si>
    <t>komarova23.keenetic.name</t>
  </si>
  <si>
    <t>Королева д. 10</t>
  </si>
  <si>
    <t>Комарова д. 41</t>
  </si>
  <si>
    <t>https://inkey.rt.ru/main/domofons</t>
  </si>
  <si>
    <t>Система и платформа Ростелекома</t>
  </si>
  <si>
    <t>Тургенева д. 54</t>
  </si>
  <si>
    <t>tyrgeneva54.keenetic.link</t>
  </si>
  <si>
    <t>Комарова д. 27</t>
  </si>
  <si>
    <t>komarova27.keenetic.link</t>
  </si>
  <si>
    <t>16966-06-2022</t>
  </si>
  <si>
    <t>Комарова д. 37</t>
  </si>
  <si>
    <t>komarova37.keenetic.link</t>
  </si>
  <si>
    <t>16966-06-2023</t>
  </si>
  <si>
    <t>Большая Заводская д. 75</t>
  </si>
  <si>
    <t>Сафиуллин Раниф Рифхатович</t>
  </si>
  <si>
    <t>22 числа</t>
  </si>
  <si>
    <t>Комарова д. 39</t>
  </si>
  <si>
    <t>16966-06-2024</t>
  </si>
  <si>
    <t>Гастелло д. 11</t>
  </si>
  <si>
    <t>Гастелло д. 7</t>
  </si>
  <si>
    <t>Гастелло д. 9</t>
  </si>
  <si>
    <t>Хазиева д. 5</t>
  </si>
  <si>
    <t>ИТОГО К ОПЛАТЕ</t>
  </si>
  <si>
    <t xml:space="preserve">Оплата в октябре </t>
  </si>
  <si>
    <t xml:space="preserve">Оплата в сентябре </t>
  </si>
  <si>
    <t xml:space="preserve">Оплата в августе </t>
  </si>
  <si>
    <t xml:space="preserve">Оплата в июле </t>
  </si>
  <si>
    <t xml:space="preserve">Оплата в июне </t>
  </si>
  <si>
    <t xml:space="preserve">Оплата в мае </t>
  </si>
  <si>
    <t xml:space="preserve">Оплата в апреле </t>
  </si>
  <si>
    <t xml:space="preserve">Оплата в марте </t>
  </si>
  <si>
    <t xml:space="preserve">Оплата в феврале </t>
  </si>
  <si>
    <t>Сабан 1 кв 45</t>
  </si>
  <si>
    <t>http://92.255.198.107:8888</t>
  </si>
  <si>
    <t>ЖКХ</t>
  </si>
  <si>
    <t>Назира апа ст.по дому</t>
  </si>
  <si>
    <t>Хлебозаводская д 6</t>
  </si>
  <si>
    <t xml:space="preserve">до 5 числа </t>
  </si>
  <si>
    <t>Сабан 7а</t>
  </si>
  <si>
    <t>Сафиуллин Раниф Рифхатович, 41 кв</t>
  </si>
  <si>
    <t>79876001969_serv1 - логин,  
g5i9m099 - пароль</t>
  </si>
  <si>
    <t>Кулахметова 25 к.1 57 кв</t>
  </si>
  <si>
    <t>http://92.255.201.185:8889</t>
  </si>
  <si>
    <t>Загидуллин Ренат Рафисович</t>
  </si>
  <si>
    <t>Кулахметова 22</t>
  </si>
  <si>
    <t>Нуриазов Рустем Рамилевич</t>
  </si>
  <si>
    <t>116 315 745 778</t>
  </si>
  <si>
    <t>5 число</t>
  </si>
  <si>
    <t>Бакалейная 52А</t>
  </si>
  <si>
    <t>http://89.251.157.129:8080</t>
  </si>
  <si>
    <t>Загидуллин Ринат Рафисович кв.7</t>
  </si>
  <si>
    <t>310 090 643 25</t>
  </si>
  <si>
    <t>15 числа</t>
  </si>
  <si>
    <t>Декабристов 106а (106б)</t>
  </si>
  <si>
    <t>http://84.39.246.20</t>
  </si>
  <si>
    <t>кв. 2, Шамгунов Олег (старший по дому) 89510646538</t>
  </si>
  <si>
    <t xml:space="preserve">Казгорсеть (КГС) </t>
  </si>
  <si>
    <t>Ютазинская 16</t>
  </si>
  <si>
    <t>http://87.117.180.31</t>
  </si>
  <si>
    <t>Фатыхов Рустам Рустемович</t>
  </si>
  <si>
    <t>316 020 075 006</t>
  </si>
  <si>
    <t>ежедневно равными долями</t>
  </si>
  <si>
    <t>Кулахметова 17 к 3 под 3</t>
  </si>
  <si>
    <t>https://kulax17k3p3.keenetic.name/controlPanel/devicesList</t>
  </si>
  <si>
    <t>23 числа</t>
  </si>
  <si>
    <t>Серова 4,кв. 38</t>
  </si>
  <si>
    <t>https://dekab106.keenetic.link/controlPanel/devicesList</t>
  </si>
  <si>
    <t>Декабристов 178А</t>
  </si>
  <si>
    <t>http://89.251.144.64:8080/controlPanel/devicesList</t>
  </si>
  <si>
    <t>917 276 5969</t>
  </si>
  <si>
    <t>18 числа</t>
  </si>
  <si>
    <t>Декабристов 127</t>
  </si>
  <si>
    <t>Фомичев Владимир Акимович 130 кв  89046678189</t>
  </si>
  <si>
    <t>Тателеком</t>
  </si>
  <si>
    <t>Горьковское Шоссе 17</t>
  </si>
  <si>
    <t>Коновалова Ольга Владимировна, кв 37, 89274174715</t>
  </si>
  <si>
    <t>Зур Урам 1 к 4</t>
  </si>
  <si>
    <t>Интернет оплачивает УК</t>
  </si>
  <si>
    <t>оплата в сентяборе</t>
  </si>
  <si>
    <t>оплата в маи</t>
  </si>
  <si>
    <t>оплата в апреле</t>
  </si>
  <si>
    <t>оплата в марте</t>
  </si>
  <si>
    <t>оплата за феврале</t>
  </si>
  <si>
    <t>оплата за январь</t>
  </si>
  <si>
    <t>Спортивная 114 Домофон Спутник</t>
  </si>
  <si>
    <t>иннофонд</t>
  </si>
  <si>
    <t>21 числа</t>
  </si>
  <si>
    <t>Спортивная 106 Домофон Спутник</t>
  </si>
  <si>
    <t>20 числа</t>
  </si>
  <si>
    <t>Нумерация</t>
  </si>
  <si>
    <t>оплата в мае</t>
  </si>
  <si>
    <t>оплата в АПРЕЛЬ</t>
  </si>
  <si>
    <t>оплата в январе</t>
  </si>
  <si>
    <t xml:space="preserve">Республики д. 181 </t>
  </si>
  <si>
    <t>http://188.186.176.220/</t>
  </si>
  <si>
    <t>жсу</t>
  </si>
  <si>
    <t>Безопасный город</t>
  </si>
  <si>
    <t>ФК 5610</t>
  </si>
  <si>
    <t xml:space="preserve">  10 числа</t>
  </si>
  <si>
    <t>Рижская д. 80</t>
  </si>
  <si>
    <t>http://92.255.171.20:8888</t>
  </si>
  <si>
    <t xml:space="preserve">50 Лет Октября д. 60 </t>
  </si>
  <si>
    <t>Колова Юлия</t>
  </si>
  <si>
    <t>8 982 937 9006</t>
  </si>
  <si>
    <t xml:space="preserve">50 лет Октября д. 68 </t>
  </si>
  <si>
    <t>8 982 947 6256</t>
  </si>
  <si>
    <t>Республики д. 183</t>
  </si>
  <si>
    <t>http://109.194.162.243</t>
  </si>
  <si>
    <t>Спутник, камеры</t>
  </si>
  <si>
    <t>Севастопольская , 25 кв 46</t>
  </si>
  <si>
    <t>Севастопольская , 33 , 33</t>
  </si>
  <si>
    <t>статики нет</t>
  </si>
  <si>
    <t xml:space="preserve"> 21 числа</t>
  </si>
  <si>
    <t>Текстильная д.1</t>
  </si>
  <si>
    <t>Симка йота Алкател</t>
  </si>
  <si>
    <t>Текстильная д.5</t>
  </si>
  <si>
    <t xml:space="preserve">Текстильная д.5, 23 кв </t>
  </si>
  <si>
    <t>Лобанова Анна</t>
  </si>
  <si>
    <t>Одесская д. 51, кв 36, 89044968823</t>
  </si>
  <si>
    <t>Стоит рег, без статики</t>
  </si>
  <si>
    <t>Акмалов Игорь Русланович</t>
  </si>
  <si>
    <t>Билайн</t>
  </si>
  <si>
    <t>0 858 024 535</t>
  </si>
  <si>
    <t xml:space="preserve"> 20 числа</t>
  </si>
  <si>
    <t>Пермякова д. 16 кв 23</t>
  </si>
  <si>
    <t>Пермякова д. 24</t>
  </si>
  <si>
    <t>http://109.68.171.185:81</t>
  </si>
  <si>
    <t>572 011 701 159</t>
  </si>
  <si>
    <t>Севастопольская, 25</t>
  </si>
  <si>
    <t>http://188.186.176.222:80</t>
  </si>
  <si>
    <t>30 Лет Победы д. 73</t>
  </si>
  <si>
    <t>ЖЭУ 9</t>
  </si>
  <si>
    <t xml:space="preserve"> 1 числа</t>
  </si>
  <si>
    <t>Ткацкий 18</t>
  </si>
  <si>
    <t xml:space="preserve">Жэу 9 </t>
  </si>
  <si>
    <t>572 011 720 288</t>
  </si>
  <si>
    <t xml:space="preserve"> Ростовцева д. 23</t>
  </si>
  <si>
    <t>Кинетик поставить</t>
  </si>
  <si>
    <t>Суходолье</t>
  </si>
  <si>
    <t>00-0655</t>
  </si>
  <si>
    <t xml:space="preserve"> Ростовцева д. 25</t>
  </si>
  <si>
    <t xml:space="preserve"> rostovtseva25.keenetic.link</t>
  </si>
  <si>
    <t xml:space="preserve"> Ростовцева д. 25 К 1</t>
  </si>
  <si>
    <t xml:space="preserve"> rostovtseva25k1.keenetic.link</t>
  </si>
  <si>
    <t xml:space="preserve"> Ростовцева д. 27 К 1</t>
  </si>
  <si>
    <t xml:space="preserve"> Ростовцева д. 27 К 2</t>
  </si>
  <si>
    <t>Б. Житкова д. 10</t>
  </si>
  <si>
    <t>Кинетик постаивить</t>
  </si>
  <si>
    <t xml:space="preserve">Б. Житкова д. 2 </t>
  </si>
  <si>
    <t>Б. Житкова д. 4</t>
  </si>
  <si>
    <t>zhitkova4.keenetic.link</t>
  </si>
  <si>
    <t>Б. Житкова д. 5</t>
  </si>
  <si>
    <t>zhitkova5.keenetic.link</t>
  </si>
  <si>
    <t>Б. Житкова д. 5 К 1</t>
  </si>
  <si>
    <t xml:space="preserve"> zhitkova5k1.keenetic.link</t>
  </si>
  <si>
    <t xml:space="preserve">Б. Житкова д. 6 </t>
  </si>
  <si>
    <t xml:space="preserve"> zhitkova6.keenetic.link</t>
  </si>
  <si>
    <t>Б. Житкова д. 6 К 1</t>
  </si>
  <si>
    <t xml:space="preserve"> zhitkova6k1.keenetic.link</t>
  </si>
  <si>
    <t>Б. Житкова д. 7</t>
  </si>
  <si>
    <t xml:space="preserve"> zhitkova7.keenetic.link</t>
  </si>
  <si>
    <t>Б. Житкова д. 7 К 1</t>
  </si>
  <si>
    <t xml:space="preserve"> zhitkova7k1.keenetic.link</t>
  </si>
  <si>
    <t>Б. Житкова д. 8</t>
  </si>
  <si>
    <t xml:space="preserve"> zhitkova8.keenetic.link</t>
  </si>
  <si>
    <t>Б. Житкова д. 8 К 1</t>
  </si>
  <si>
    <t>Монтажников д. 43</t>
  </si>
  <si>
    <t xml:space="preserve"> montazhnikov43.keenetic.link</t>
  </si>
  <si>
    <t>Монтажников д. 45</t>
  </si>
  <si>
    <t xml:space="preserve"> montazhnikov45.keenetic.link</t>
  </si>
  <si>
    <t>Монтажников д. 47</t>
  </si>
  <si>
    <t xml:space="preserve"> montazhnikov47.keenetic.link</t>
  </si>
  <si>
    <t>Монтажников д. 49</t>
  </si>
  <si>
    <t xml:space="preserve"> montazhnikov49.keenetic.link</t>
  </si>
  <si>
    <t>Монтажников д. 51</t>
  </si>
  <si>
    <t>Монтажников д. 53</t>
  </si>
  <si>
    <t>Монтажников д. 55</t>
  </si>
  <si>
    <t>Беляева д. 17 а</t>
  </si>
  <si>
    <t>Статика есть узнать в роутере</t>
  </si>
  <si>
    <t>На Пражской</t>
  </si>
  <si>
    <t>Беляева д. 33</t>
  </si>
  <si>
    <t>http://90.151.249.227:81/</t>
  </si>
  <si>
    <t>Игримская д. 37</t>
  </si>
  <si>
    <t>М.Захарова д. 11к3</t>
  </si>
  <si>
    <t>Судоремонтная д. 24</t>
  </si>
  <si>
    <t>sudoremontnaya24.keenetic.link</t>
  </si>
  <si>
    <t>Судоремонтная д. 28</t>
  </si>
  <si>
    <t>sudoremontnaya28.keenetic.link</t>
  </si>
  <si>
    <t>Судоремонтная д. 28k1</t>
  </si>
  <si>
    <t>Гольцова д.10</t>
  </si>
  <si>
    <t>85.15.179.198</t>
  </si>
  <si>
    <t>Аурика</t>
  </si>
  <si>
    <t>Белинского д. 14</t>
  </si>
  <si>
    <t>запад</t>
  </si>
  <si>
    <t>572 011 701 911</t>
  </si>
  <si>
    <t xml:space="preserve">Белинского д. 28 </t>
  </si>
  <si>
    <r>
      <rPr>
        <color rgb="FF1155CC"/>
        <u/>
      </rPr>
      <t>178.46.156.216:81</t>
    </r>
  </si>
  <si>
    <t>Белинского д. 28 А</t>
  </si>
  <si>
    <r>
      <rPr>
        <rFont val="Arial, sans-serif"/>
        <color rgb="FF1155CC"/>
        <u/>
      </rPr>
      <t xml:space="preserve"> belinskogo28</t>
    </r>
    <r>
      <rPr>
        <rFont val="Arial, sans-serif"/>
        <color rgb="FF000000"/>
      </rPr>
      <t>a.keenetic.link</t>
    </r>
  </si>
  <si>
    <t>Белинского д. 6</t>
  </si>
  <si>
    <t xml:space="preserve">камеры </t>
  </si>
  <si>
    <t xml:space="preserve">24 числа </t>
  </si>
  <si>
    <t>Грибоедова д. 6</t>
  </si>
  <si>
    <t>Достоевского д.9</t>
  </si>
  <si>
    <t>http://85.15.140.140</t>
  </si>
  <si>
    <t>Клары Цеткин д. 21</t>
  </si>
  <si>
    <t>http://92.255.174.184/</t>
  </si>
  <si>
    <t>1 число</t>
  </si>
  <si>
    <t>Локомотивная 116.5</t>
  </si>
  <si>
    <t>http://178.46.154.177:7878/</t>
  </si>
  <si>
    <t xml:space="preserve">Московский т-т д. 119 </t>
  </si>
  <si>
    <t>http://109.68.171.173:81/</t>
  </si>
  <si>
    <t>Московский т. 108 А</t>
  </si>
  <si>
    <t>http://92.255.169.184</t>
  </si>
  <si>
    <t xml:space="preserve">Пролетарская 120а </t>
  </si>
  <si>
    <t>http://89.250.147.126:80</t>
  </si>
  <si>
    <t xml:space="preserve"> 10 числа</t>
  </si>
  <si>
    <t>Степная д.1 А</t>
  </si>
  <si>
    <t>http://92.255.171.53:8888/</t>
  </si>
  <si>
    <t>перевели в ростелеком</t>
  </si>
  <si>
    <t>Стапная 1а</t>
  </si>
  <si>
    <t>http://89.204.26.134:81/</t>
  </si>
  <si>
    <t>Сптутник</t>
  </si>
  <si>
    <t>Червишевский д.78</t>
  </si>
  <si>
    <t xml:space="preserve">http://178.46.156.24/ </t>
  </si>
  <si>
    <t>Шепелев Дмитрий Николаевич</t>
  </si>
  <si>
    <t>572 011 470 196</t>
  </si>
  <si>
    <t>Червишевский т-т 94</t>
  </si>
  <si>
    <t>Кинетик нужен</t>
  </si>
  <si>
    <t xml:space="preserve"> 4 числа</t>
  </si>
  <si>
    <t>Червишевский т-т 94 2 точка</t>
  </si>
  <si>
    <t>Ямская  д. 94</t>
  </si>
  <si>
    <t>Ямская  д.73</t>
  </si>
  <si>
    <t>http://83.136.113.253/</t>
  </si>
  <si>
    <t>Ямская д. 57</t>
  </si>
  <si>
    <t>http://85.15.189.158:81/</t>
  </si>
  <si>
    <t>Ямская д. 96</t>
  </si>
  <si>
    <t>http://92.255.171.73</t>
  </si>
  <si>
    <t>http://178.46.153.52:81</t>
  </si>
  <si>
    <t>Ямская д. 98</t>
  </si>
  <si>
    <t>Ямская д.100</t>
  </si>
  <si>
    <t>http://92.255.165.160:8888/</t>
  </si>
  <si>
    <t xml:space="preserve"> 8 числа</t>
  </si>
  <si>
    <t>Ямская д.102а</t>
  </si>
  <si>
    <t>http://188.186.177.146:8888</t>
  </si>
  <si>
    <t>Ямская д.98</t>
  </si>
  <si>
    <t>http://188.186.178.245:8888</t>
  </si>
  <si>
    <t>Таврическая д.2</t>
  </si>
  <si>
    <t>Моск тракт 117</t>
  </si>
  <si>
    <t>Пархоменко д. 1</t>
  </si>
  <si>
    <t>572 011 718 930</t>
  </si>
  <si>
    <t>Полевая д. 27</t>
  </si>
  <si>
    <t>Садовая 117</t>
  </si>
  <si>
    <t>Республики 241/республики 190 кв 11</t>
  </si>
  <si>
    <t>Монолит</t>
  </si>
  <si>
    <t xml:space="preserve">26 числа </t>
  </si>
  <si>
    <t>950+200=1150</t>
  </si>
  <si>
    <t>Республики 243/республики 188 кв 45</t>
  </si>
  <si>
    <t>06 числа</t>
  </si>
  <si>
    <t>Республики 239/республики 190 кв 12</t>
  </si>
  <si>
    <t>07 числа</t>
  </si>
  <si>
    <t>Мельникайте 115/луначарского 38-59</t>
  </si>
  <si>
    <t>Игримская д. 20</t>
  </si>
  <si>
    <t>Бажкова Ирина Анатольевна</t>
  </si>
  <si>
    <t>31 числа</t>
  </si>
  <si>
    <t>Ермака 29</t>
  </si>
  <si>
    <t xml:space="preserve">Маркова Наталья </t>
  </si>
  <si>
    <t>ТелеСети</t>
  </si>
  <si>
    <t xml:space="preserve">Камеры </t>
  </si>
  <si>
    <t xml:space="preserve">31 числа </t>
  </si>
  <si>
    <t>Мельникайте 113 кв 210</t>
  </si>
  <si>
    <t xml:space="preserve">21 числа </t>
  </si>
  <si>
    <t>Игримская 36</t>
  </si>
  <si>
    <t>Червишевский т-т 31</t>
  </si>
  <si>
    <t>ТСЖ Электрон</t>
  </si>
  <si>
    <t>В.Гнаровской 7</t>
  </si>
  <si>
    <t>ТСН Вавилон</t>
  </si>
  <si>
    <t>Республики д. 212</t>
  </si>
  <si>
    <t>ирида</t>
  </si>
  <si>
    <t>Республики д. 220</t>
  </si>
  <si>
    <t>Врпрвского 27</t>
  </si>
  <si>
    <t>Транспортная д. 108</t>
  </si>
  <si>
    <t>Ладья</t>
  </si>
  <si>
    <t xml:space="preserve"> 14 числа</t>
  </si>
  <si>
    <t>Тюмень офис</t>
  </si>
  <si>
    <t>ГЭ</t>
  </si>
  <si>
    <t>офис, камера</t>
  </si>
  <si>
    <t>отключили</t>
  </si>
  <si>
    <t>интрнет офис</t>
  </si>
  <si>
    <t xml:space="preserve">Одесская 44 к 1 </t>
  </si>
  <si>
    <t>ТЭСК</t>
  </si>
  <si>
    <t>572 011 701 076</t>
  </si>
  <si>
    <t>камеры</t>
  </si>
  <si>
    <t>Одессская д. 44</t>
  </si>
  <si>
    <t>http://89.204.58.181:8082</t>
  </si>
  <si>
    <t>юг</t>
  </si>
  <si>
    <t>Алешина Любовь Валентиновна +7 (961) 214-92-23</t>
  </si>
  <si>
    <t>572 011 448 415</t>
  </si>
  <si>
    <t>Широтная д. 125</t>
  </si>
  <si>
    <t>http://178.46.154.184:81/</t>
  </si>
  <si>
    <t>Восток-сити</t>
  </si>
  <si>
    <t>Чернышевского 2бк2</t>
  </si>
  <si>
    <t>На Полевой</t>
  </si>
  <si>
    <t>Малышева 24 к 1</t>
  </si>
  <si>
    <t>УК Высота</t>
  </si>
  <si>
    <t>до 28</t>
  </si>
  <si>
    <t>Дата списание абонетской платы</t>
  </si>
  <si>
    <t>оплата в январь</t>
  </si>
  <si>
    <t>оплата за февраль</t>
  </si>
  <si>
    <t xml:space="preserve">Центральная 173 </t>
  </si>
  <si>
    <t>тринити</t>
  </si>
  <si>
    <t xml:space="preserve">Сафиуллин Раниф Рифхатович, дом 173 кв 4 </t>
  </si>
  <si>
    <t>106 155 307</t>
  </si>
  <si>
    <t>//</t>
  </si>
  <si>
    <t>Зион -2 103 dom</t>
  </si>
  <si>
    <t>165 dom</t>
  </si>
  <si>
    <t>26 числа</t>
  </si>
  <si>
    <t>ЖК Комфорт на столбе у въезда</t>
  </si>
  <si>
    <t xml:space="preserve">19 числа </t>
  </si>
  <si>
    <t>179 dom</t>
  </si>
  <si>
    <t>13 числа</t>
  </si>
  <si>
    <t>Зион 193 жители</t>
  </si>
  <si>
    <t>22 число</t>
  </si>
  <si>
    <t>195-193 dom</t>
  </si>
  <si>
    <t xml:space="preserve">28 числа </t>
  </si>
  <si>
    <t xml:space="preserve">отключили </t>
  </si>
  <si>
    <t>билайн</t>
  </si>
  <si>
    <t>8 962 212 5497</t>
  </si>
  <si>
    <t xml:space="preserve">18 числа и 5 </t>
  </si>
  <si>
    <t xml:space="preserve">187 dom </t>
  </si>
  <si>
    <t>962 206 60 97</t>
  </si>
  <si>
    <t>155 dom эта симка на камеры жителей</t>
  </si>
  <si>
    <t>145 дом, с него на 155 перекинем</t>
  </si>
  <si>
    <t>http://83.69.106.213</t>
  </si>
  <si>
    <t>0894 472 296</t>
  </si>
  <si>
    <t>6 числа</t>
  </si>
  <si>
    <t xml:space="preserve">01 числа </t>
  </si>
  <si>
    <t xml:space="preserve">189 dom </t>
  </si>
  <si>
    <t>Центральная 169-171</t>
  </si>
  <si>
    <t xml:space="preserve">23 числа </t>
  </si>
  <si>
    <t>Зион, Центральная 165</t>
  </si>
  <si>
    <t>Букин Александр</t>
  </si>
  <si>
    <t>таттелеком</t>
  </si>
  <si>
    <t>105 891 794</t>
  </si>
  <si>
    <t>Напоминаем, для оплаты услуги интернет необходимо сделать перевод на карту
Сбербанк 
2202 2032 2647 9485
Тинькофф 
5536 9139 3963 9122
В комментариях указав цифры абонентского номера «1176»</t>
  </si>
  <si>
    <t>ЗИОН</t>
  </si>
  <si>
    <t>Зион-2 115 dom</t>
  </si>
  <si>
    <t>застройщик</t>
  </si>
  <si>
    <t>28 числа</t>
  </si>
  <si>
    <t>Зион-2 135 dom</t>
  </si>
  <si>
    <t>Зион-3 ЖК Комфорт камеры бытовки</t>
  </si>
  <si>
    <t>Зион-2 заезд</t>
  </si>
  <si>
    <t>Зион-2 101 dom</t>
  </si>
  <si>
    <t>Зион-2 26 dom</t>
  </si>
  <si>
    <t>19  числа</t>
  </si>
  <si>
    <t>Зион-2 139 dom</t>
  </si>
  <si>
    <t>Зион-2 113 dom</t>
  </si>
  <si>
    <t xml:space="preserve">Зион-2 153 dom стекл.крыша </t>
  </si>
  <si>
    <t>Центральная 159</t>
  </si>
  <si>
    <t>ОПЛАЧИВАЕТ ЖИТЕЛЬ</t>
  </si>
  <si>
    <t>Центральная 167</t>
  </si>
  <si>
    <t>Центральная 161</t>
  </si>
  <si>
    <t>Берем инет от Василя</t>
  </si>
  <si>
    <t>Йота М</t>
  </si>
  <si>
    <t>нужно оплатить до 18.02.25</t>
  </si>
  <si>
    <t xml:space="preserve">Совпадение с Вотчером </t>
  </si>
  <si>
    <t>Марат до 18.02.25</t>
  </si>
  <si>
    <t>ZION</t>
  </si>
  <si>
    <t xml:space="preserve">на март </t>
  </si>
  <si>
    <t xml:space="preserve">153 dom стекл.крыша </t>
  </si>
  <si>
    <t>Зион - 2 на столбе</t>
  </si>
  <si>
    <t>татат</t>
  </si>
  <si>
    <t xml:space="preserve">Зион - 2  118 dom </t>
  </si>
  <si>
    <t>Йота Р</t>
  </si>
  <si>
    <t>раниф</t>
  </si>
  <si>
    <t>Зион - 2 135 dom</t>
  </si>
  <si>
    <t xml:space="preserve">Зион-2 103 dom </t>
  </si>
  <si>
    <t>139 dom</t>
  </si>
  <si>
    <t xml:space="preserve">расклад за февраль </t>
  </si>
  <si>
    <t xml:space="preserve">Зион-2 101 dom </t>
  </si>
  <si>
    <t>было</t>
  </si>
  <si>
    <t>Зион-2 121 dom</t>
  </si>
  <si>
    <t>оплатила</t>
  </si>
  <si>
    <t>остаток</t>
  </si>
  <si>
    <t>перевела их Юле 19.02.25</t>
  </si>
  <si>
    <t>ZION1_155</t>
  </si>
  <si>
    <t>ЗИОН 2 155 эта симка на камеры жителей</t>
  </si>
  <si>
    <t>ZION1_165</t>
  </si>
  <si>
    <t>ZION1_167</t>
  </si>
  <si>
    <t>Оплачивает житель от Марата</t>
  </si>
  <si>
    <t>ZION1_169</t>
  </si>
  <si>
    <t>ZION1_171</t>
  </si>
  <si>
    <t>ZION1_173</t>
  </si>
  <si>
    <t>ZION1_179</t>
  </si>
  <si>
    <t>ZION1_181</t>
  </si>
  <si>
    <t>ZION1_187</t>
  </si>
  <si>
    <t xml:space="preserve">187-189 dom </t>
  </si>
  <si>
    <t>ZION1_189</t>
  </si>
  <si>
    <t>ZION1_193</t>
  </si>
  <si>
    <t>ZION1_195</t>
  </si>
  <si>
    <t>ZION1_КПП</t>
  </si>
  <si>
    <t>Адрес</t>
  </si>
  <si>
    <t>Договор</t>
  </si>
  <si>
    <t>К оплате по тарифу</t>
  </si>
  <si>
    <t>декабрь</t>
  </si>
  <si>
    <t>ноябрь</t>
  </si>
  <si>
    <t>октябрь</t>
  </si>
  <si>
    <t>сентябрь</t>
  </si>
  <si>
    <t>август</t>
  </si>
  <si>
    <t>июле</t>
  </si>
  <si>
    <t>июнь</t>
  </si>
  <si>
    <t>май</t>
  </si>
  <si>
    <t>апрель</t>
  </si>
  <si>
    <t>март</t>
  </si>
  <si>
    <t>февраль</t>
  </si>
  <si>
    <t>январь</t>
  </si>
  <si>
    <t>Раниф тест</t>
  </si>
  <si>
    <t xml:space="preserve">физ.лицо </t>
  </si>
  <si>
    <t>до 1 числа</t>
  </si>
  <si>
    <t xml:space="preserve">не оплачивать перенесли в зелек </t>
  </si>
  <si>
    <t>деньги вернуть Ранифу</t>
  </si>
  <si>
    <t>Марат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</si>
</sst>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.m.yy"/>
    <numFmt numFmtId="165" formatCode="dd.mm.yy"/>
    <numFmt numFmtId="166" formatCode="#,##0&quot;руб.&quot;"/>
    <numFmt numFmtId="167" formatCode="d.m.yyyy"/>
  </numFmts>
  <fonts count="90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Roboto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sz val="11.0"/>
      <color rgb="FF000000"/>
      <name val="Calibri"/>
    </font>
    <font>
      <sz val="11.0"/>
      <color rgb="FF000000"/>
      <name val="Arial"/>
    </font>
    <font>
      <sz val="11.0"/>
      <color rgb="FF000000"/>
      <name val="Docs-Calibri"/>
    </font>
    <font>
      <b/>
      <sz val="11.0"/>
      <color rgb="FF000000"/>
      <name val="Calibri"/>
    </font>
    <font>
      <sz val="11.0"/>
      <color theme="1"/>
      <name val="Calibri"/>
    </font>
    <font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00"/>
      <name val="Calibri"/>
    </font>
    <font>
      <b/>
      <sz val="12.0"/>
      <color theme="1"/>
      <name val="Calibri"/>
    </font>
    <font>
      <sz val="12.0"/>
      <color rgb="FF000000"/>
      <name val="Calibri"/>
    </font>
    <font>
      <u/>
      <sz val="11.0"/>
      <color rgb="FF1155CC"/>
      <name val="Calibri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rgb="FF0000FF"/>
      <name val="Roboto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</font>
    <font>
      <color rgb="FF000000"/>
      <name val="Roboto"/>
    </font>
    <font>
      <u/>
      <color rgb="FF0000FF"/>
      <name val="Arial"/>
    </font>
    <font>
      <u/>
      <sz val="11.0"/>
      <color rgb="FF1155CC"/>
      <name val="Calibri"/>
    </font>
    <font>
      <u/>
      <sz val="11.0"/>
      <color rgb="FF0000FF"/>
      <name val="Calibri"/>
    </font>
    <font>
      <u/>
      <color rgb="FF0000FF"/>
      <name val="Arial"/>
    </font>
    <font>
      <u/>
      <color rgb="FF1155CC"/>
      <name val="Arial"/>
    </font>
    <font>
      <u/>
      <color rgb="FF1155CC"/>
      <name val="Ubuntu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color rgb="FF0000FF"/>
    </font>
    <font>
      <b/>
      <sz val="14.0"/>
      <color theme="1"/>
      <name val="Arial"/>
      <scheme val="minor"/>
    </font>
    <font>
      <b/>
      <sz val="12.0"/>
      <color rgb="FF000000"/>
      <name val="Roboto"/>
    </font>
    <font>
      <sz val="12.0"/>
      <color theme="1"/>
      <name val="Arial"/>
      <scheme val="minor"/>
    </font>
    <font>
      <u/>
      <color rgb="FF1155CC"/>
    </font>
    <font>
      <u/>
      <sz val="11.0"/>
      <color rgb="FF1155CC"/>
      <name val="Calibri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color rgb="FF0000FF"/>
      <name val="Arial"/>
    </font>
    <font>
      <b/>
      <sz val="14.0"/>
      <color theme="1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9.0"/>
      <color rgb="FF000000"/>
      <name val="&quot;Google Sans&quot;"/>
    </font>
    <font>
      <u/>
      <color rgb="FF1155CC"/>
      <name val="Arial"/>
    </font>
    <font>
      <u/>
      <sz val="11.0"/>
      <color theme="1"/>
      <name val="Calibri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0000FF"/>
      <name val="Roboto"/>
    </font>
    <font>
      <u/>
      <color rgb="FF1155CC"/>
    </font>
    <font>
      <b/>
      <sz val="11.0"/>
      <color rgb="FF000000"/>
      <name val="Docs-Calibri"/>
    </font>
    <font>
      <u/>
      <color rgb="FF1155CC"/>
    </font>
    <font>
      <u/>
      <sz val="11.0"/>
      <color rgb="FF0000FF"/>
      <name val="Roboto"/>
    </font>
    <font>
      <u/>
      <color rgb="FF000000"/>
      <name val="Arial"/>
    </font>
    <font>
      <u/>
      <color rgb="FF0000FF"/>
    </font>
    <font>
      <u/>
      <sz val="11.0"/>
      <color rgb="FF1155CC"/>
      <name val="Calibri"/>
    </font>
    <font>
      <u/>
      <color rgb="FF0000FF"/>
    </font>
    <font>
      <u/>
      <color rgb="FF0000FF"/>
      <name val="Arial"/>
    </font>
    <font>
      <u/>
      <color rgb="FF4285F4"/>
      <name val="Arial"/>
    </font>
    <font>
      <u/>
      <sz val="11.0"/>
      <color rgb="FF0000FF"/>
      <name val="Calibri"/>
    </font>
    <font>
      <u/>
      <sz val="11.0"/>
      <color rgb="FF0000FF"/>
      <name val="Calibri"/>
    </font>
    <font>
      <u/>
      <color rgb="FF0000FF"/>
      <name val="Arial"/>
    </font>
    <font>
      <u/>
      <sz val="11.0"/>
      <color rgb="FF0000FF"/>
      <name val="Calibri"/>
    </font>
    <font>
      <u/>
      <color rgb="FF0000FF"/>
    </font>
    <font>
      <u/>
      <color rgb="FF0000FF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color rgb="FF000000"/>
      <name val="Tahoma"/>
    </font>
    <font>
      <u/>
      <sz val="11.0"/>
      <color rgb="FF000000"/>
      <name val="Calibri"/>
    </font>
    <font>
      <b/>
      <color rgb="FF1A1A1A"/>
      <name val="Roboto"/>
    </font>
  </fonts>
  <fills count="3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6AA84F"/>
        <bgColor rgb="FF6AA84F"/>
      </patternFill>
    </fill>
    <fill>
      <patternFill patternType="solid">
        <fgColor rgb="FFB7B7B7"/>
        <bgColor rgb="FFB7B7B7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DD7E6B"/>
        <bgColor rgb="FFDD7E6B"/>
      </patternFill>
    </fill>
    <fill>
      <patternFill patternType="solid">
        <fgColor rgb="FFB6D7A8"/>
        <bgColor rgb="FFB6D7A8"/>
      </patternFill>
    </fill>
    <fill>
      <patternFill patternType="solid">
        <fgColor rgb="FF76A5AF"/>
        <bgColor rgb="FF76A5AF"/>
      </patternFill>
    </fill>
    <fill>
      <patternFill patternType="solid">
        <fgColor rgb="FF3C78D8"/>
        <bgColor rgb="FF3C78D8"/>
      </patternFill>
    </fill>
    <fill>
      <patternFill patternType="solid">
        <fgColor rgb="FFFF00FF"/>
        <bgColor rgb="FFFF00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Alignment="1" applyBorder="1" applyFont="1">
      <alignment horizontal="center" vertical="bottom"/>
    </xf>
    <xf borderId="3" fillId="0" fontId="3" numFmtId="0" xfId="0" applyBorder="1" applyFont="1"/>
    <xf borderId="2" fillId="0" fontId="3" numFmtId="0" xfId="0" applyBorder="1" applyFont="1"/>
    <xf borderId="0" fillId="0" fontId="2" numFmtId="0" xfId="0" applyAlignment="1" applyFont="1">
      <alignment vertical="bottom"/>
    </xf>
    <xf borderId="4" fillId="2" fontId="4" numFmtId="0" xfId="0" applyAlignment="1" applyBorder="1" applyFill="1" applyFont="1">
      <alignment vertical="bottom"/>
    </xf>
    <xf borderId="5" fillId="2" fontId="4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6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left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left" readingOrder="0" vertical="bottom"/>
    </xf>
    <xf borderId="5" fillId="0" fontId="8" numFmtId="0" xfId="0" applyAlignment="1" applyBorder="1" applyFont="1">
      <alignment horizontal="left" readingOrder="0" vertical="bottom"/>
    </xf>
    <xf borderId="5" fillId="0" fontId="9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8" numFmtId="0" xfId="0" applyAlignment="1" applyBorder="1" applyFont="1">
      <alignment horizontal="left" vertical="bottom"/>
    </xf>
    <xf borderId="1" fillId="0" fontId="9" numFmtId="0" xfId="0" applyAlignment="1" applyBorder="1" applyFont="1">
      <alignment vertical="bottom"/>
    </xf>
    <xf borderId="1" fillId="2" fontId="10" numFmtId="0" xfId="0" applyAlignment="1" applyBorder="1" applyFont="1">
      <alignment horizontal="left" readingOrder="0"/>
    </xf>
    <xf borderId="1" fillId="2" fontId="9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center" vertical="bottom"/>
    </xf>
    <xf borderId="1" fillId="0" fontId="12" numFmtId="0" xfId="0" applyAlignment="1" applyBorder="1" applyFont="1">
      <alignment readingOrder="0"/>
    </xf>
    <xf borderId="1" fillId="0" fontId="8" numFmtId="0" xfId="0" applyAlignment="1" applyBorder="1" applyFont="1">
      <alignment vertical="bottom"/>
    </xf>
    <xf borderId="0" fillId="2" fontId="13" numFmtId="0" xfId="0" applyAlignment="1" applyFont="1">
      <alignment horizontal="left" readingOrder="0"/>
    </xf>
    <xf borderId="1" fillId="0" fontId="14" numFmtId="0" xfId="0" applyBorder="1" applyFont="1"/>
    <xf borderId="6" fillId="0" fontId="8" numFmtId="0" xfId="0" applyAlignment="1" applyBorder="1" applyFont="1">
      <alignment vertical="bottom"/>
    </xf>
    <xf borderId="1" fillId="0" fontId="14" numFmtId="0" xfId="0" applyAlignment="1" applyBorder="1" applyFont="1">
      <alignment horizontal="left" readingOrder="0"/>
    </xf>
    <xf borderId="1" fillId="0" fontId="12" numFmtId="0" xfId="0" applyBorder="1" applyFont="1"/>
    <xf borderId="0" fillId="0" fontId="12" numFmtId="0" xfId="0" applyFont="1"/>
    <xf borderId="0" fillId="0" fontId="11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0" fontId="11" numFmtId="0" xfId="0" applyAlignment="1" applyFont="1">
      <alignment horizontal="center" readingOrder="0" vertical="bottom"/>
    </xf>
    <xf borderId="0" fillId="0" fontId="15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8" numFmtId="0" xfId="0" applyAlignment="1" applyFont="1">
      <alignment horizontal="left"/>
    </xf>
    <xf borderId="0" fillId="0" fontId="8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center"/>
    </xf>
    <xf borderId="2" fillId="0" fontId="14" numFmtId="0" xfId="0" applyAlignment="1" applyBorder="1" applyFont="1">
      <alignment readingOrder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readingOrder="0" vertical="center"/>
    </xf>
    <xf borderId="4" fillId="0" fontId="14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center" readingOrder="0" shrinkToFit="0" vertical="center" wrapText="1"/>
    </xf>
    <xf borderId="7" fillId="0" fontId="16" numFmtId="0" xfId="0" applyAlignment="1" applyBorder="1" applyFont="1">
      <alignment horizontal="center" readingOrder="0" shrinkToFit="0" vertical="center" wrapText="1"/>
    </xf>
    <xf borderId="7" fillId="2" fontId="16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3" fontId="16" numFmtId="0" xfId="0" applyAlignment="1" applyBorder="1" applyFill="1" applyFont="1">
      <alignment horizontal="center" readingOrder="0" shrinkToFit="0" vertical="center" wrapText="1"/>
    </xf>
    <xf borderId="6" fillId="0" fontId="17" numFmtId="0" xfId="0" applyAlignment="1" applyBorder="1" applyFont="1">
      <alignment horizontal="center" readingOrder="0" shrinkToFit="0" vertical="center" wrapText="1"/>
    </xf>
    <xf borderId="6" fillId="2" fontId="17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right" readingOrder="0"/>
    </xf>
    <xf borderId="4" fillId="0" fontId="14" numFmtId="0" xfId="0" applyAlignment="1" applyBorder="1" applyFont="1">
      <alignment horizontal="right" readingOrder="0"/>
    </xf>
    <xf borderId="5" fillId="0" fontId="18" numFmtId="0" xfId="0" applyAlignment="1" applyBorder="1" applyFont="1">
      <alignment horizontal="left"/>
    </xf>
    <xf borderId="5" fillId="2" fontId="8" numFmtId="0" xfId="0" applyAlignment="1" applyBorder="1" applyFont="1">
      <alignment horizontal="center" readingOrder="0" shrinkToFit="0" wrapText="1"/>
    </xf>
    <xf borderId="1" fillId="0" fontId="19" numFmtId="0" xfId="0" applyAlignment="1" applyBorder="1" applyFont="1">
      <alignment readingOrder="0" shrinkToFit="0" vertical="bottom" wrapText="0"/>
    </xf>
    <xf borderId="5" fillId="2" fontId="8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1" fillId="0" fontId="20" numFmtId="0" xfId="0" applyAlignment="1" applyBorder="1" applyFont="1">
      <alignment horizontal="center" readingOrder="0"/>
    </xf>
    <xf borderId="1" fillId="0" fontId="8" numFmtId="3" xfId="0" applyAlignment="1" applyBorder="1" applyFont="1" applyNumberFormat="1">
      <alignment horizontal="center"/>
    </xf>
    <xf borderId="5" fillId="0" fontId="8" numFmtId="3" xfId="0" applyAlignment="1" applyBorder="1" applyFont="1" applyNumberForma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shrinkToFit="0" vertical="bottom" wrapText="1"/>
    </xf>
    <xf borderId="1" fillId="2" fontId="14" numFmtId="0" xfId="0" applyAlignment="1" applyBorder="1" applyFont="1">
      <alignment readingOrder="0"/>
    </xf>
    <xf borderId="1" fillId="2" fontId="14" numFmtId="164" xfId="0" applyAlignment="1" applyBorder="1" applyFont="1" applyNumberFormat="1">
      <alignment readingOrder="0"/>
    </xf>
    <xf borderId="1" fillId="2" fontId="21" numFmtId="165" xfId="0" applyAlignment="1" applyBorder="1" applyFont="1" applyNumberFormat="1">
      <alignment readingOrder="0"/>
    </xf>
    <xf borderId="1" fillId="2" fontId="14" numFmtId="165" xfId="0" applyAlignment="1" applyBorder="1" applyFont="1" applyNumberFormat="1">
      <alignment readingOrder="0"/>
    </xf>
    <xf borderId="5" fillId="2" fontId="14" numFmtId="165" xfId="0" applyAlignment="1" applyBorder="1" applyFont="1" applyNumberFormat="1">
      <alignment readingOrder="0"/>
    </xf>
    <xf borderId="1" fillId="2" fontId="2" numFmtId="0" xfId="0" applyAlignment="1" applyBorder="1" applyFont="1">
      <alignment horizontal="right" readingOrder="0" vertical="bottom"/>
    </xf>
    <xf borderId="1" fillId="2" fontId="14" numFmtId="0" xfId="0" applyAlignment="1" applyBorder="1" applyFont="1">
      <alignment horizontal="right" readingOrder="0"/>
    </xf>
    <xf borderId="4" fillId="2" fontId="14" numFmtId="0" xfId="0" applyAlignment="1" applyBorder="1" applyFont="1">
      <alignment horizontal="right" readingOrder="0"/>
    </xf>
    <xf borderId="5" fillId="2" fontId="18" numFmtId="0" xfId="0" applyAlignment="1" applyBorder="1" applyFont="1">
      <alignment horizontal="left" readingOrder="0"/>
    </xf>
    <xf borderId="1" fillId="2" fontId="22" numFmtId="0" xfId="0" applyAlignment="1" applyBorder="1" applyFont="1">
      <alignment readingOrder="0"/>
    </xf>
    <xf borderId="1" fillId="2" fontId="20" numFmtId="0" xfId="0" applyAlignment="1" applyBorder="1" applyFont="1">
      <alignment horizontal="center" readingOrder="0"/>
    </xf>
    <xf borderId="5" fillId="2" fontId="8" numFmtId="3" xfId="0" applyAlignment="1" applyBorder="1" applyFont="1" applyNumberFormat="1">
      <alignment horizontal="center" readingOrder="0"/>
    </xf>
    <xf borderId="1" fillId="2" fontId="12" numFmtId="0" xfId="0" applyAlignment="1" applyBorder="1" applyFont="1">
      <alignment horizontal="center" readingOrder="0"/>
    </xf>
    <xf borderId="5" fillId="3" fontId="12" numFmtId="0" xfId="0" applyAlignment="1" applyBorder="1" applyFont="1">
      <alignment horizontal="center" readingOrder="0" shrinkToFit="0" wrapText="1"/>
    </xf>
    <xf borderId="1" fillId="0" fontId="14" numFmtId="165" xfId="0" applyAlignment="1" applyBorder="1" applyFont="1" applyNumberFormat="1">
      <alignment readingOrder="0"/>
    </xf>
    <xf borderId="4" fillId="2" fontId="2" numFmtId="0" xfId="0" applyAlignment="1" applyBorder="1" applyFont="1">
      <alignment horizontal="right" readingOrder="0" vertical="bottom"/>
    </xf>
    <xf borderId="0" fillId="2" fontId="14" numFmtId="0" xfId="0" applyFont="1"/>
    <xf borderId="1" fillId="0" fontId="23" numFmtId="0" xfId="0" applyAlignment="1" applyBorder="1" applyFont="1">
      <alignment readingOrder="0" shrinkToFit="0" vertical="bottom" wrapText="0"/>
    </xf>
    <xf borderId="1" fillId="2" fontId="9" numFmtId="0" xfId="0" applyAlignment="1" applyBorder="1" applyFont="1">
      <alignment horizontal="center" readingOrder="0"/>
    </xf>
    <xf borderId="5" fillId="0" fontId="8" numFmtId="3" xfId="0" applyAlignment="1" applyBorder="1" applyFont="1" applyNumberFormat="1">
      <alignment horizontal="center"/>
    </xf>
    <xf borderId="1" fillId="2" fontId="21" numFmtId="0" xfId="0" applyAlignment="1" applyBorder="1" applyFont="1">
      <alignment readingOrder="0"/>
    </xf>
    <xf borderId="1" fillId="2" fontId="24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1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 shrinkToFit="0" wrapText="1"/>
    </xf>
    <xf borderId="1" fillId="3" fontId="12" numFmtId="0" xfId="0" applyAlignment="1" applyBorder="1" applyFont="1">
      <alignment horizontal="center" readingOrder="0" shrinkToFit="0" vertical="center" wrapText="1"/>
    </xf>
    <xf borderId="1" fillId="3" fontId="12" numFmtId="0" xfId="0" applyAlignment="1" applyBorder="1" applyFont="1">
      <alignment horizontal="center" readingOrder="0" shrinkToFit="0" vertical="bottom" wrapText="1"/>
    </xf>
    <xf borderId="5" fillId="2" fontId="18" numFmtId="0" xfId="0" applyAlignment="1" applyBorder="1" applyFont="1">
      <alignment horizontal="left"/>
    </xf>
    <xf borderId="5" fillId="2" fontId="8" numFmtId="3" xfId="0" applyAlignment="1" applyBorder="1" applyFont="1" applyNumberFormat="1">
      <alignment horizontal="center"/>
    </xf>
    <xf borderId="1" fillId="3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/>
    </xf>
    <xf borderId="5" fillId="3" fontId="12" numFmtId="0" xfId="0" applyAlignment="1" applyBorder="1" applyFont="1">
      <alignment horizontal="center" readingOrder="0"/>
    </xf>
    <xf borderId="1" fillId="0" fontId="25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shrinkToFit="0" wrapText="1"/>
    </xf>
    <xf borderId="1" fillId="2" fontId="18" numFmtId="0" xfId="0" applyAlignment="1" applyBorder="1" applyFont="1">
      <alignment horizontal="left"/>
    </xf>
    <xf borderId="1" fillId="2" fontId="8" numFmtId="0" xfId="0" applyAlignment="1" applyBorder="1" applyFont="1">
      <alignment readingOrder="0" shrinkToFit="0" wrapText="1"/>
    </xf>
    <xf borderId="1" fillId="2" fontId="8" numFmtId="0" xfId="0" applyAlignment="1" applyBorder="1" applyFont="1">
      <alignment horizontal="center"/>
    </xf>
    <xf borderId="1" fillId="4" fontId="14" numFmtId="0" xfId="0" applyAlignment="1" applyBorder="1" applyFill="1" applyFont="1">
      <alignment readingOrder="0"/>
    </xf>
    <xf borderId="1" fillId="2" fontId="14" numFmtId="165" xfId="0" applyAlignment="1" applyBorder="1" applyFont="1" applyNumberFormat="1">
      <alignment readingOrder="0" shrinkToFit="0" wrapText="1"/>
    </xf>
    <xf borderId="1" fillId="5" fontId="14" numFmtId="165" xfId="0" applyAlignment="1" applyBorder="1" applyFill="1" applyFont="1" applyNumberFormat="1">
      <alignment readingOrder="0"/>
    </xf>
    <xf borderId="1" fillId="0" fontId="1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1" fillId="2" fontId="18" numFmtId="0" xfId="0" applyAlignment="1" applyBorder="1" applyFont="1">
      <alignment horizontal="left" readingOrder="0"/>
    </xf>
    <xf borderId="1" fillId="2" fontId="26" numFmtId="0" xfId="0" applyAlignment="1" applyBorder="1" applyFont="1">
      <alignment readingOrder="0"/>
    </xf>
    <xf borderId="1" fillId="2" fontId="27" numFmtId="0" xfId="0" applyAlignment="1" applyBorder="1" applyFont="1">
      <alignment readingOrder="0" shrinkToFit="0" wrapText="1"/>
    </xf>
    <xf borderId="1" fillId="2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 shrinkToFit="0" vertical="bottom" wrapText="0"/>
    </xf>
    <xf borderId="1" fillId="2" fontId="13" numFmtId="0" xfId="0" applyAlignment="1" applyBorder="1" applyFont="1">
      <alignment horizontal="left" readingOrder="0" shrinkToFit="0" wrapText="1"/>
    </xf>
    <xf borderId="5" fillId="6" fontId="8" numFmtId="0" xfId="0" applyAlignment="1" applyBorder="1" applyFill="1" applyFont="1">
      <alignment readingOrder="0" shrinkToFit="0" wrapText="1"/>
    </xf>
    <xf borderId="1" fillId="7" fontId="20" numFmtId="0" xfId="0" applyAlignment="1" applyBorder="1" applyFill="1" applyFont="1">
      <alignment horizontal="center" readingOrder="0"/>
    </xf>
    <xf borderId="5" fillId="3" fontId="8" numFmtId="0" xfId="0" applyAlignment="1" applyBorder="1" applyFont="1">
      <alignment horizontal="center" readingOrder="0" shrinkToFit="0" vertical="bottom" wrapText="1"/>
    </xf>
    <xf borderId="1" fillId="6" fontId="29" numFmtId="0" xfId="0" applyAlignment="1" applyBorder="1" applyFont="1">
      <alignment readingOrder="0" shrinkToFit="0" vertical="bottom" wrapText="0"/>
    </xf>
    <xf borderId="5" fillId="0" fontId="18" numFmtId="0" xfId="0" applyAlignment="1" applyBorder="1" applyFont="1">
      <alignment horizontal="left" readingOrder="0"/>
    </xf>
    <xf borderId="5" fillId="3" fontId="12" numFmtId="166" xfId="0" applyAlignment="1" applyBorder="1" applyFont="1" applyNumberFormat="1">
      <alignment horizontal="center" readingOrder="0"/>
    </xf>
    <xf borderId="1" fillId="0" fontId="30" numFmtId="0" xfId="0" applyAlignment="1" applyBorder="1" applyFont="1">
      <alignment readingOrder="0" shrinkToFit="0" vertical="bottom" wrapText="1"/>
    </xf>
    <xf borderId="1" fillId="2" fontId="14" numFmtId="0" xfId="0" applyAlignment="1" applyBorder="1" applyFont="1">
      <alignment readingOrder="0" shrinkToFit="0" wrapText="1"/>
    </xf>
    <xf borderId="4" fillId="2" fontId="2" numFmtId="0" xfId="0" applyAlignment="1" applyBorder="1" applyFont="1">
      <alignment horizontal="right" readingOrder="0" shrinkToFit="0" vertical="bottom" wrapText="1"/>
    </xf>
    <xf borderId="1" fillId="4" fontId="12" numFmtId="0" xfId="0" applyAlignment="1" applyBorder="1" applyFont="1">
      <alignment horizontal="center" readingOrder="0"/>
    </xf>
    <xf borderId="1" fillId="4" fontId="14" numFmtId="0" xfId="0" applyAlignment="1" applyBorder="1" applyFont="1">
      <alignment readingOrder="0" shrinkToFit="0" wrapText="1"/>
    </xf>
    <xf borderId="1" fillId="8" fontId="14" numFmtId="0" xfId="0" applyAlignment="1" applyBorder="1" applyFill="1" applyFont="1">
      <alignment readingOrder="0" shrinkToFit="0" wrapText="1"/>
    </xf>
    <xf borderId="1" fillId="3" fontId="12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8" fontId="14" numFmtId="0" xfId="0" applyAlignment="1" applyBorder="1" applyFont="1">
      <alignment readingOrder="0"/>
    </xf>
    <xf borderId="1" fillId="2" fontId="31" numFmtId="0" xfId="0" applyAlignment="1" applyBorder="1" applyFont="1">
      <alignment horizontal="left" readingOrder="0"/>
    </xf>
    <xf borderId="1" fillId="2" fontId="32" numFmtId="0" xfId="0" applyAlignment="1" applyBorder="1" applyFont="1">
      <alignment horizontal="left" readingOrder="0"/>
    </xf>
    <xf borderId="1" fillId="2" fontId="33" numFmtId="0" xfId="0" applyAlignment="1" applyBorder="1" applyFont="1">
      <alignment horizontal="left" readingOrder="0"/>
    </xf>
    <xf borderId="5" fillId="0" fontId="20" numFmtId="0" xfId="0" applyAlignment="1" applyBorder="1" applyFont="1">
      <alignment horizontal="center" readingOrder="0"/>
    </xf>
    <xf borderId="8" fillId="2" fontId="14" numFmtId="0" xfId="0" applyAlignment="1" applyBorder="1" applyFont="1">
      <alignment horizontal="right" readingOrder="0"/>
    </xf>
    <xf borderId="1" fillId="2" fontId="18" numFmtId="0" xfId="0" applyAlignment="1" applyBorder="1" applyFont="1">
      <alignment horizontal="left" readingOrder="0" shrinkToFit="0" wrapText="1"/>
    </xf>
    <xf borderId="5" fillId="2" fontId="20" numFmtId="0" xfId="0" applyAlignment="1" applyBorder="1" applyFont="1">
      <alignment horizontal="center" readingOrder="0"/>
    </xf>
    <xf borderId="5" fillId="2" fontId="12" numFmtId="0" xfId="0" applyAlignment="1" applyBorder="1" applyFont="1">
      <alignment horizontal="center" readingOrder="0"/>
    </xf>
    <xf borderId="1" fillId="2" fontId="8" numFmtId="164" xfId="0" applyAlignment="1" applyBorder="1" applyFont="1" applyNumberFormat="1">
      <alignment horizontal="center" readingOrder="0" shrinkToFit="0" wrapText="1"/>
    </xf>
    <xf borderId="1" fillId="2" fontId="14" numFmtId="165" xfId="0" applyAlignment="1" applyBorder="1" applyFont="1" applyNumberFormat="1">
      <alignment horizontal="center" readingOrder="0"/>
    </xf>
    <xf borderId="5" fillId="2" fontId="12" numFmtId="165" xfId="0" applyAlignment="1" applyBorder="1" applyFont="1" applyNumberFormat="1">
      <alignment horizontal="center" readingOrder="0" shrinkToFit="0" wrapText="1"/>
    </xf>
    <xf borderId="1" fillId="2" fontId="8" numFmtId="0" xfId="0" applyAlignment="1" applyBorder="1" applyFont="1">
      <alignment horizontal="center" readingOrder="0" shrinkToFit="0" wrapText="1"/>
    </xf>
    <xf borderId="5" fillId="4" fontId="12" numFmtId="0" xfId="0" applyAlignment="1" applyBorder="1" applyFont="1">
      <alignment horizontal="center" readingOrder="0"/>
    </xf>
    <xf borderId="1" fillId="9" fontId="14" numFmtId="0" xfId="0" applyAlignment="1" applyBorder="1" applyFill="1" applyFont="1">
      <alignment horizontal="right" readingOrder="0"/>
    </xf>
    <xf borderId="4" fillId="9" fontId="14" numFmtId="0" xfId="0" applyAlignment="1" applyBorder="1" applyFont="1">
      <alignment horizontal="right" readingOrder="0"/>
    </xf>
    <xf borderId="1" fillId="9" fontId="18" numFmtId="0" xfId="0" applyAlignment="1" applyBorder="1" applyFont="1">
      <alignment horizontal="left"/>
    </xf>
    <xf borderId="5" fillId="9" fontId="8" numFmtId="0" xfId="0" applyAlignment="1" applyBorder="1" applyFont="1">
      <alignment horizontal="center" readingOrder="0" shrinkToFit="0" wrapText="1"/>
    </xf>
    <xf borderId="1" fillId="9" fontId="34" numFmtId="0" xfId="0" applyAlignment="1" applyBorder="1" applyFont="1">
      <alignment readingOrder="0" shrinkToFit="0" vertical="bottom" wrapText="0"/>
    </xf>
    <xf borderId="5" fillId="9" fontId="8" numFmtId="0" xfId="0" applyAlignment="1" applyBorder="1" applyFont="1">
      <alignment readingOrder="0" shrinkToFit="0" wrapText="1"/>
    </xf>
    <xf borderId="1" fillId="9" fontId="20" numFmtId="0" xfId="0" applyAlignment="1" applyBorder="1" applyFont="1">
      <alignment horizontal="center" readingOrder="0"/>
    </xf>
    <xf borderId="5" fillId="9" fontId="8" numFmtId="3" xfId="0" applyAlignment="1" applyBorder="1" applyFont="1" applyNumberFormat="1">
      <alignment horizontal="center"/>
    </xf>
    <xf borderId="5" fillId="9" fontId="8" numFmtId="3" xfId="0" applyAlignment="1" applyBorder="1" applyFont="1" applyNumberFormat="1">
      <alignment horizontal="center" readingOrder="0"/>
    </xf>
    <xf borderId="1" fillId="9" fontId="12" numFmtId="0" xfId="0" applyAlignment="1" applyBorder="1" applyFont="1">
      <alignment horizontal="center" readingOrder="0"/>
    </xf>
    <xf borderId="5" fillId="9" fontId="12" numFmtId="0" xfId="0" applyAlignment="1" applyBorder="1" applyFont="1">
      <alignment horizontal="center" readingOrder="0"/>
    </xf>
    <xf borderId="1" fillId="9" fontId="14" numFmtId="0" xfId="0" applyAlignment="1" applyBorder="1" applyFont="1">
      <alignment readingOrder="0"/>
    </xf>
    <xf borderId="1" fillId="9" fontId="14" numFmtId="164" xfId="0" applyAlignment="1" applyBorder="1" applyFont="1" applyNumberFormat="1">
      <alignment readingOrder="0"/>
    </xf>
    <xf borderId="1" fillId="9" fontId="21" numFmtId="165" xfId="0" applyAlignment="1" applyBorder="1" applyFont="1" applyNumberFormat="1">
      <alignment readingOrder="0"/>
    </xf>
    <xf borderId="1" fillId="9" fontId="14" numFmtId="165" xfId="0" applyAlignment="1" applyBorder="1" applyFont="1" applyNumberFormat="1">
      <alignment readingOrder="0"/>
    </xf>
    <xf borderId="5" fillId="9" fontId="14" numFmtId="165" xfId="0" applyAlignment="1" applyBorder="1" applyFont="1" applyNumberFormat="1">
      <alignment readingOrder="0"/>
    </xf>
    <xf borderId="4" fillId="9" fontId="2" numFmtId="0" xfId="0" applyAlignment="1" applyBorder="1" applyFont="1">
      <alignment horizontal="right" readingOrder="0" vertical="bottom"/>
    </xf>
    <xf borderId="0" fillId="9" fontId="14" numFmtId="0" xfId="0" applyFont="1"/>
    <xf borderId="1" fillId="10" fontId="14" numFmtId="0" xfId="0" applyAlignment="1" applyBorder="1" applyFill="1" applyFont="1">
      <alignment readingOrder="0"/>
    </xf>
    <xf borderId="1" fillId="2" fontId="35" numFmtId="0" xfId="0" applyAlignment="1" applyBorder="1" applyFont="1">
      <alignment readingOrder="0" shrinkToFit="0" vertical="bottom" wrapText="0"/>
    </xf>
    <xf borderId="1" fillId="4" fontId="20" numFmtId="0" xfId="0" applyAlignment="1" applyBorder="1" applyFont="1">
      <alignment horizontal="center" readingOrder="0"/>
    </xf>
    <xf borderId="5" fillId="4" fontId="8" numFmtId="0" xfId="0" applyAlignment="1" applyBorder="1" applyFont="1">
      <alignment horizontal="center" readingOrder="0"/>
    </xf>
    <xf borderId="1" fillId="2" fontId="1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horizontal="center" readingOrder="0" shrinkToFit="0" wrapText="1"/>
    </xf>
    <xf borderId="5" fillId="2" fontId="36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horizontal="center" readingOrder="0"/>
    </xf>
    <xf borderId="5" fillId="2" fontId="8" numFmtId="0" xfId="0" applyAlignment="1" applyBorder="1" applyFont="1">
      <alignment horizontal="center" readingOrder="0"/>
    </xf>
    <xf borderId="1" fillId="0" fontId="37" numFmtId="0" xfId="0" applyAlignment="1" applyBorder="1" applyFont="1">
      <alignment readingOrder="0"/>
    </xf>
    <xf borderId="1" fillId="2" fontId="13" numFmtId="0" xfId="0" applyAlignment="1" applyBorder="1" applyFont="1">
      <alignment horizontal="center" readingOrder="0"/>
    </xf>
    <xf borderId="1" fillId="2" fontId="8" numFmtId="0" xfId="0" applyAlignment="1" applyBorder="1" applyFont="1">
      <alignment horizontal="center" readingOrder="0"/>
    </xf>
    <xf borderId="1" fillId="0" fontId="38" numFmtId="0" xfId="0" applyAlignment="1" applyBorder="1" applyFont="1">
      <alignment horizontal="center" readingOrder="0" vertical="center"/>
    </xf>
    <xf borderId="6" fillId="0" fontId="38" numFmtId="0" xfId="0" applyAlignment="1" applyBorder="1" applyFont="1">
      <alignment horizontal="center" readingOrder="0" vertical="center"/>
    </xf>
    <xf borderId="3" fillId="0" fontId="38" numFmtId="0" xfId="0" applyAlignment="1" applyBorder="1" applyFont="1">
      <alignment horizontal="center" readingOrder="0" vertical="center"/>
    </xf>
    <xf borderId="9" fillId="2" fontId="39" numFmtId="0" xfId="0" applyAlignment="1" applyBorder="1" applyFont="1">
      <alignment horizontal="center" readingOrder="0" vertical="center"/>
    </xf>
    <xf borderId="9" fillId="0" fontId="3" numFmtId="0" xfId="0" applyBorder="1" applyFont="1"/>
    <xf borderId="5" fillId="0" fontId="3" numFmtId="0" xfId="0" applyBorder="1" applyFont="1"/>
    <xf borderId="1" fillId="0" fontId="15" numFmtId="4" xfId="0" applyBorder="1" applyFont="1" applyNumberFormat="1"/>
    <xf borderId="0" fillId="2" fontId="14" numFmtId="0" xfId="0" applyAlignment="1" applyFont="1">
      <alignment horizontal="center"/>
    </xf>
    <xf borderId="1" fillId="11" fontId="14" numFmtId="4" xfId="0" applyBorder="1" applyFill="1" applyFont="1" applyNumberFormat="1"/>
    <xf borderId="1" fillId="11" fontId="14" numFmtId="4" xfId="0" applyAlignment="1" applyBorder="1" applyFont="1" applyNumberFormat="1">
      <alignment horizontal="center"/>
    </xf>
    <xf borderId="1" fillId="11" fontId="14" numFmtId="4" xfId="0" applyAlignment="1" applyBorder="1" applyFont="1" applyNumberFormat="1">
      <alignment readingOrder="0"/>
    </xf>
    <xf borderId="1" fillId="11" fontId="15" numFmtId="4" xfId="0" applyBorder="1" applyFont="1" applyNumberFormat="1"/>
    <xf borderId="1" fillId="11" fontId="15" numFmtId="4" xfId="0" applyAlignment="1" applyBorder="1" applyFont="1" applyNumberFormat="1">
      <alignment horizontal="left" readingOrder="0"/>
    </xf>
    <xf borderId="0" fillId="0" fontId="14" numFmtId="4" xfId="0" applyFont="1" applyNumberFormat="1"/>
    <xf borderId="0" fillId="2" fontId="14" numFmtId="4" xfId="0" applyAlignment="1" applyFont="1" applyNumberFormat="1">
      <alignment horizontal="center"/>
    </xf>
    <xf borderId="0" fillId="2" fontId="14" numFmtId="4" xfId="0" applyFont="1" applyNumberFormat="1"/>
    <xf borderId="0" fillId="4" fontId="15" numFmtId="4" xfId="0" applyFont="1" applyNumberFormat="1"/>
    <xf borderId="1" fillId="12" fontId="15" numFmtId="0" xfId="0" applyAlignment="1" applyBorder="1" applyFill="1" applyFont="1">
      <alignment horizontal="left" readingOrder="0"/>
    </xf>
    <xf borderId="0" fillId="8" fontId="14" numFmtId="0" xfId="0" applyFont="1"/>
    <xf borderId="1" fillId="4" fontId="14" numFmtId="4" xfId="0" applyBorder="1" applyFont="1" applyNumberFormat="1"/>
    <xf borderId="1" fillId="4" fontId="15" numFmtId="4" xfId="0" applyBorder="1" applyFont="1" applyNumberFormat="1"/>
    <xf borderId="1" fillId="12" fontId="15" numFmtId="4" xfId="0" applyAlignment="1" applyBorder="1" applyFont="1" applyNumberFormat="1">
      <alignment horizontal="left" readingOrder="0"/>
    </xf>
    <xf borderId="1" fillId="13" fontId="15" numFmtId="4" xfId="0" applyBorder="1" applyFill="1" applyFont="1" applyNumberFormat="1"/>
    <xf borderId="1" fillId="2" fontId="15" numFmtId="4" xfId="0" applyBorder="1" applyFont="1" applyNumberFormat="1"/>
    <xf borderId="0" fillId="2" fontId="15" numFmtId="0" xfId="0" applyAlignment="1" applyFont="1">
      <alignment horizontal="center" readingOrder="0" shrinkToFit="0" wrapText="1"/>
    </xf>
    <xf borderId="0" fillId="8" fontId="14" numFmtId="0" xfId="0" applyAlignment="1" applyFont="1">
      <alignment horizontal="center" readingOrder="0" shrinkToFit="0" wrapText="1"/>
    </xf>
    <xf borderId="0" fillId="2" fontId="14" numFmtId="0" xfId="0" applyAlignment="1" applyFont="1">
      <alignment readingOrder="0"/>
    </xf>
    <xf borderId="0" fillId="2" fontId="14" numFmtId="4" xfId="0" applyAlignment="1" applyFont="1" applyNumberFormat="1">
      <alignment readingOrder="0"/>
    </xf>
    <xf borderId="0" fillId="2" fontId="15" numFmtId="4" xfId="0" applyFont="1" applyNumberFormat="1"/>
    <xf borderId="0" fillId="0" fontId="14" numFmtId="0" xfId="0" applyAlignment="1" applyFont="1">
      <alignment horizontal="center"/>
    </xf>
    <xf borderId="0" fillId="0" fontId="14" numFmtId="4" xfId="0" applyAlignment="1" applyFont="1" applyNumberFormat="1">
      <alignment readingOrder="0"/>
    </xf>
    <xf borderId="0" fillId="0" fontId="14" numFmtId="0" xfId="0" applyFont="1"/>
    <xf borderId="0" fillId="0" fontId="40" numFmtId="0" xfId="0" applyAlignment="1" applyFont="1">
      <alignment readingOrder="0" shrinkToFit="0" wrapText="1"/>
    </xf>
    <xf borderId="0" fillId="2" fontId="13" numFmtId="0" xfId="0" applyAlignment="1" applyFont="1">
      <alignment horizontal="left" readingOrder="0" shrinkToFit="0" wrapText="0"/>
    </xf>
    <xf borderId="4" fillId="0" fontId="14" numFmtId="0" xfId="0" applyBorder="1" applyFont="1"/>
    <xf borderId="0" fillId="0" fontId="14" numFmtId="0" xfId="0" applyAlignment="1" applyFont="1">
      <alignment vertical="center"/>
    </xf>
    <xf borderId="7" fillId="0" fontId="14" numFmtId="0" xfId="0" applyAlignment="1" applyBorder="1" applyFont="1">
      <alignment vertical="center"/>
    </xf>
    <xf borderId="7" fillId="0" fontId="17" numFmtId="0" xfId="0" applyAlignment="1" applyBorder="1" applyFont="1">
      <alignment horizontal="center" readingOrder="0" shrinkToFit="0" vertical="center" wrapText="1"/>
    </xf>
    <xf borderId="10" fillId="0" fontId="17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0" fillId="0" fontId="14" numFmtId="0" xfId="0" applyAlignment="1" applyFont="1">
      <alignment readingOrder="0" shrinkToFit="0" vertical="center" wrapText="1"/>
    </xf>
    <xf borderId="4" fillId="0" fontId="14" numFmtId="0" xfId="0" applyAlignment="1" applyBorder="1" applyFont="1">
      <alignment vertical="center"/>
    </xf>
    <xf borderId="1" fillId="2" fontId="16" numFmtId="0" xfId="0" applyAlignment="1" applyBorder="1" applyFont="1">
      <alignment horizontal="center" readingOrder="0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3" fontId="14" numFmtId="165" xfId="0" applyAlignment="1" applyBorder="1" applyFont="1" applyNumberFormat="1">
      <alignment readingOrder="0"/>
    </xf>
    <xf borderId="1" fillId="3" fontId="14" numFmtId="0" xfId="0" applyAlignment="1" applyBorder="1" applyFont="1">
      <alignment readingOrder="0"/>
    </xf>
    <xf borderId="1" fillId="3" fontId="8" numFmtId="0" xfId="0" applyAlignment="1" applyBorder="1" applyFont="1">
      <alignment horizontal="left" readingOrder="0"/>
    </xf>
    <xf borderId="1" fillId="3" fontId="8" numFmtId="0" xfId="0" applyAlignment="1" applyBorder="1" applyFont="1">
      <alignment horizontal="center" readingOrder="0"/>
    </xf>
    <xf borderId="1" fillId="3" fontId="41" numFmtId="0" xfId="0" applyAlignment="1" applyBorder="1" applyFont="1">
      <alignment readingOrder="0"/>
    </xf>
    <xf borderId="1" fillId="3" fontId="8" numFmtId="0" xfId="0" applyAlignment="1" applyBorder="1" applyFont="1">
      <alignment readingOrder="0" shrinkToFit="0" wrapText="1"/>
    </xf>
    <xf borderId="1" fillId="3" fontId="8" numFmtId="3" xfId="0" applyAlignment="1" applyBorder="1" applyFont="1" applyNumberFormat="1">
      <alignment horizontal="center" readingOrder="0"/>
    </xf>
    <xf borderId="1" fillId="3" fontId="14" numFmtId="0" xfId="0" applyAlignment="1" applyBorder="1" applyFont="1">
      <alignment horizontal="center" readingOrder="0"/>
    </xf>
    <xf borderId="5" fillId="3" fontId="14" numFmtId="0" xfId="0" applyAlignment="1" applyBorder="1" applyFont="1">
      <alignment readingOrder="0"/>
    </xf>
    <xf borderId="1" fillId="3" fontId="14" numFmtId="164" xfId="0" applyAlignment="1" applyBorder="1" applyFont="1" applyNumberFormat="1">
      <alignment readingOrder="0"/>
    </xf>
    <xf borderId="1" fillId="3" fontId="21" numFmtId="165" xfId="0" applyAlignment="1" applyBorder="1" applyFont="1" applyNumberFormat="1">
      <alignment readingOrder="0"/>
    </xf>
    <xf borderId="5" fillId="3" fontId="14" numFmtId="165" xfId="0" applyAlignment="1" applyBorder="1" applyFont="1" applyNumberFormat="1">
      <alignment readingOrder="0"/>
    </xf>
    <xf borderId="1" fillId="3" fontId="2" numFmtId="0" xfId="0" applyAlignment="1" applyBorder="1" applyFont="1">
      <alignment horizontal="right" readingOrder="0" vertical="bottom"/>
    </xf>
    <xf borderId="0" fillId="3" fontId="14" numFmtId="0" xfId="0" applyFont="1"/>
    <xf borderId="1" fillId="3" fontId="27" numFmtId="0" xfId="0" applyAlignment="1" applyBorder="1" applyFont="1">
      <alignment readingOrder="0" shrinkToFit="0" wrapText="1"/>
    </xf>
    <xf borderId="4" fillId="3" fontId="2" numFmtId="0" xfId="0" applyAlignment="1" applyBorder="1" applyFont="1">
      <alignment horizontal="right" readingOrder="0" vertical="bottom"/>
    </xf>
    <xf borderId="1" fillId="3" fontId="42" numFmtId="0" xfId="0" applyAlignment="1" applyBorder="1" applyFont="1">
      <alignment readingOrder="0" vertical="bottom"/>
    </xf>
    <xf borderId="1" fillId="3" fontId="13" numFmtId="0" xfId="0" applyAlignment="1" applyBorder="1" applyFont="1">
      <alignment horizontal="left" readingOrder="0" shrinkToFit="0" wrapText="1"/>
    </xf>
    <xf borderId="1" fillId="3" fontId="13" numFmtId="3" xfId="0" applyAlignment="1" applyBorder="1" applyFont="1" applyNumberFormat="1">
      <alignment horizontal="center" readingOrder="0"/>
    </xf>
    <xf borderId="1" fillId="14" fontId="14" numFmtId="165" xfId="0" applyAlignment="1" applyBorder="1" applyFill="1" applyFont="1" applyNumberFormat="1">
      <alignment readingOrder="0"/>
    </xf>
    <xf borderId="1" fillId="14" fontId="14" numFmtId="0" xfId="0" applyAlignment="1" applyBorder="1" applyFont="1">
      <alignment readingOrder="0"/>
    </xf>
    <xf borderId="1" fillId="14" fontId="8" numFmtId="0" xfId="0" applyAlignment="1" applyBorder="1" applyFont="1">
      <alignment horizontal="left" readingOrder="0"/>
    </xf>
    <xf borderId="1" fillId="14" fontId="8" numFmtId="0" xfId="0" applyAlignment="1" applyBorder="1" applyFont="1">
      <alignment horizontal="center" readingOrder="0"/>
    </xf>
    <xf borderId="1" fillId="14" fontId="13" numFmtId="0" xfId="0" applyAlignment="1" applyBorder="1" applyFont="1">
      <alignment horizontal="left" readingOrder="0" shrinkToFit="0" wrapText="1"/>
    </xf>
    <xf borderId="1" fillId="14" fontId="13" numFmtId="3" xfId="0" applyAlignment="1" applyBorder="1" applyFont="1" applyNumberFormat="1">
      <alignment horizontal="center" readingOrder="0"/>
    </xf>
    <xf borderId="1" fillId="14" fontId="8" numFmtId="3" xfId="0" applyAlignment="1" applyBorder="1" applyFont="1" applyNumberFormat="1">
      <alignment horizontal="center" readingOrder="0"/>
    </xf>
    <xf borderId="1" fillId="14" fontId="14" numFmtId="0" xfId="0" applyAlignment="1" applyBorder="1" applyFont="1">
      <alignment horizontal="center" readingOrder="0"/>
    </xf>
    <xf borderId="5" fillId="14" fontId="14" numFmtId="0" xfId="0" applyAlignment="1" applyBorder="1" applyFont="1">
      <alignment readingOrder="0"/>
    </xf>
    <xf borderId="1" fillId="14" fontId="14" numFmtId="164" xfId="0" applyAlignment="1" applyBorder="1" applyFont="1" applyNumberFormat="1">
      <alignment readingOrder="0"/>
    </xf>
    <xf borderId="1" fillId="14" fontId="21" numFmtId="165" xfId="0" applyAlignment="1" applyBorder="1" applyFont="1" applyNumberFormat="1">
      <alignment readingOrder="0"/>
    </xf>
    <xf borderId="5" fillId="14" fontId="14" numFmtId="165" xfId="0" applyAlignment="1" applyBorder="1" applyFont="1" applyNumberFormat="1">
      <alignment readingOrder="0"/>
    </xf>
    <xf borderId="4" fillId="14" fontId="2" numFmtId="0" xfId="0" applyAlignment="1" applyBorder="1" applyFont="1">
      <alignment horizontal="right" readingOrder="0" vertical="bottom"/>
    </xf>
    <xf borderId="0" fillId="14" fontId="14" numFmtId="0" xfId="0" applyFont="1"/>
    <xf borderId="1" fillId="2" fontId="2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/>
    </xf>
    <xf borderId="1" fillId="6" fontId="13" numFmtId="0" xfId="0" applyAlignment="1" applyBorder="1" applyFont="1">
      <alignment horizontal="left" readingOrder="0" shrinkToFit="0" wrapText="1"/>
    </xf>
    <xf borderId="1" fillId="0" fontId="8" numFmtId="3" xfId="0" applyAlignment="1" applyBorder="1" applyFont="1" applyNumberFormat="1">
      <alignment horizontal="center" readingOrder="0"/>
    </xf>
    <xf borderId="5" fillId="0" fontId="14" numFmtId="0" xfId="0" applyAlignment="1" applyBorder="1" applyFont="1">
      <alignment readingOrder="0"/>
    </xf>
    <xf borderId="1" fillId="0" fontId="14" numFmtId="164" xfId="0" applyAlignment="1" applyBorder="1" applyFont="1" applyNumberFormat="1">
      <alignment horizontal="center" readingOrder="0"/>
    </xf>
    <xf borderId="5" fillId="2" fontId="14" numFmtId="164" xfId="0" applyAlignment="1" applyBorder="1" applyFont="1" applyNumberFormat="1">
      <alignment readingOrder="0"/>
    </xf>
    <xf borderId="1" fillId="0" fontId="21" numFmtId="165" xfId="0" applyAlignment="1" applyBorder="1" applyFont="1" applyNumberFormat="1">
      <alignment readingOrder="0"/>
    </xf>
    <xf borderId="5" fillId="15" fontId="14" numFmtId="0" xfId="0" applyAlignment="1" applyBorder="1" applyFill="1" applyFont="1">
      <alignment readingOrder="0"/>
    </xf>
    <xf borderId="5" fillId="0" fontId="14" numFmtId="165" xfId="0" applyAlignment="1" applyBorder="1" applyFont="1" applyNumberFormat="1">
      <alignment readingOrder="0"/>
    </xf>
    <xf borderId="4" fillId="0" fontId="2" numFmtId="0" xfId="0" applyAlignment="1" applyBorder="1" applyFont="1">
      <alignment horizontal="right" readingOrder="0" vertical="bottom"/>
    </xf>
    <xf borderId="1" fillId="16" fontId="14" numFmtId="165" xfId="0" applyAlignment="1" applyBorder="1" applyFill="1" applyFont="1" applyNumberFormat="1">
      <alignment readingOrder="0"/>
    </xf>
    <xf borderId="1" fillId="16" fontId="14" numFmtId="0" xfId="0" applyAlignment="1" applyBorder="1" applyFont="1">
      <alignment readingOrder="0"/>
    </xf>
    <xf borderId="1" fillId="16" fontId="2" numFmtId="0" xfId="0" applyAlignment="1" applyBorder="1" applyFont="1">
      <alignment readingOrder="0"/>
    </xf>
    <xf borderId="1" fillId="16" fontId="2" numFmtId="0" xfId="0" applyAlignment="1" applyBorder="1" applyFont="1">
      <alignment horizontal="center" readingOrder="0"/>
    </xf>
    <xf borderId="1" fillId="16" fontId="13" numFmtId="0" xfId="0" applyAlignment="1" applyBorder="1" applyFont="1">
      <alignment horizontal="left" readingOrder="0" shrinkToFit="0" wrapText="1"/>
    </xf>
    <xf borderId="1" fillId="16" fontId="8" numFmtId="0" xfId="0" applyAlignment="1" applyBorder="1" applyFont="1">
      <alignment horizontal="center" readingOrder="0"/>
    </xf>
    <xf borderId="1" fillId="16" fontId="12" numFmtId="0" xfId="0" applyAlignment="1" applyBorder="1" applyFont="1">
      <alignment horizontal="center" readingOrder="0" shrinkToFit="0" wrapText="1"/>
    </xf>
    <xf borderId="1" fillId="16" fontId="8" numFmtId="3" xfId="0" applyAlignment="1" applyBorder="1" applyFont="1" applyNumberFormat="1">
      <alignment horizontal="center" readingOrder="0"/>
    </xf>
    <xf borderId="1" fillId="16" fontId="14" numFmtId="0" xfId="0" applyAlignment="1" applyBorder="1" applyFont="1">
      <alignment horizontal="center" readingOrder="0"/>
    </xf>
    <xf borderId="5" fillId="16" fontId="14" numFmtId="0" xfId="0" applyAlignment="1" applyBorder="1" applyFont="1">
      <alignment readingOrder="0"/>
    </xf>
    <xf borderId="1" fillId="16" fontId="14" numFmtId="164" xfId="0" applyAlignment="1" applyBorder="1" applyFont="1" applyNumberFormat="1">
      <alignment readingOrder="0"/>
    </xf>
    <xf borderId="1" fillId="16" fontId="21" numFmtId="165" xfId="0" applyAlignment="1" applyBorder="1" applyFont="1" applyNumberFormat="1">
      <alignment readingOrder="0"/>
    </xf>
    <xf borderId="5" fillId="16" fontId="14" numFmtId="165" xfId="0" applyAlignment="1" applyBorder="1" applyFont="1" applyNumberFormat="1">
      <alignment readingOrder="0"/>
    </xf>
    <xf borderId="4" fillId="16" fontId="2" numFmtId="0" xfId="0" applyAlignment="1" applyBorder="1" applyFont="1">
      <alignment horizontal="right" readingOrder="0" vertical="bottom"/>
    </xf>
    <xf borderId="0" fillId="16" fontId="14" numFmtId="0" xfId="0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13" numFmtId="3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2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readingOrder="0" vertical="bottom"/>
    </xf>
    <xf borderId="1" fillId="16" fontId="2" numFmtId="0" xfId="0" applyAlignment="1" applyBorder="1" applyFont="1">
      <alignment horizontal="center" vertical="bottom"/>
    </xf>
    <xf borderId="1" fillId="16" fontId="43" numFmtId="0" xfId="0" applyAlignment="1" applyBorder="1" applyFont="1">
      <alignment readingOrder="0"/>
    </xf>
    <xf borderId="1" fillId="16" fontId="13" numFmtId="3" xfId="0" applyAlignment="1" applyBorder="1" applyFont="1" applyNumberFormat="1">
      <alignment horizontal="center" readingOrder="0"/>
    </xf>
    <xf borderId="1" fillId="16" fontId="14" numFmtId="164" xfId="0" applyAlignment="1" applyBorder="1" applyFont="1" applyNumberFormat="1">
      <alignment horizontal="center" readingOrder="0"/>
    </xf>
    <xf borderId="5" fillId="16" fontId="14" numFmtId="164" xfId="0" applyAlignment="1" applyBorder="1" applyFont="1" applyNumberFormat="1">
      <alignment readingOrder="0"/>
    </xf>
    <xf borderId="1" fillId="6" fontId="44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/>
    </xf>
    <xf borderId="1" fillId="2" fontId="45" numFmtId="0" xfId="0" applyAlignment="1" applyBorder="1" applyFont="1">
      <alignment horizontal="left" readingOrder="0" shrinkToFit="0" wrapText="1"/>
    </xf>
    <xf borderId="1" fillId="16" fontId="8" numFmtId="0" xfId="0" applyAlignment="1" applyBorder="1" applyFont="1">
      <alignment horizontal="left" readingOrder="0"/>
    </xf>
    <xf borderId="1" fillId="0" fontId="38" numFmtId="2" xfId="0" applyAlignment="1" applyBorder="1" applyFont="1" applyNumberFormat="1">
      <alignment readingOrder="0"/>
    </xf>
    <xf borderId="1" fillId="9" fontId="14" numFmtId="0" xfId="0" applyBorder="1" applyFont="1"/>
    <xf borderId="1" fillId="9" fontId="8" numFmtId="0" xfId="0" applyAlignment="1" applyBorder="1" applyFont="1">
      <alignment readingOrder="0" shrinkToFit="0" wrapText="1"/>
    </xf>
    <xf borderId="1" fillId="9" fontId="15" numFmtId="4" xfId="0" applyBorder="1" applyFont="1" applyNumberFormat="1"/>
    <xf borderId="1" fillId="14" fontId="14" numFmtId="0" xfId="0" applyBorder="1" applyFont="1"/>
    <xf borderId="1" fillId="16" fontId="14" numFmtId="0" xfId="0" applyBorder="1" applyFont="1"/>
    <xf borderId="5" fillId="0" fontId="8" numFmtId="0" xfId="0" applyAlignment="1" applyBorder="1" applyFont="1">
      <alignment horizontal="left" readingOrder="0"/>
    </xf>
    <xf borderId="1" fillId="0" fontId="46" numFmtId="0" xfId="0" applyAlignment="1" applyBorder="1" applyFont="1">
      <alignment readingOrder="0" vertical="bottom"/>
    </xf>
    <xf borderId="5" fillId="0" fontId="8" numFmtId="0" xfId="0" applyAlignment="1" applyBorder="1" applyFont="1">
      <alignment readingOrder="0"/>
    </xf>
    <xf borderId="1" fillId="0" fontId="8" numFmtId="0" xfId="0" applyAlignment="1" applyBorder="1" applyFont="1">
      <alignment horizontal="center"/>
    </xf>
    <xf borderId="5" fillId="17" fontId="11" numFmtId="3" xfId="0" applyAlignment="1" applyBorder="1" applyFill="1" applyFont="1" applyNumberFormat="1">
      <alignment horizontal="center"/>
    </xf>
    <xf borderId="1" fillId="2" fontId="14" numFmtId="167" xfId="0" applyAlignment="1" applyBorder="1" applyFont="1" applyNumberFormat="1">
      <alignment horizontal="center" readingOrder="0"/>
    </xf>
    <xf borderId="5" fillId="2" fontId="14" numFmtId="0" xfId="0" applyAlignment="1" applyBorder="1" applyFont="1">
      <alignment readingOrder="0"/>
    </xf>
    <xf borderId="5" fillId="2" fontId="8" numFmtId="0" xfId="0" applyAlignment="1" applyBorder="1" applyFont="1">
      <alignment horizontal="left" readingOrder="0"/>
    </xf>
    <xf borderId="5" fillId="0" fontId="12" numFmtId="0" xfId="0" applyAlignment="1" applyBorder="1" applyFont="1">
      <alignment readingOrder="0" vertical="bottom"/>
    </xf>
    <xf borderId="5" fillId="2" fontId="8" numFmtId="0" xfId="0" applyAlignment="1" applyBorder="1" applyFont="1">
      <alignment readingOrder="0"/>
    </xf>
    <xf borderId="9" fillId="2" fontId="12" numFmtId="0" xfId="0" applyAlignment="1" applyBorder="1" applyFont="1">
      <alignment readingOrder="0" shrinkToFit="0" vertical="bottom" wrapText="1"/>
    </xf>
    <xf borderId="2" fillId="3" fontId="2" numFmtId="0" xfId="0" applyAlignment="1" applyBorder="1" applyFont="1">
      <alignment horizontal="center" readingOrder="0" vertical="bottom"/>
    </xf>
    <xf borderId="6" fillId="2" fontId="12" numFmtId="0" xfId="0" applyAlignment="1" applyBorder="1" applyFont="1">
      <alignment readingOrder="0" shrinkToFit="0" vertical="bottom" wrapText="1"/>
    </xf>
    <xf borderId="1" fillId="7" fontId="14" numFmtId="0" xfId="0" applyAlignment="1" applyBorder="1" applyFont="1">
      <alignment readingOrder="0"/>
    </xf>
    <xf borderId="5" fillId="7" fontId="8" numFmtId="0" xfId="0" applyAlignment="1" applyBorder="1" applyFont="1">
      <alignment horizontal="left" shrinkToFit="0" wrapText="1"/>
    </xf>
    <xf borderId="5" fillId="7" fontId="8" numFmtId="0" xfId="0" applyAlignment="1" applyBorder="1" applyFont="1">
      <alignment horizontal="center" readingOrder="0" shrinkToFit="0" wrapText="1"/>
    </xf>
    <xf borderId="5" fillId="7" fontId="47" numFmtId="0" xfId="0" applyAlignment="1" applyBorder="1" applyFont="1">
      <alignment readingOrder="0" vertical="bottom"/>
    </xf>
    <xf borderId="5" fillId="7" fontId="8" numFmtId="0" xfId="0" applyAlignment="1" applyBorder="1" applyFont="1">
      <alignment readingOrder="0"/>
    </xf>
    <xf borderId="5" fillId="7" fontId="8" numFmtId="0" xfId="0" applyAlignment="1" applyBorder="1" applyFont="1">
      <alignment readingOrder="0" shrinkToFit="0" wrapText="1"/>
    </xf>
    <xf borderId="1" fillId="7" fontId="8" numFmtId="0" xfId="0" applyAlignment="1" applyBorder="1" applyFont="1">
      <alignment horizontal="center"/>
    </xf>
    <xf borderId="5" fillId="7" fontId="8" numFmtId="3" xfId="0" applyAlignment="1" applyBorder="1" applyFont="1" applyNumberFormat="1">
      <alignment horizontal="center"/>
    </xf>
    <xf borderId="5" fillId="7" fontId="8" numFmtId="3" xfId="0" applyAlignment="1" applyBorder="1" applyFont="1" applyNumberFormat="1">
      <alignment horizontal="center" readingOrder="0"/>
    </xf>
    <xf borderId="1" fillId="7" fontId="14" numFmtId="0" xfId="0" applyAlignment="1" applyBorder="1" applyFont="1">
      <alignment horizontal="center" readingOrder="0"/>
    </xf>
    <xf borderId="5" fillId="7" fontId="14" numFmtId="0" xfId="0" applyAlignment="1" applyBorder="1" applyFont="1">
      <alignment readingOrder="0"/>
    </xf>
    <xf borderId="1" fillId="7" fontId="14" numFmtId="164" xfId="0" applyAlignment="1" applyBorder="1" applyFont="1" applyNumberFormat="1">
      <alignment horizontal="center" readingOrder="0"/>
    </xf>
    <xf borderId="1" fillId="7" fontId="14" numFmtId="164" xfId="0" applyAlignment="1" applyBorder="1" applyFont="1" applyNumberFormat="1">
      <alignment readingOrder="0"/>
    </xf>
    <xf borderId="1" fillId="7" fontId="14" numFmtId="167" xfId="0" applyAlignment="1" applyBorder="1" applyFont="1" applyNumberFormat="1">
      <alignment horizontal="center" readingOrder="0"/>
    </xf>
    <xf borderId="1" fillId="7" fontId="21" numFmtId="165" xfId="0" applyAlignment="1" applyBorder="1" applyFont="1" applyNumberFormat="1">
      <alignment readingOrder="0"/>
    </xf>
    <xf borderId="5" fillId="7" fontId="14" numFmtId="165" xfId="0" applyAlignment="1" applyBorder="1" applyFont="1" applyNumberFormat="1">
      <alignment readingOrder="0"/>
    </xf>
    <xf borderId="1" fillId="7" fontId="14" numFmtId="165" xfId="0" applyAlignment="1" applyBorder="1" applyFont="1" applyNumberFormat="1">
      <alignment readingOrder="0"/>
    </xf>
    <xf borderId="0" fillId="7" fontId="14" numFmtId="0" xfId="0" applyFont="1"/>
    <xf borderId="5" fillId="2" fontId="12" numFmtId="0" xfId="0" applyAlignment="1" applyBorder="1" applyFont="1">
      <alignment readingOrder="0" vertical="bottom"/>
    </xf>
    <xf borderId="1" fillId="9" fontId="14" numFmtId="0" xfId="0" applyAlignment="1" applyBorder="1" applyFont="1">
      <alignment horizontal="center" readingOrder="0"/>
    </xf>
    <xf borderId="5" fillId="2" fontId="8" numFmtId="0" xfId="0" applyAlignment="1" applyBorder="1" applyFont="1">
      <alignment horizontal="left"/>
    </xf>
    <xf borderId="1" fillId="2" fontId="48" numFmtId="0" xfId="0" applyAlignment="1" applyBorder="1" applyFont="1">
      <alignment readingOrder="0" vertical="bottom"/>
    </xf>
    <xf borderId="1" fillId="4" fontId="8" numFmtId="0" xfId="0" applyAlignment="1" applyBorder="1" applyFont="1">
      <alignment horizontal="center"/>
    </xf>
    <xf borderId="5" fillId="4" fontId="8" numFmtId="0" xfId="0" applyAlignment="1" applyBorder="1" applyFont="1">
      <alignment horizontal="center"/>
    </xf>
    <xf borderId="5" fillId="2" fontId="8" numFmtId="0" xfId="0" applyAlignment="1" applyBorder="1" applyFont="1">
      <alignment horizontal="left" shrinkToFit="0" wrapText="1"/>
    </xf>
    <xf borderId="1" fillId="2" fontId="49" numFmtId="0" xfId="0" applyAlignment="1" applyBorder="1" applyFont="1">
      <alignment readingOrder="0" vertical="bottom"/>
    </xf>
    <xf borderId="5" fillId="2" fontId="8" numFmtId="0" xfId="0" applyAlignment="1" applyBorder="1" applyFont="1">
      <alignment shrinkToFit="0" wrapText="1"/>
    </xf>
    <xf borderId="5" fillId="2" fontId="8" numFmtId="3" xfId="0" applyAlignment="1" applyBorder="1" applyFont="1" applyNumberFormat="1">
      <alignment horizontal="center" shrinkToFit="0" wrapText="1"/>
    </xf>
    <xf borderId="5" fillId="4" fontId="14" numFmtId="0" xfId="0" applyAlignment="1" applyBorder="1" applyFont="1">
      <alignment readingOrder="0"/>
    </xf>
    <xf borderId="1" fillId="2" fontId="14" numFmtId="164" xfId="0" applyAlignment="1" applyBorder="1" applyFont="1" applyNumberFormat="1">
      <alignment horizontal="center" readingOrder="0"/>
    </xf>
    <xf borderId="5" fillId="5" fontId="14" numFmtId="165" xfId="0" applyAlignment="1" applyBorder="1" applyFont="1" applyNumberFormat="1">
      <alignment readingOrder="0"/>
    </xf>
    <xf borderId="1" fillId="6" fontId="14" numFmtId="0" xfId="0" applyAlignment="1" applyBorder="1" applyFont="1">
      <alignment readingOrder="0"/>
    </xf>
    <xf borderId="5" fillId="6" fontId="8" numFmtId="0" xfId="0" applyAlignment="1" applyBorder="1" applyFont="1">
      <alignment horizontal="left"/>
    </xf>
    <xf borderId="5" fillId="6" fontId="8" numFmtId="0" xfId="0" applyAlignment="1" applyBorder="1" applyFont="1">
      <alignment horizontal="center" readingOrder="0"/>
    </xf>
    <xf borderId="5" fillId="6" fontId="50" numFmtId="0" xfId="0" applyAlignment="1" applyBorder="1" applyFont="1">
      <alignment readingOrder="0" vertical="bottom"/>
    </xf>
    <xf borderId="5" fillId="6" fontId="8" numFmtId="0" xfId="0" applyAlignment="1" applyBorder="1" applyFont="1">
      <alignment readingOrder="0"/>
    </xf>
    <xf borderId="5" fillId="6" fontId="8" numFmtId="3" xfId="0" applyAlignment="1" applyBorder="1" applyFont="1" applyNumberFormat="1">
      <alignment horizontal="center" readingOrder="0"/>
    </xf>
    <xf borderId="5" fillId="6" fontId="8" numFmtId="3" xfId="0" applyAlignment="1" applyBorder="1" applyFont="1" applyNumberFormat="1">
      <alignment horizontal="center" readingOrder="0" shrinkToFit="0" wrapText="1"/>
    </xf>
    <xf borderId="1" fillId="6" fontId="14" numFmtId="0" xfId="0" applyAlignment="1" applyBorder="1" applyFont="1">
      <alignment horizontal="center" readingOrder="0"/>
    </xf>
    <xf borderId="5" fillId="6" fontId="14" numFmtId="0" xfId="0" applyAlignment="1" applyBorder="1" applyFont="1">
      <alignment readingOrder="0"/>
    </xf>
    <xf borderId="1" fillId="6" fontId="14" numFmtId="164" xfId="0" applyAlignment="1" applyBorder="1" applyFont="1" applyNumberFormat="1">
      <alignment readingOrder="0"/>
    </xf>
    <xf borderId="1" fillId="6" fontId="21" numFmtId="165" xfId="0" applyAlignment="1" applyBorder="1" applyFont="1" applyNumberFormat="1">
      <alignment readingOrder="0"/>
    </xf>
    <xf borderId="5" fillId="6" fontId="14" numFmtId="165" xfId="0" applyAlignment="1" applyBorder="1" applyFont="1" applyNumberFormat="1">
      <alignment readingOrder="0"/>
    </xf>
    <xf borderId="1" fillId="6" fontId="14" numFmtId="165" xfId="0" applyAlignment="1" applyBorder="1" applyFont="1" applyNumberFormat="1">
      <alignment readingOrder="0"/>
    </xf>
    <xf borderId="0" fillId="6" fontId="14" numFmtId="0" xfId="0" applyFont="1"/>
    <xf borderId="5" fillId="2" fontId="8" numFmtId="0" xfId="0" applyAlignment="1" applyBorder="1" applyFont="1">
      <alignment horizontal="left" readingOrder="0" shrinkToFit="0" wrapText="1"/>
    </xf>
    <xf borderId="5" fillId="0" fontId="51" numFmtId="0" xfId="0" applyAlignment="1" applyBorder="1" applyFont="1">
      <alignment readingOrder="0" vertical="bottom"/>
    </xf>
    <xf borderId="1" fillId="2" fontId="8" numFmtId="3" xfId="0" applyAlignment="1" applyBorder="1" applyFont="1" applyNumberFormat="1">
      <alignment horizontal="center" readingOrder="0"/>
    </xf>
    <xf borderId="5" fillId="12" fontId="14" numFmtId="0" xfId="0" applyAlignment="1" applyBorder="1" applyFont="1">
      <alignment readingOrder="0"/>
    </xf>
    <xf borderId="5" fillId="12" fontId="14" numFmtId="165" xfId="0" applyAlignment="1" applyBorder="1" applyFont="1" applyNumberFormat="1">
      <alignment readingOrder="0"/>
    </xf>
    <xf borderId="1" fillId="2" fontId="52" numFmtId="0" xfId="0" applyAlignment="1" applyBorder="1" applyFont="1">
      <alignment readingOrder="0" vertical="bottom"/>
    </xf>
    <xf borderId="6" fillId="2" fontId="12" numFmtId="0" xfId="0" applyAlignment="1" applyBorder="1" applyFont="1">
      <alignment shrinkToFit="0" vertical="bottom" wrapText="1"/>
    </xf>
    <xf borderId="6" fillId="0" fontId="12" numFmtId="0" xfId="0" applyAlignment="1" applyBorder="1" applyFont="1">
      <alignment shrinkToFit="0" vertical="bottom" wrapText="1"/>
    </xf>
    <xf borderId="5" fillId="4" fontId="8" numFmtId="3" xfId="0" applyAlignment="1" applyBorder="1" applyFont="1" applyNumberFormat="1">
      <alignment horizontal="center" readingOrder="0"/>
    </xf>
    <xf borderId="1" fillId="11" fontId="14" numFmtId="0" xfId="0" applyAlignment="1" applyBorder="1" applyFont="1">
      <alignment horizontal="center" readingOrder="0"/>
    </xf>
    <xf borderId="1" fillId="0" fontId="12" numFmtId="164" xfId="0" applyAlignment="1" applyBorder="1" applyFont="1" applyNumberFormat="1">
      <alignment horizontal="center" readingOrder="0" shrinkToFit="0" wrapText="1"/>
    </xf>
    <xf borderId="1" fillId="4" fontId="21" numFmtId="165" xfId="0" applyAlignment="1" applyBorder="1" applyFont="1" applyNumberFormat="1">
      <alignment readingOrder="0"/>
    </xf>
    <xf borderId="5" fillId="0" fontId="8" numFmtId="0" xfId="0" applyAlignment="1" applyBorder="1" applyFont="1">
      <alignment horizontal="left" readingOrder="0" shrinkToFit="0" wrapText="1"/>
    </xf>
    <xf borderId="5" fillId="0" fontId="8" numFmtId="0" xfId="0" applyAlignment="1" applyBorder="1" applyFont="1">
      <alignment horizontal="center" readingOrder="0" shrinkToFit="0" wrapText="1"/>
    </xf>
    <xf borderId="5" fillId="6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shrinkToFit="0" wrapText="1"/>
    </xf>
    <xf borderId="5" fillId="2" fontId="8" numFmtId="3" xfId="0" applyAlignment="1" applyBorder="1" applyFont="1" applyNumberFormat="1">
      <alignment horizontal="center" readingOrder="0" shrinkToFit="0" wrapText="1"/>
    </xf>
    <xf borderId="5" fillId="0" fontId="8" numFmtId="3" xfId="0" applyAlignment="1" applyBorder="1" applyFont="1" applyNumberFormat="1">
      <alignment horizontal="center" readingOrder="0" shrinkToFit="0" wrapText="1"/>
    </xf>
    <xf borderId="5" fillId="18" fontId="14" numFmtId="0" xfId="0" applyAlignment="1" applyBorder="1" applyFill="1" applyFont="1">
      <alignment readingOrder="0"/>
    </xf>
    <xf borderId="1" fillId="19" fontId="14" numFmtId="0" xfId="0" applyAlignment="1" applyBorder="1" applyFill="1" applyFont="1">
      <alignment readingOrder="0"/>
    </xf>
    <xf borderId="5" fillId="19" fontId="8" numFmtId="0" xfId="0" applyAlignment="1" applyBorder="1" applyFont="1">
      <alignment horizontal="left" readingOrder="0" shrinkToFit="0" wrapText="1"/>
    </xf>
    <xf borderId="5" fillId="19" fontId="8" numFmtId="0" xfId="0" applyAlignment="1" applyBorder="1" applyFont="1">
      <alignment horizontal="center" readingOrder="0" shrinkToFit="0" wrapText="1"/>
    </xf>
    <xf borderId="5" fillId="19" fontId="8" numFmtId="0" xfId="0" applyAlignment="1" applyBorder="1" applyFont="1">
      <alignment readingOrder="0"/>
    </xf>
    <xf borderId="5" fillId="19" fontId="8" numFmtId="0" xfId="0" applyAlignment="1" applyBorder="1" applyFont="1">
      <alignment readingOrder="0" shrinkToFit="0" wrapText="1"/>
    </xf>
    <xf borderId="5" fillId="19" fontId="8" numFmtId="3" xfId="0" applyAlignment="1" applyBorder="1" applyFont="1" applyNumberFormat="1">
      <alignment horizontal="center" readingOrder="0" shrinkToFit="0" wrapText="1"/>
    </xf>
    <xf borderId="1" fillId="19" fontId="14" numFmtId="0" xfId="0" applyAlignment="1" applyBorder="1" applyFont="1">
      <alignment horizontal="center" readingOrder="0"/>
    </xf>
    <xf borderId="5" fillId="19" fontId="14" numFmtId="0" xfId="0" applyAlignment="1" applyBorder="1" applyFont="1">
      <alignment readingOrder="0"/>
    </xf>
    <xf borderId="5" fillId="19" fontId="14" numFmtId="164" xfId="0" applyAlignment="1" applyBorder="1" applyFont="1" applyNumberFormat="1">
      <alignment readingOrder="0"/>
    </xf>
    <xf borderId="1" fillId="19" fontId="14" numFmtId="164" xfId="0" applyAlignment="1" applyBorder="1" applyFont="1" applyNumberFormat="1">
      <alignment readingOrder="0"/>
    </xf>
    <xf borderId="1" fillId="19" fontId="14" numFmtId="165" xfId="0" applyAlignment="1" applyBorder="1" applyFont="1" applyNumberFormat="1">
      <alignment horizontal="center" readingOrder="0"/>
    </xf>
    <xf borderId="1" fillId="19" fontId="21" numFmtId="165" xfId="0" applyAlignment="1" applyBorder="1" applyFont="1" applyNumberFormat="1">
      <alignment readingOrder="0"/>
    </xf>
    <xf borderId="1" fillId="19" fontId="14" numFmtId="165" xfId="0" applyAlignment="1" applyBorder="1" applyFont="1" applyNumberFormat="1">
      <alignment readingOrder="0"/>
    </xf>
    <xf borderId="5" fillId="19" fontId="14" numFmtId="165" xfId="0" applyAlignment="1" applyBorder="1" applyFont="1" applyNumberFormat="1">
      <alignment readingOrder="0"/>
    </xf>
    <xf borderId="0" fillId="19" fontId="14" numFmtId="0" xfId="0" applyFont="1"/>
    <xf borderId="1" fillId="19" fontId="2" numFmtId="0" xfId="0" applyAlignment="1" applyBorder="1" applyFont="1">
      <alignment readingOrder="0" vertical="bottom"/>
    </xf>
    <xf borderId="1" fillId="19" fontId="12" numFmtId="0" xfId="0" applyAlignment="1" applyBorder="1" applyFont="1">
      <alignment readingOrder="0" shrinkToFit="0" vertical="bottom" wrapText="1"/>
    </xf>
    <xf borderId="1" fillId="19" fontId="8" numFmtId="0" xfId="0" applyAlignment="1" applyBorder="1" applyFont="1">
      <alignment horizontal="center" readingOrder="0"/>
    </xf>
    <xf borderId="1" fillId="19" fontId="8" numFmtId="3" xfId="0" applyAlignment="1" applyBorder="1" applyFont="1" applyNumberFormat="1">
      <alignment horizontal="center" readingOrder="0"/>
    </xf>
    <xf borderId="1" fillId="19" fontId="14" numFmtId="164" xfId="0" applyAlignment="1" applyBorder="1" applyFont="1" applyNumberFormat="1">
      <alignment horizontal="center" readingOrder="0"/>
    </xf>
    <xf borderId="1" fillId="19" fontId="12" numFmtId="164" xfId="0" applyAlignment="1" applyBorder="1" applyFont="1" applyNumberFormat="1">
      <alignment horizontal="center" readingOrder="0" shrinkToFit="0" wrapText="1"/>
    </xf>
    <xf borderId="1" fillId="0" fontId="8" numFmtId="0" xfId="0" applyAlignment="1" applyBorder="1" applyFont="1">
      <alignment readingOrder="0"/>
    </xf>
    <xf borderId="1" fillId="0" fontId="15" numFmtId="0" xfId="0" applyAlignment="1" applyBorder="1" applyFont="1">
      <alignment vertical="center"/>
    </xf>
    <xf borderId="1" fillId="9" fontId="16" numFmtId="0" xfId="0" applyAlignment="1" applyBorder="1" applyFont="1">
      <alignment horizontal="center" readingOrder="0" shrinkToFit="0" vertical="center" wrapText="1"/>
    </xf>
    <xf borderId="6" fillId="0" fontId="15" numFmtId="0" xfId="0" applyAlignment="1" applyBorder="1" applyFont="1">
      <alignment horizontal="center" readingOrder="0"/>
    </xf>
    <xf borderId="0" fillId="5" fontId="14" numFmtId="0" xfId="0" applyAlignment="1" applyFont="1">
      <alignment readingOrder="0"/>
    </xf>
    <xf borderId="1" fillId="5" fontId="14" numFmtId="0" xfId="0" applyAlignment="1" applyBorder="1" applyFont="1">
      <alignment readingOrder="0"/>
    </xf>
    <xf borderId="1" fillId="2" fontId="8" numFmtId="0" xfId="0" applyAlignment="1" applyBorder="1" applyFont="1">
      <alignment readingOrder="0"/>
    </xf>
    <xf borderId="1" fillId="2" fontId="12" numFmtId="0" xfId="0" applyAlignment="1" applyBorder="1" applyFont="1">
      <alignment readingOrder="0" shrinkToFit="0" wrapText="1"/>
    </xf>
    <xf borderId="1" fillId="9" fontId="12" numFmtId="0" xfId="0" applyAlignment="1" applyBorder="1" applyFont="1">
      <alignment horizontal="center" readingOrder="0" shrinkToFit="0" wrapText="1"/>
    </xf>
    <xf borderId="1" fillId="5" fontId="12" numFmtId="0" xfId="0" applyAlignment="1" applyBorder="1" applyFont="1">
      <alignment horizontal="center" readingOrder="0" shrinkToFit="0" wrapText="1"/>
    </xf>
    <xf borderId="1" fillId="5" fontId="8" numFmtId="164" xfId="0" applyAlignment="1" applyBorder="1" applyFont="1" applyNumberFormat="1">
      <alignment horizontal="center" readingOrder="0" shrinkToFit="0" wrapText="1"/>
    </xf>
    <xf borderId="1" fillId="5" fontId="12" numFmtId="164" xfId="0" applyAlignment="1" applyBorder="1" applyFont="1" applyNumberFormat="1">
      <alignment horizontal="center" readingOrder="0" shrinkToFit="0" wrapText="1"/>
    </xf>
    <xf borderId="1" fillId="2" fontId="14" numFmtId="0" xfId="0" applyAlignment="1" applyBorder="1" applyFont="1">
      <alignment horizontal="center" readingOrder="0"/>
    </xf>
    <xf borderId="0" fillId="5" fontId="14" numFmtId="0" xfId="0" applyFont="1"/>
    <xf borderId="1" fillId="0" fontId="12" numFmtId="0" xfId="0" applyAlignment="1" applyBorder="1" applyFont="1">
      <alignment readingOrder="0" shrinkToFit="0" wrapText="1"/>
    </xf>
    <xf borderId="0" fillId="0" fontId="53" numFmtId="0" xfId="0" applyAlignment="1" applyFont="1">
      <alignment horizontal="left" readingOrder="0"/>
    </xf>
    <xf borderId="1" fillId="0" fontId="53" numFmtId="0" xfId="0" applyAlignment="1" applyBorder="1" applyFont="1">
      <alignment horizontal="left" readingOrder="0"/>
    </xf>
    <xf borderId="3" fillId="0" fontId="53" numFmtId="0" xfId="0" applyAlignment="1" applyBorder="1" applyFont="1">
      <alignment horizontal="left" readingOrder="0"/>
    </xf>
    <xf borderId="1" fillId="9" fontId="15" numFmtId="4" xfId="0" applyAlignment="1" applyBorder="1" applyFont="1" applyNumberFormat="1">
      <alignment horizontal="center"/>
    </xf>
    <xf borderId="1" fillId="0" fontId="15" numFmtId="4" xfId="0" applyAlignment="1" applyBorder="1" applyFont="1" applyNumberFormat="1">
      <alignment horizontal="center"/>
    </xf>
    <xf borderId="0" fillId="0" fontId="15" numFmtId="4" xfId="0" applyFont="1" applyNumberFormat="1"/>
    <xf borderId="1" fillId="0" fontId="14" numFmtId="0" xfId="0" applyAlignment="1" applyBorder="1" applyFont="1">
      <alignment readingOrder="0" shrinkToFit="0" vertical="center" wrapText="1"/>
    </xf>
    <xf borderId="7" fillId="9" fontId="16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vertical="bottom"/>
    </xf>
    <xf borderId="7" fillId="9" fontId="14" numFmtId="0" xfId="0" applyAlignment="1" applyBorder="1" applyFont="1">
      <alignment horizontal="center" readingOrder="0"/>
    </xf>
    <xf borderId="7" fillId="2" fontId="14" numFmtId="0" xfId="0" applyAlignment="1" applyBorder="1" applyFont="1">
      <alignment horizontal="center" readingOrder="0"/>
    </xf>
    <xf borderId="7" fillId="2" fontId="14" numFmtId="164" xfId="0" applyAlignment="1" applyBorder="1" applyFont="1" applyNumberFormat="1">
      <alignment horizontal="center" readingOrder="0"/>
    </xf>
    <xf borderId="7" fillId="2" fontId="12" numFmtId="164" xfId="0" applyAlignment="1" applyBorder="1" applyFont="1" applyNumberFormat="1">
      <alignment horizontal="center" readingOrder="0" shrinkToFit="0" wrapText="1"/>
    </xf>
    <xf borderId="7" fillId="2" fontId="14" numFmtId="165" xfId="0" applyAlignment="1" applyBorder="1" applyFont="1" applyNumberFormat="1">
      <alignment horizontal="center" readingOrder="0"/>
    </xf>
    <xf borderId="7" fillId="2" fontId="21" numFmtId="165" xfId="0" applyAlignment="1" applyBorder="1" applyFont="1" applyNumberFormat="1">
      <alignment readingOrder="0"/>
    </xf>
    <xf borderId="5" fillId="2" fontId="14" numFmtId="165" xfId="0" applyAlignment="1" applyBorder="1" applyFont="1" applyNumberFormat="1">
      <alignment horizontal="center" readingOrder="0"/>
    </xf>
    <xf borderId="1" fillId="2" fontId="54" numFmtId="0" xfId="0" applyAlignment="1" applyBorder="1" applyFont="1">
      <alignment vertical="bottom"/>
    </xf>
    <xf borderId="5" fillId="14" fontId="2" numFmtId="0" xfId="0" applyAlignment="1" applyBorder="1" applyFont="1">
      <alignment readingOrder="0"/>
    </xf>
    <xf borderId="5" fillId="14" fontId="2" numFmtId="0" xfId="0" applyAlignment="1" applyBorder="1" applyFont="1">
      <alignment horizontal="center" readingOrder="0"/>
    </xf>
    <xf borderId="5" fillId="14" fontId="2" numFmtId="0" xfId="0" applyAlignment="1" applyBorder="1" applyFont="1">
      <alignment horizontal="center"/>
    </xf>
    <xf borderId="1" fillId="14" fontId="55" numFmtId="0" xfId="0" applyAlignment="1" applyBorder="1" applyFont="1">
      <alignment vertical="bottom"/>
    </xf>
    <xf borderId="5" fillId="14" fontId="8" numFmtId="0" xfId="0" applyAlignment="1" applyBorder="1" applyFont="1">
      <alignment readingOrder="0"/>
    </xf>
    <xf borderId="5" fillId="14" fontId="14" numFmtId="0" xfId="0" applyAlignment="1" applyBorder="1" applyFont="1">
      <alignment horizontal="center" readingOrder="0"/>
    </xf>
    <xf borderId="1" fillId="14" fontId="14" numFmtId="164" xfId="0" applyAlignment="1" applyBorder="1" applyFont="1" applyNumberFormat="1">
      <alignment horizontal="center" readingOrder="0"/>
    </xf>
    <xf borderId="1" fillId="14" fontId="14" numFmtId="165" xfId="0" applyAlignment="1" applyBorder="1" applyFont="1" applyNumberFormat="1">
      <alignment horizontal="center" readingOrder="0"/>
    </xf>
    <xf borderId="5" fillId="14" fontId="14" numFmtId="165" xfId="0" applyAlignment="1" applyBorder="1" applyFont="1" applyNumberFormat="1">
      <alignment horizontal="center" readingOrder="0"/>
    </xf>
    <xf borderId="5" fillId="14" fontId="2" numFmtId="0" xfId="0" applyAlignment="1" applyBorder="1" applyFont="1">
      <alignment readingOrder="0" vertical="bottom"/>
    </xf>
    <xf borderId="5" fillId="14" fontId="8" numFmtId="0" xfId="0" applyAlignment="1" applyBorder="1" applyFont="1">
      <alignment horizontal="center" readingOrder="0" shrinkToFit="0" wrapText="1"/>
    </xf>
    <xf borderId="5" fillId="14" fontId="2" numFmtId="0" xfId="0" applyAlignment="1" applyBorder="1" applyFont="1">
      <alignment horizontal="center" vertical="bottom"/>
    </xf>
    <xf borderId="7" fillId="14" fontId="14" numFmtId="0" xfId="0" applyAlignment="1" applyBorder="1" applyFont="1">
      <alignment horizontal="center" readingOrder="0"/>
    </xf>
    <xf borderId="5" fillId="14" fontId="8" numFmtId="0" xfId="0" applyAlignment="1" applyBorder="1" applyFont="1">
      <alignment readingOrder="0" shrinkToFit="0" wrapText="1"/>
    </xf>
    <xf borderId="5" fillId="14" fontId="56" numFmtId="0" xfId="0" applyAlignment="1" applyBorder="1" applyFont="1">
      <alignment horizontal="left" readingOrder="0"/>
    </xf>
    <xf borderId="1" fillId="14" fontId="11" numFmtId="3" xfId="0" applyAlignment="1" applyBorder="1" applyFont="1" applyNumberFormat="1">
      <alignment horizontal="center" readingOrder="0"/>
    </xf>
    <xf borderId="7" fillId="14" fontId="8" numFmtId="3" xfId="0" applyAlignment="1" applyBorder="1" applyFont="1" applyNumberFormat="1">
      <alignment horizontal="center" readingOrder="0"/>
    </xf>
    <xf borderId="5" fillId="14" fontId="14" numFmtId="164" xfId="0" applyAlignment="1" applyBorder="1" applyFont="1" applyNumberFormat="1">
      <alignment readingOrder="0"/>
    </xf>
    <xf borderId="1" fillId="14" fontId="12" numFmtId="0" xfId="0" applyAlignment="1" applyBorder="1" applyFont="1">
      <alignment horizontal="center" readingOrder="0" shrinkToFit="0" wrapText="1"/>
    </xf>
    <xf borderId="5" fillId="14" fontId="8" numFmtId="0" xfId="0" applyAlignment="1" applyBorder="1" applyFont="1">
      <alignment horizontal="left" readingOrder="0"/>
    </xf>
    <xf borderId="5" fillId="14" fontId="15" numFmtId="0" xfId="0" applyAlignment="1" applyBorder="1" applyFont="1">
      <alignment horizontal="center" readingOrder="0"/>
    </xf>
    <xf borderId="5" fillId="14" fontId="12" numFmtId="165" xfId="0" applyAlignment="1" applyBorder="1" applyFont="1" applyNumberFormat="1">
      <alignment horizontal="center" readingOrder="0" shrinkToFit="0" wrapText="1"/>
    </xf>
    <xf borderId="1" fillId="14" fontId="8" numFmtId="164" xfId="0" applyAlignment="1" applyBorder="1" applyFont="1" applyNumberFormat="1">
      <alignment horizontal="center" readingOrder="0" shrinkToFit="0" wrapText="1"/>
    </xf>
    <xf borderId="5" fillId="14" fontId="8" numFmtId="0" xfId="0" applyAlignment="1" applyBorder="1" applyFont="1">
      <alignment horizontal="center" readingOrder="0"/>
    </xf>
    <xf borderId="1" fillId="14" fontId="12" numFmtId="164" xfId="0" applyAlignment="1" applyBorder="1" applyFont="1" applyNumberFormat="1">
      <alignment horizontal="center" readingOrder="0" shrinkToFit="0" wrapText="1"/>
    </xf>
    <xf borderId="1" fillId="14" fontId="8" numFmtId="0" xfId="0" applyAlignment="1" applyBorder="1" applyFont="1">
      <alignment readingOrder="0" shrinkToFit="0" wrapText="1"/>
    </xf>
    <xf borderId="1" fillId="14" fontId="57" numFmtId="0" xfId="0" applyAlignment="1" applyBorder="1" applyFont="1">
      <alignment readingOrder="0" vertical="bottom"/>
    </xf>
    <xf borderId="0" fillId="14" fontId="8" numFmtId="3" xfId="0" applyAlignment="1" applyFont="1" applyNumberFormat="1">
      <alignment horizontal="center" readingOrder="0"/>
    </xf>
    <xf borderId="5" fillId="2" fontId="58" numFmtId="0" xfId="0" applyAlignment="1" applyBorder="1" applyFont="1">
      <alignment readingOrder="0" vertical="bottom"/>
    </xf>
    <xf borderId="5" fillId="2" fontId="14" numFmtId="0" xfId="0" applyAlignment="1" applyBorder="1" applyFont="1">
      <alignment horizontal="center" readingOrder="0"/>
    </xf>
    <xf borderId="5" fillId="2" fontId="14" numFmtId="164" xfId="0" applyAlignment="1" applyBorder="1" applyFont="1" applyNumberFormat="1">
      <alignment horizontal="center" readingOrder="0"/>
    </xf>
    <xf borderId="5" fillId="16" fontId="8" numFmtId="0" xfId="0" applyAlignment="1" applyBorder="1" applyFont="1">
      <alignment readingOrder="0" shrinkToFit="0" wrapText="1"/>
    </xf>
    <xf borderId="5" fillId="16" fontId="8" numFmtId="0" xfId="0" applyAlignment="1" applyBorder="1" applyFont="1">
      <alignment horizontal="center" readingOrder="0" shrinkToFit="0" wrapText="1"/>
    </xf>
    <xf borderId="1" fillId="16" fontId="59" numFmtId="0" xfId="0" applyAlignment="1" applyBorder="1" applyFont="1">
      <alignment readingOrder="0"/>
    </xf>
    <xf borderId="5" fillId="16" fontId="8" numFmtId="0" xfId="0" applyAlignment="1" applyBorder="1" applyFont="1">
      <alignment readingOrder="0"/>
    </xf>
    <xf borderId="1" fillId="16" fontId="11" numFmtId="3" xfId="0" applyAlignment="1" applyBorder="1" applyFont="1" applyNumberFormat="1">
      <alignment horizontal="center" readingOrder="0"/>
    </xf>
    <xf borderId="5" fillId="16" fontId="14" numFmtId="0" xfId="0" applyAlignment="1" applyBorder="1" applyFont="1">
      <alignment horizontal="center" readingOrder="0"/>
    </xf>
    <xf borderId="1" fillId="16" fontId="14" numFmtId="165" xfId="0" applyAlignment="1" applyBorder="1" applyFont="1" applyNumberFormat="1">
      <alignment horizontal="center" readingOrder="0"/>
    </xf>
    <xf borderId="5" fillId="16" fontId="14" numFmtId="165" xfId="0" applyAlignment="1" applyBorder="1" applyFont="1" applyNumberFormat="1">
      <alignment horizontal="center" readingOrder="0"/>
    </xf>
    <xf borderId="1" fillId="16" fontId="9" numFmtId="0" xfId="0" applyAlignment="1" applyBorder="1" applyFont="1">
      <alignment horizontal="left" readingOrder="0"/>
    </xf>
    <xf borderId="1" fillId="16" fontId="12" numFmtId="0" xfId="0" applyAlignment="1" applyBorder="1" applyFont="1">
      <alignment readingOrder="0" vertical="bottom"/>
    </xf>
    <xf borderId="1" fillId="16" fontId="8" numFmtId="0" xfId="0" applyAlignment="1" applyBorder="1" applyFont="1">
      <alignment readingOrder="0"/>
    </xf>
    <xf borderId="5" fillId="16" fontId="8" numFmtId="3" xfId="0" applyAlignment="1" applyBorder="1" applyFont="1" applyNumberFormat="1">
      <alignment horizontal="center" readingOrder="0"/>
    </xf>
    <xf borderId="7" fillId="16" fontId="14" numFmtId="0" xfId="0" applyAlignment="1" applyBorder="1" applyFont="1">
      <alignment horizontal="center" readingOrder="0"/>
    </xf>
    <xf borderId="5" fillId="16" fontId="14" numFmtId="164" xfId="0" applyAlignment="1" applyBorder="1" applyFont="1" applyNumberFormat="1">
      <alignment horizontal="center" readingOrder="0"/>
    </xf>
    <xf borderId="5" fillId="16" fontId="12" numFmtId="165" xfId="0" applyAlignment="1" applyBorder="1" applyFont="1" applyNumberFormat="1">
      <alignment horizontal="center" readingOrder="0" shrinkToFit="0" wrapText="1"/>
    </xf>
    <xf borderId="5" fillId="2" fontId="4" numFmtId="0" xfId="0" applyAlignment="1" applyBorder="1" applyFont="1">
      <alignment readingOrder="0" vertical="bottom"/>
    </xf>
    <xf borderId="5" fillId="2" fontId="2" numFmtId="0" xfId="0" applyAlignment="1" applyBorder="1" applyFont="1">
      <alignment horizontal="center" readingOrder="0" vertical="bottom"/>
    </xf>
    <xf borderId="1" fillId="20" fontId="13" numFmtId="0" xfId="0" applyAlignment="1" applyBorder="1" applyFill="1" applyFont="1">
      <alignment readingOrder="0"/>
    </xf>
    <xf borderId="5" fillId="2" fontId="60" numFmtId="0" xfId="0" applyAlignment="1" applyBorder="1" applyFont="1">
      <alignment readingOrder="0"/>
    </xf>
    <xf borderId="1" fillId="20" fontId="2" numFmtId="0" xfId="0" applyAlignment="1" applyBorder="1" applyFont="1">
      <alignment vertical="bottom"/>
    </xf>
    <xf borderId="1" fillId="20" fontId="61" numFmtId="0" xfId="0" applyAlignment="1" applyBorder="1" applyFont="1">
      <alignment vertical="bottom"/>
    </xf>
    <xf borderId="5" fillId="2" fontId="14" numFmtId="0" xfId="0" applyAlignment="1" applyBorder="1" applyFont="1">
      <alignment readingOrder="0"/>
    </xf>
    <xf borderId="0" fillId="20" fontId="13" numFmtId="0" xfId="0" applyAlignment="1" applyFont="1">
      <alignment readingOrder="0"/>
    </xf>
    <xf borderId="5" fillId="2" fontId="2" numFmtId="0" xfId="0" applyAlignment="1" applyBorder="1" applyFont="1">
      <alignment readingOrder="0" vertical="bottom"/>
    </xf>
    <xf borderId="5" fillId="2" fontId="2" numFmtId="0" xfId="0" applyAlignment="1" applyBorder="1" applyFont="1">
      <alignment horizontal="center" vertical="bottom"/>
    </xf>
    <xf borderId="1" fillId="20" fontId="12" numFmtId="0" xfId="0" applyAlignment="1" applyBorder="1" applyFont="1">
      <alignment readingOrder="0" vertical="bottom"/>
    </xf>
    <xf borderId="1" fillId="2" fontId="12" numFmtId="165" xfId="0" applyAlignment="1" applyBorder="1" applyFont="1" applyNumberFormat="1">
      <alignment horizontal="center" readingOrder="0" shrinkToFit="0" wrapText="1"/>
    </xf>
    <xf borderId="1" fillId="15" fontId="14" numFmtId="0" xfId="0" applyAlignment="1" applyBorder="1" applyFont="1">
      <alignment readingOrder="0"/>
    </xf>
    <xf borderId="1" fillId="2" fontId="62" numFmtId="0" xfId="0" applyAlignment="1" applyBorder="1" applyFont="1">
      <alignment readingOrder="0"/>
    </xf>
    <xf borderId="1" fillId="2" fontId="63" numFmtId="0" xfId="0" applyAlignment="1" applyBorder="1" applyFont="1">
      <alignment readingOrder="0"/>
    </xf>
    <xf borderId="1" fillId="0" fontId="14" numFmtId="164" xfId="0" applyAlignment="1" applyBorder="1" applyFont="1" applyNumberFormat="1">
      <alignment readingOrder="0"/>
    </xf>
    <xf borderId="1" fillId="2" fontId="14" numFmtId="0" xfId="0" applyAlignment="1" applyBorder="1" applyFont="1">
      <alignment readingOrder="0"/>
    </xf>
    <xf borderId="1" fillId="2" fontId="2" numFmtId="0" xfId="0" applyAlignment="1" applyBorder="1" applyFont="1">
      <alignment horizontal="center" readingOrder="0" vertical="bottom"/>
    </xf>
    <xf borderId="4" fillId="2" fontId="14" numFmtId="0" xfId="0" applyAlignment="1" applyBorder="1" applyFont="1">
      <alignment readingOrder="0"/>
    </xf>
    <xf borderId="4" fillId="2" fontId="2" numFmtId="0" xfId="0" applyAlignment="1" applyBorder="1" applyFont="1">
      <alignment horizontal="center" readingOrder="0" vertical="bottom"/>
    </xf>
    <xf borderId="4" fillId="2" fontId="64" numFmtId="0" xfId="0" applyAlignment="1" applyBorder="1" applyFont="1">
      <alignment readingOrder="0"/>
    </xf>
    <xf borderId="4" fillId="2" fontId="65" numFmtId="0" xfId="0" applyAlignment="1" applyBorder="1" applyFont="1">
      <alignment readingOrder="0"/>
    </xf>
    <xf borderId="7" fillId="0" fontId="8" numFmtId="3" xfId="0" applyAlignment="1" applyBorder="1" applyFont="1" applyNumberFormat="1">
      <alignment horizontal="center" readingOrder="0"/>
    </xf>
    <xf borderId="4" fillId="20" fontId="13" numFmtId="0" xfId="0" applyAlignment="1" applyBorder="1" applyFont="1">
      <alignment readingOrder="0"/>
    </xf>
    <xf borderId="4" fillId="2" fontId="27" numFmtId="0" xfId="0" applyAlignment="1" applyBorder="1" applyFont="1">
      <alignment readingOrder="0"/>
    </xf>
    <xf borderId="4" fillId="2" fontId="4" numFmtId="0" xfId="0" applyAlignment="1" applyBorder="1" applyFont="1">
      <alignment readingOrder="0" vertical="bottom"/>
    </xf>
    <xf borderId="1" fillId="2" fontId="4" numFmtId="0" xfId="0" applyAlignment="1" applyBorder="1" applyFont="1">
      <alignment readingOrder="0" vertical="bottom"/>
    </xf>
    <xf borderId="1" fillId="20" fontId="12" numFmtId="0" xfId="0" applyAlignment="1" applyBorder="1" applyFont="1">
      <alignment vertical="bottom"/>
    </xf>
    <xf borderId="1" fillId="19" fontId="8" numFmtId="0" xfId="0" applyAlignment="1" applyBorder="1" applyFont="1">
      <alignment horizontal="left" readingOrder="0"/>
    </xf>
    <xf borderId="5" fillId="19" fontId="2" numFmtId="0" xfId="0" applyAlignment="1" applyBorder="1" applyFont="1">
      <alignment horizontal="center" readingOrder="0"/>
    </xf>
    <xf borderId="2" fillId="19" fontId="8" numFmtId="0" xfId="0" applyAlignment="1" applyBorder="1" applyFont="1">
      <alignment horizontal="center" readingOrder="0"/>
    </xf>
    <xf borderId="1" fillId="19" fontId="13" numFmtId="0" xfId="0" applyAlignment="1" applyBorder="1" applyFont="1">
      <alignment horizontal="left" readingOrder="0" shrinkToFit="0" wrapText="1"/>
    </xf>
    <xf borderId="7" fillId="19" fontId="8" numFmtId="3" xfId="0" applyAlignment="1" applyBorder="1" applyFont="1" applyNumberFormat="1">
      <alignment horizontal="center" readingOrder="0"/>
    </xf>
    <xf borderId="7" fillId="19" fontId="14" numFmtId="0" xfId="0" applyAlignment="1" applyBorder="1" applyFont="1">
      <alignment horizontal="center" readingOrder="0"/>
    </xf>
    <xf borderId="5" fillId="19" fontId="14" numFmtId="0" xfId="0" applyAlignment="1" applyBorder="1" applyFont="1">
      <alignment horizontal="center" readingOrder="0"/>
    </xf>
    <xf borderId="1" fillId="19" fontId="8" numFmtId="164" xfId="0" applyAlignment="1" applyBorder="1" applyFont="1" applyNumberFormat="1">
      <alignment horizontal="center" readingOrder="0" shrinkToFit="0" wrapText="1"/>
    </xf>
    <xf borderId="1" fillId="19" fontId="12" numFmtId="0" xfId="0" applyAlignment="1" applyBorder="1" applyFont="1">
      <alignment horizontal="center" readingOrder="0" shrinkToFit="0" wrapText="1"/>
    </xf>
    <xf borderId="5" fillId="19" fontId="15" numFmtId="0" xfId="0" applyAlignment="1" applyBorder="1" applyFont="1">
      <alignment horizontal="center" readingOrder="0"/>
    </xf>
    <xf borderId="5" fillId="19" fontId="12" numFmtId="165" xfId="0" applyAlignment="1" applyBorder="1" applyFont="1" applyNumberFormat="1">
      <alignment horizontal="center" readingOrder="0" shrinkToFit="0" wrapText="1"/>
    </xf>
    <xf borderId="5" fillId="19" fontId="8" numFmtId="0" xfId="0" applyAlignment="1" applyBorder="1" applyFont="1">
      <alignment horizontal="center" readingOrder="0"/>
    </xf>
    <xf borderId="0" fillId="19" fontId="66" numFmtId="0" xfId="0" applyAlignment="1" applyFont="1">
      <alignment readingOrder="0"/>
    </xf>
    <xf borderId="1" fillId="19" fontId="8" numFmtId="0" xfId="0" applyAlignment="1" applyBorder="1" applyFont="1">
      <alignment readingOrder="0"/>
    </xf>
    <xf borderId="4" fillId="19" fontId="8" numFmtId="0" xfId="0" applyAlignment="1" applyBorder="1" applyFont="1">
      <alignment horizontal="left" readingOrder="0"/>
    </xf>
    <xf borderId="5" fillId="19" fontId="14" numFmtId="164" xfId="0" applyAlignment="1" applyBorder="1" applyFont="1" applyNumberFormat="1">
      <alignment horizontal="center" readingOrder="0"/>
    </xf>
    <xf borderId="5" fillId="19" fontId="67" numFmtId="0" xfId="0" applyAlignment="1" applyBorder="1" applyFont="1">
      <alignment readingOrder="0"/>
    </xf>
    <xf borderId="1" fillId="19" fontId="11" numFmtId="3" xfId="0" applyAlignment="1" applyBorder="1" applyFont="1" applyNumberFormat="1">
      <alignment horizontal="center" readingOrder="0"/>
    </xf>
    <xf borderId="5" fillId="19" fontId="14" numFmtId="165" xfId="0" applyAlignment="1" applyBorder="1" applyFont="1" applyNumberFormat="1">
      <alignment horizontal="center" readingOrder="0"/>
    </xf>
    <xf borderId="5" fillId="19" fontId="68" numFmtId="0" xfId="0" applyAlignment="1" applyBorder="1" applyFont="1">
      <alignment readingOrder="0"/>
    </xf>
    <xf borderId="1" fillId="19" fontId="69" numFmtId="3" xfId="0" applyAlignment="1" applyBorder="1" applyFont="1" applyNumberFormat="1">
      <alignment horizontal="center" readingOrder="0"/>
    </xf>
    <xf borderId="1" fillId="19" fontId="70" numFmtId="0" xfId="0" applyAlignment="1" applyBorder="1" applyFont="1">
      <alignment readingOrder="0"/>
    </xf>
    <xf borderId="1" fillId="21" fontId="14" numFmtId="165" xfId="0" applyAlignment="1" applyBorder="1" applyFill="1" applyFont="1" applyNumberFormat="1">
      <alignment readingOrder="0"/>
    </xf>
    <xf borderId="1" fillId="21" fontId="14" numFmtId="0" xfId="0" applyAlignment="1" applyBorder="1" applyFont="1">
      <alignment readingOrder="0"/>
    </xf>
    <xf borderId="1" fillId="21" fontId="8" numFmtId="0" xfId="0" applyAlignment="1" applyBorder="1" applyFont="1">
      <alignment horizontal="left" readingOrder="0"/>
    </xf>
    <xf borderId="5" fillId="21" fontId="8" numFmtId="0" xfId="0" applyAlignment="1" applyBorder="1" applyFont="1">
      <alignment horizontal="center" readingOrder="0" shrinkToFit="0" wrapText="1"/>
    </xf>
    <xf borderId="5" fillId="21" fontId="8" numFmtId="0" xfId="0" applyAlignment="1" applyBorder="1" applyFont="1">
      <alignment horizontal="center" readingOrder="0"/>
    </xf>
    <xf borderId="1" fillId="21" fontId="71" numFmtId="0" xfId="0" applyAlignment="1" applyBorder="1" applyFont="1">
      <alignment horizontal="left" readingOrder="0" shrinkToFit="0" wrapText="0"/>
    </xf>
    <xf borderId="5" fillId="21" fontId="8" numFmtId="0" xfId="0" applyAlignment="1" applyBorder="1" applyFont="1">
      <alignment readingOrder="0"/>
    </xf>
    <xf borderId="1" fillId="21" fontId="13" numFmtId="0" xfId="0" applyAlignment="1" applyBorder="1" applyFont="1">
      <alignment horizontal="left" readingOrder="0" shrinkToFit="0" wrapText="1"/>
    </xf>
    <xf borderId="1" fillId="21" fontId="8" numFmtId="0" xfId="0" applyAlignment="1" applyBorder="1" applyFont="1">
      <alignment horizontal="center" readingOrder="0"/>
    </xf>
    <xf borderId="1" fillId="21" fontId="8" numFmtId="3" xfId="0" applyAlignment="1" applyBorder="1" applyFont="1" applyNumberFormat="1">
      <alignment horizontal="center" readingOrder="0"/>
    </xf>
    <xf borderId="7" fillId="21" fontId="8" numFmtId="3" xfId="0" applyAlignment="1" applyBorder="1" applyFont="1" applyNumberFormat="1">
      <alignment horizontal="center" readingOrder="0"/>
    </xf>
    <xf borderId="7" fillId="21" fontId="14" numFmtId="0" xfId="0" applyAlignment="1" applyBorder="1" applyFont="1">
      <alignment horizontal="center" readingOrder="0"/>
    </xf>
    <xf borderId="5" fillId="21" fontId="14" numFmtId="0" xfId="0" applyAlignment="1" applyBorder="1" applyFont="1">
      <alignment horizontal="center" readingOrder="0"/>
    </xf>
    <xf borderId="1" fillId="21" fontId="8" numFmtId="164" xfId="0" applyAlignment="1" applyBorder="1" applyFont="1" applyNumberFormat="1">
      <alignment horizontal="center" readingOrder="0" shrinkToFit="0" wrapText="1"/>
    </xf>
    <xf borderId="1" fillId="21" fontId="21" numFmtId="165" xfId="0" applyAlignment="1" applyBorder="1" applyFont="1" applyNumberFormat="1">
      <alignment readingOrder="0"/>
    </xf>
    <xf borderId="1" fillId="21" fontId="14" numFmtId="165" xfId="0" applyAlignment="1" applyBorder="1" applyFont="1" applyNumberFormat="1">
      <alignment horizontal="center" readingOrder="0"/>
    </xf>
    <xf borderId="1" fillId="21" fontId="12" numFmtId="0" xfId="0" applyAlignment="1" applyBorder="1" applyFont="1">
      <alignment horizontal="center" readingOrder="0" shrinkToFit="0" wrapText="1"/>
    </xf>
    <xf borderId="5" fillId="21" fontId="15" numFmtId="0" xfId="0" applyAlignment="1" applyBorder="1" applyFont="1">
      <alignment horizontal="center" readingOrder="0"/>
    </xf>
    <xf borderId="5" fillId="21" fontId="12" numFmtId="165" xfId="0" applyAlignment="1" applyBorder="1" applyFont="1" applyNumberFormat="1">
      <alignment horizontal="center" readingOrder="0" shrinkToFit="0" wrapText="1"/>
    </xf>
    <xf borderId="1" fillId="21" fontId="14" numFmtId="0" xfId="0" applyAlignment="1" applyBorder="1" applyFont="1">
      <alignment horizontal="center" readingOrder="0"/>
    </xf>
    <xf borderId="0" fillId="21" fontId="14" numFmtId="0" xfId="0" applyFont="1"/>
    <xf borderId="1" fillId="22" fontId="14" numFmtId="165" xfId="0" applyAlignment="1" applyBorder="1" applyFill="1" applyFont="1" applyNumberFormat="1">
      <alignment readingOrder="0"/>
    </xf>
    <xf borderId="1" fillId="22" fontId="14" numFmtId="0" xfId="0" applyAlignment="1" applyBorder="1" applyFont="1">
      <alignment readingOrder="0"/>
    </xf>
    <xf borderId="1" fillId="22" fontId="2" numFmtId="0" xfId="0" applyAlignment="1" applyBorder="1" applyFont="1">
      <alignment readingOrder="0" vertical="bottom"/>
    </xf>
    <xf borderId="5" fillId="22" fontId="2" numFmtId="0" xfId="0" applyAlignment="1" applyBorder="1" applyFont="1">
      <alignment horizontal="center" readingOrder="0"/>
    </xf>
    <xf borderId="2" fillId="22" fontId="2" numFmtId="0" xfId="0" applyAlignment="1" applyBorder="1" applyFont="1">
      <alignment horizontal="center" readingOrder="0" vertical="bottom"/>
    </xf>
    <xf borderId="1" fillId="22" fontId="72" numFmtId="0" xfId="0" applyAlignment="1" applyBorder="1" applyFont="1">
      <alignment readingOrder="0"/>
    </xf>
    <xf borderId="5" fillId="22" fontId="8" numFmtId="0" xfId="0" applyAlignment="1" applyBorder="1" applyFont="1">
      <alignment readingOrder="0"/>
    </xf>
    <xf borderId="1" fillId="22" fontId="13" numFmtId="0" xfId="0" applyAlignment="1" applyBorder="1" applyFont="1">
      <alignment horizontal="left" readingOrder="0" shrinkToFit="0" wrapText="1"/>
    </xf>
    <xf borderId="1" fillId="22" fontId="8" numFmtId="0" xfId="0" applyAlignment="1" applyBorder="1" applyFont="1">
      <alignment horizontal="center" readingOrder="0"/>
    </xf>
    <xf borderId="1" fillId="22" fontId="8" numFmtId="3" xfId="0" applyAlignment="1" applyBorder="1" applyFont="1" applyNumberFormat="1">
      <alignment horizontal="center" readingOrder="0"/>
    </xf>
    <xf borderId="7" fillId="22" fontId="8" numFmtId="3" xfId="0" applyAlignment="1" applyBorder="1" applyFont="1" applyNumberFormat="1">
      <alignment horizontal="center" readingOrder="0"/>
    </xf>
    <xf borderId="7" fillId="22" fontId="14" numFmtId="0" xfId="0" applyAlignment="1" applyBorder="1" applyFont="1">
      <alignment horizontal="center" readingOrder="0"/>
    </xf>
    <xf borderId="5" fillId="22" fontId="14" numFmtId="0" xfId="0" applyAlignment="1" applyBorder="1" applyFont="1">
      <alignment horizontal="center" readingOrder="0"/>
    </xf>
    <xf borderId="1" fillId="22" fontId="8" numFmtId="164" xfId="0" applyAlignment="1" applyBorder="1" applyFont="1" applyNumberFormat="1">
      <alignment horizontal="center" readingOrder="0" shrinkToFit="0" wrapText="1"/>
    </xf>
    <xf borderId="1" fillId="22" fontId="21" numFmtId="165" xfId="0" applyAlignment="1" applyBorder="1" applyFont="1" applyNumberFormat="1">
      <alignment readingOrder="0"/>
    </xf>
    <xf borderId="1" fillId="22" fontId="14" numFmtId="165" xfId="0" applyAlignment="1" applyBorder="1" applyFont="1" applyNumberFormat="1">
      <alignment horizontal="center" readingOrder="0"/>
    </xf>
    <xf borderId="1" fillId="22" fontId="14" numFmtId="0" xfId="0" applyAlignment="1" applyBorder="1" applyFont="1">
      <alignment horizontal="center" readingOrder="0"/>
    </xf>
    <xf borderId="5" fillId="22" fontId="15" numFmtId="0" xfId="0" applyAlignment="1" applyBorder="1" applyFont="1">
      <alignment horizontal="center" readingOrder="0"/>
    </xf>
    <xf borderId="5" fillId="22" fontId="12" numFmtId="165" xfId="0" applyAlignment="1" applyBorder="1" applyFont="1" applyNumberFormat="1">
      <alignment horizontal="center" readingOrder="0" shrinkToFit="0" wrapText="1"/>
    </xf>
    <xf borderId="0" fillId="22" fontId="14" numFmtId="0" xfId="0" applyFont="1"/>
    <xf borderId="5" fillId="22" fontId="8" numFmtId="0" xfId="0" applyAlignment="1" applyBorder="1" applyFont="1">
      <alignment horizontal="center" readingOrder="0" shrinkToFit="0" wrapText="1"/>
    </xf>
    <xf borderId="2" fillId="22" fontId="2" numFmtId="0" xfId="0" applyAlignment="1" applyBorder="1" applyFont="1">
      <alignment horizontal="center" vertical="bottom"/>
    </xf>
    <xf borderId="0" fillId="22" fontId="73" numFmtId="0" xfId="0" applyAlignment="1" applyFont="1">
      <alignment readingOrder="0"/>
    </xf>
    <xf borderId="1" fillId="22" fontId="8" numFmtId="0" xfId="0" applyAlignment="1" applyBorder="1" applyFont="1">
      <alignment horizontal="left" readingOrder="0"/>
    </xf>
    <xf borderId="5" fillId="22" fontId="8" numFmtId="0" xfId="0" applyAlignment="1" applyBorder="1" applyFont="1">
      <alignment horizontal="center" readingOrder="0"/>
    </xf>
    <xf borderId="1" fillId="22" fontId="74" numFmtId="0" xfId="0" applyAlignment="1" applyBorder="1" applyFont="1">
      <alignment vertical="bottom"/>
    </xf>
    <xf borderId="1" fillId="22" fontId="11" numFmtId="3" xfId="0" applyAlignment="1" applyBorder="1" applyFont="1" applyNumberFormat="1">
      <alignment horizontal="center" readingOrder="0"/>
    </xf>
    <xf borderId="5" fillId="22" fontId="14" numFmtId="164" xfId="0" applyAlignment="1" applyBorder="1" applyFont="1" applyNumberFormat="1">
      <alignment readingOrder="0"/>
    </xf>
    <xf borderId="1" fillId="22" fontId="14" numFmtId="164" xfId="0" applyAlignment="1" applyBorder="1" applyFont="1" applyNumberFormat="1">
      <alignment readingOrder="0"/>
    </xf>
    <xf borderId="1" fillId="22" fontId="12" numFmtId="0" xfId="0" applyAlignment="1" applyBorder="1" applyFont="1">
      <alignment horizontal="center" readingOrder="0" shrinkToFit="0" wrapText="1"/>
    </xf>
    <xf borderId="5" fillId="22" fontId="14" numFmtId="165" xfId="0" applyAlignment="1" applyBorder="1" applyFont="1" applyNumberFormat="1">
      <alignment readingOrder="0"/>
    </xf>
    <xf borderId="5" fillId="22" fontId="14" numFmtId="165" xfId="0" applyAlignment="1" applyBorder="1" applyFont="1" applyNumberFormat="1">
      <alignment horizontal="center" readingOrder="0"/>
    </xf>
    <xf borderId="1" fillId="22" fontId="75" numFmtId="0" xfId="0" applyAlignment="1" applyBorder="1" applyFont="1">
      <alignment readingOrder="0"/>
    </xf>
    <xf borderId="1" fillId="22" fontId="76" numFmtId="0" xfId="0" applyAlignment="1" applyBorder="1" applyFont="1">
      <alignment horizontal="left" readingOrder="0" vertical="bottom"/>
    </xf>
    <xf borderId="4" fillId="22" fontId="8" numFmtId="0" xfId="0" applyAlignment="1" applyBorder="1" applyFont="1">
      <alignment horizontal="left" readingOrder="0"/>
    </xf>
    <xf borderId="1" fillId="22" fontId="77" numFmtId="0" xfId="0" applyAlignment="1" applyBorder="1" applyFont="1">
      <alignment readingOrder="0"/>
    </xf>
    <xf borderId="4" fillId="22" fontId="2" numFmtId="0" xfId="0" applyAlignment="1" applyBorder="1" applyFont="1">
      <alignment readingOrder="0" vertical="bottom"/>
    </xf>
    <xf borderId="5" fillId="22" fontId="2" numFmtId="0" xfId="0" applyAlignment="1" applyBorder="1" applyFont="1">
      <alignment horizontal="center" readingOrder="0" vertical="bottom"/>
    </xf>
    <xf borderId="4" fillId="22" fontId="78" numFmtId="0" xfId="0" applyAlignment="1" applyBorder="1" applyFont="1">
      <alignment readingOrder="0" vertical="bottom"/>
    </xf>
    <xf borderId="4" fillId="2" fontId="79" numFmtId="0" xfId="0" applyAlignment="1" applyBorder="1" applyFont="1">
      <alignment readingOrder="0" vertical="bottom"/>
    </xf>
    <xf borderId="5" fillId="0" fontId="80" numFmtId="0" xfId="0" applyAlignment="1" applyBorder="1" applyFont="1">
      <alignment horizontal="left" readingOrder="0" vertical="bottom"/>
    </xf>
    <xf borderId="1" fillId="2" fontId="14" numFmtId="0" xfId="0" applyAlignment="1" applyBorder="1" applyFont="1">
      <alignment horizontal="left" readingOrder="0"/>
    </xf>
    <xf borderId="5" fillId="22" fontId="8" numFmtId="0" xfId="0" applyAlignment="1" applyBorder="1" applyFont="1">
      <alignment horizontal="left" readingOrder="0"/>
    </xf>
    <xf borderId="5" fillId="22" fontId="14" numFmtId="164" xfId="0" applyAlignment="1" applyBorder="1" applyFont="1" applyNumberFormat="1">
      <alignment horizontal="center" readingOrder="0"/>
    </xf>
    <xf borderId="1" fillId="22" fontId="81" numFmtId="0" xfId="0" applyAlignment="1" applyBorder="1" applyFont="1">
      <alignment readingOrder="0" vertical="bottom"/>
    </xf>
    <xf borderId="2" fillId="22" fontId="8" numFmtId="0" xfId="0" applyAlignment="1" applyBorder="1" applyFont="1">
      <alignment horizontal="center" readingOrder="0"/>
    </xf>
    <xf borderId="5" fillId="22" fontId="12" numFmtId="0" xfId="0" applyAlignment="1" applyBorder="1" applyFont="1">
      <alignment horizontal="center" readingOrder="0" shrinkToFit="0" wrapText="1"/>
    </xf>
    <xf borderId="1" fillId="22" fontId="8" numFmtId="0" xfId="0" applyAlignment="1" applyBorder="1" applyFont="1">
      <alignment readingOrder="0"/>
    </xf>
    <xf borderId="1" fillId="22" fontId="82" numFmtId="0" xfId="0" applyAlignment="1" applyBorder="1" applyFont="1">
      <alignment readingOrder="0"/>
    </xf>
    <xf borderId="5" fillId="22" fontId="8" numFmtId="3" xfId="0" applyAlignment="1" applyBorder="1" applyFont="1" applyNumberFormat="1">
      <alignment horizontal="center" readingOrder="0"/>
    </xf>
    <xf borderId="5" fillId="22" fontId="11" numFmtId="3" xfId="0" applyAlignment="1" applyBorder="1" applyFont="1" applyNumberFormat="1">
      <alignment horizontal="center" readingOrder="0"/>
    </xf>
    <xf borderId="0" fillId="22" fontId="14" numFmtId="165" xfId="0" applyAlignment="1" applyFont="1" applyNumberFormat="1">
      <alignment readingOrder="0"/>
    </xf>
    <xf borderId="0" fillId="2" fontId="14" numFmtId="165" xfId="0" applyAlignment="1" applyFont="1" applyNumberFormat="1">
      <alignment readingOrder="0"/>
    </xf>
    <xf borderId="1" fillId="8" fontId="83" numFmtId="0" xfId="0" applyAlignment="1" applyBorder="1" applyFont="1">
      <alignment readingOrder="0"/>
    </xf>
    <xf borderId="0" fillId="2" fontId="8" numFmtId="0" xfId="0" applyAlignment="1" applyFont="1">
      <alignment horizontal="center" readingOrder="0"/>
    </xf>
    <xf borderId="0" fillId="2" fontId="8" numFmtId="0" xfId="0" applyAlignment="1" applyFont="1">
      <alignment readingOrder="0"/>
    </xf>
    <xf borderId="0" fillId="6" fontId="8" numFmtId="0" xfId="0" applyAlignment="1" applyFont="1">
      <alignment horizontal="center" readingOrder="0"/>
    </xf>
    <xf borderId="0" fillId="0" fontId="8" numFmtId="3" xfId="0" applyAlignment="1" applyFont="1" applyNumberFormat="1">
      <alignment horizontal="center" readingOrder="0"/>
    </xf>
    <xf borderId="0" fillId="9" fontId="14" numFmtId="0" xfId="0" applyAlignment="1" applyFont="1">
      <alignment horizontal="center" readingOrder="0"/>
    </xf>
    <xf borderId="1" fillId="22" fontId="12" numFmtId="0" xfId="0" applyAlignment="1" applyBorder="1" applyFont="1">
      <alignment readingOrder="0" vertical="bottom"/>
    </xf>
    <xf borderId="1" fillId="23" fontId="14" numFmtId="165" xfId="0" applyAlignment="1" applyBorder="1" applyFill="1" applyFont="1" applyNumberFormat="1">
      <alignment readingOrder="0"/>
    </xf>
    <xf borderId="1" fillId="23" fontId="14" numFmtId="0" xfId="0" applyAlignment="1" applyBorder="1" applyFont="1">
      <alignment readingOrder="0"/>
    </xf>
    <xf borderId="1" fillId="23" fontId="8" numFmtId="0" xfId="0" applyAlignment="1" applyBorder="1" applyFont="1">
      <alignment horizontal="left" readingOrder="0"/>
    </xf>
    <xf borderId="5" fillId="23" fontId="2" numFmtId="0" xfId="0" applyAlignment="1" applyBorder="1" applyFont="1">
      <alignment horizontal="center" readingOrder="0"/>
    </xf>
    <xf borderId="1" fillId="23" fontId="8" numFmtId="0" xfId="0" applyAlignment="1" applyBorder="1" applyFont="1">
      <alignment horizontal="center" readingOrder="0"/>
    </xf>
    <xf borderId="1" fillId="23" fontId="12" numFmtId="0" xfId="0" applyAlignment="1" applyBorder="1" applyFont="1">
      <alignment readingOrder="0" vertical="bottom"/>
    </xf>
    <xf borderId="1" fillId="23" fontId="8" numFmtId="0" xfId="0" applyAlignment="1" applyBorder="1" applyFont="1">
      <alignment readingOrder="0"/>
    </xf>
    <xf borderId="1" fillId="23" fontId="13" numFmtId="0" xfId="0" applyAlignment="1" applyBorder="1" applyFont="1">
      <alignment horizontal="left" readingOrder="0" shrinkToFit="0" wrapText="1"/>
    </xf>
    <xf borderId="5" fillId="23" fontId="8" numFmtId="3" xfId="0" applyAlignment="1" applyBorder="1" applyFont="1" applyNumberFormat="1">
      <alignment horizontal="center" readingOrder="0"/>
    </xf>
    <xf borderId="1" fillId="23" fontId="8" numFmtId="3" xfId="0" applyAlignment="1" applyBorder="1" applyFont="1" applyNumberFormat="1">
      <alignment horizontal="center" readingOrder="0"/>
    </xf>
    <xf borderId="7" fillId="23" fontId="14" numFmtId="0" xfId="0" applyAlignment="1" applyBorder="1" applyFont="1">
      <alignment horizontal="center" readingOrder="0" shrinkToFit="0" wrapText="1"/>
    </xf>
    <xf borderId="5" fillId="23" fontId="14" numFmtId="0" xfId="0" applyAlignment="1" applyBorder="1" applyFont="1">
      <alignment horizontal="center" readingOrder="0"/>
    </xf>
    <xf borderId="5" fillId="23" fontId="14" numFmtId="164" xfId="0" applyAlignment="1" applyBorder="1" applyFont="1" applyNumberFormat="1">
      <alignment readingOrder="0"/>
    </xf>
    <xf borderId="1" fillId="23" fontId="14" numFmtId="164" xfId="0" applyAlignment="1" applyBorder="1" applyFont="1" applyNumberFormat="1">
      <alignment readingOrder="0"/>
    </xf>
    <xf borderId="1" fillId="23" fontId="14" numFmtId="165" xfId="0" applyAlignment="1" applyBorder="1" applyFont="1" applyNumberFormat="1">
      <alignment horizontal="center" readingOrder="0"/>
    </xf>
    <xf borderId="1" fillId="23" fontId="21" numFmtId="165" xfId="0" applyAlignment="1" applyBorder="1" applyFont="1" applyNumberFormat="1">
      <alignment readingOrder="0"/>
    </xf>
    <xf borderId="1" fillId="23" fontId="14" numFmtId="0" xfId="0" applyAlignment="1" applyBorder="1" applyFont="1">
      <alignment horizontal="center" readingOrder="0"/>
    </xf>
    <xf borderId="5" fillId="23" fontId="12" numFmtId="165" xfId="0" applyAlignment="1" applyBorder="1" applyFont="1" applyNumberFormat="1">
      <alignment horizontal="center" readingOrder="0" shrinkToFit="0" wrapText="1"/>
    </xf>
    <xf borderId="5" fillId="23" fontId="14" numFmtId="165" xfId="0" applyAlignment="1" applyBorder="1" applyFont="1" applyNumberFormat="1">
      <alignment horizontal="center" readingOrder="0"/>
    </xf>
    <xf borderId="0" fillId="23" fontId="14" numFmtId="0" xfId="0" applyFont="1"/>
    <xf borderId="5" fillId="23" fontId="8" numFmtId="0" xfId="0" applyAlignment="1" applyBorder="1" applyFont="1">
      <alignment horizontal="center" readingOrder="0" shrinkToFit="0" wrapText="1"/>
    </xf>
    <xf borderId="7" fillId="23" fontId="14" numFmtId="0" xfId="0" applyAlignment="1" applyBorder="1" applyFont="1">
      <alignment horizontal="center" readingOrder="0"/>
    </xf>
    <xf borderId="1" fillId="23" fontId="14" numFmtId="164" xfId="0" applyAlignment="1" applyBorder="1" applyFont="1" applyNumberFormat="1">
      <alignment horizontal="center" readingOrder="0"/>
    </xf>
    <xf borderId="5" fillId="23" fontId="14" numFmtId="164" xfId="0" applyAlignment="1" applyBorder="1" applyFont="1" applyNumberFormat="1">
      <alignment horizontal="center" readingOrder="0"/>
    </xf>
    <xf borderId="1" fillId="24" fontId="14" numFmtId="165" xfId="0" applyAlignment="1" applyBorder="1" applyFill="1" applyFont="1" applyNumberFormat="1">
      <alignment readingOrder="0"/>
    </xf>
    <xf borderId="1" fillId="24" fontId="14" numFmtId="0" xfId="0" applyAlignment="1" applyBorder="1" applyFont="1">
      <alignment readingOrder="0"/>
    </xf>
    <xf borderId="1" fillId="24" fontId="8" numFmtId="0" xfId="0" applyAlignment="1" applyBorder="1" applyFont="1">
      <alignment horizontal="left" readingOrder="0"/>
    </xf>
    <xf borderId="5" fillId="24" fontId="2" numFmtId="0" xfId="0" applyAlignment="1" applyBorder="1" applyFont="1">
      <alignment horizontal="center" readingOrder="0"/>
    </xf>
    <xf borderId="1" fillId="24" fontId="8" numFmtId="0" xfId="0" applyAlignment="1" applyBorder="1" applyFont="1">
      <alignment horizontal="center" readingOrder="0"/>
    </xf>
    <xf borderId="1" fillId="24" fontId="12" numFmtId="0" xfId="0" applyAlignment="1" applyBorder="1" applyFont="1">
      <alignment readingOrder="0" vertical="bottom"/>
    </xf>
    <xf borderId="1" fillId="24" fontId="8" numFmtId="0" xfId="0" applyAlignment="1" applyBorder="1" applyFont="1">
      <alignment readingOrder="0"/>
    </xf>
    <xf borderId="1" fillId="24" fontId="13" numFmtId="0" xfId="0" applyAlignment="1" applyBorder="1" applyFont="1">
      <alignment horizontal="left" readingOrder="0" shrinkToFit="0" wrapText="1"/>
    </xf>
    <xf borderId="5" fillId="24" fontId="8" numFmtId="3" xfId="0" applyAlignment="1" applyBorder="1" applyFont="1" applyNumberFormat="1">
      <alignment horizontal="center" readingOrder="0"/>
    </xf>
    <xf borderId="1" fillId="24" fontId="8" numFmtId="3" xfId="0" applyAlignment="1" applyBorder="1" applyFont="1" applyNumberFormat="1">
      <alignment horizontal="center" readingOrder="0"/>
    </xf>
    <xf borderId="7" fillId="24" fontId="14" numFmtId="0" xfId="0" applyAlignment="1" applyBorder="1" applyFont="1">
      <alignment horizontal="center" readingOrder="0"/>
    </xf>
    <xf borderId="5" fillId="24" fontId="14" numFmtId="0" xfId="0" applyAlignment="1" applyBorder="1" applyFont="1">
      <alignment horizontal="center" readingOrder="0"/>
    </xf>
    <xf borderId="1" fillId="24" fontId="14" numFmtId="164" xfId="0" applyAlignment="1" applyBorder="1" applyFont="1" applyNumberFormat="1">
      <alignment horizontal="center" readingOrder="0"/>
    </xf>
    <xf borderId="1" fillId="24" fontId="21" numFmtId="165" xfId="0" applyAlignment="1" applyBorder="1" applyFont="1" applyNumberFormat="1">
      <alignment readingOrder="0"/>
    </xf>
    <xf borderId="1" fillId="24" fontId="14" numFmtId="165" xfId="0" applyAlignment="1" applyBorder="1" applyFont="1" applyNumberFormat="1">
      <alignment horizontal="center" readingOrder="0"/>
    </xf>
    <xf borderId="1" fillId="24" fontId="14" numFmtId="0" xfId="0" applyAlignment="1" applyBorder="1" applyFont="1">
      <alignment horizontal="center" readingOrder="0"/>
    </xf>
    <xf borderId="5" fillId="24" fontId="12" numFmtId="165" xfId="0" applyAlignment="1" applyBorder="1" applyFont="1" applyNumberFormat="1">
      <alignment horizontal="center" readingOrder="0" shrinkToFit="0" wrapText="1"/>
    </xf>
    <xf borderId="5" fillId="24" fontId="14" numFmtId="165" xfId="0" applyAlignment="1" applyBorder="1" applyFont="1" applyNumberFormat="1">
      <alignment horizontal="center" readingOrder="0"/>
    </xf>
    <xf borderId="0" fillId="24" fontId="14" numFmtId="0" xfId="0" applyFont="1"/>
    <xf borderId="1" fillId="25" fontId="14" numFmtId="165" xfId="0" applyAlignment="1" applyBorder="1" applyFill="1" applyFont="1" applyNumberFormat="1">
      <alignment readingOrder="0"/>
    </xf>
    <xf borderId="1" fillId="25" fontId="14" numFmtId="0" xfId="0" applyAlignment="1" applyBorder="1" applyFont="1">
      <alignment readingOrder="0"/>
    </xf>
    <xf borderId="1" fillId="25" fontId="8" numFmtId="0" xfId="0" applyAlignment="1" applyBorder="1" applyFont="1">
      <alignment horizontal="left" readingOrder="0"/>
    </xf>
    <xf borderId="5" fillId="25" fontId="8" numFmtId="0" xfId="0" applyAlignment="1" applyBorder="1" applyFont="1">
      <alignment horizontal="center" readingOrder="0" shrinkToFit="0" wrapText="1"/>
    </xf>
    <xf borderId="1" fillId="25" fontId="8" numFmtId="0" xfId="0" applyAlignment="1" applyBorder="1" applyFont="1">
      <alignment horizontal="center" readingOrder="0"/>
    </xf>
    <xf borderId="1" fillId="25" fontId="12" numFmtId="0" xfId="0" applyAlignment="1" applyBorder="1" applyFont="1">
      <alignment readingOrder="0" vertical="bottom"/>
    </xf>
    <xf borderId="1" fillId="25" fontId="8" numFmtId="0" xfId="0" applyAlignment="1" applyBorder="1" applyFont="1">
      <alignment readingOrder="0"/>
    </xf>
    <xf borderId="1" fillId="25" fontId="13" numFmtId="0" xfId="0" applyAlignment="1" applyBorder="1" applyFont="1">
      <alignment horizontal="left" readingOrder="0" shrinkToFit="0" wrapText="1"/>
    </xf>
    <xf borderId="5" fillId="25" fontId="8" numFmtId="3" xfId="0" applyAlignment="1" applyBorder="1" applyFont="1" applyNumberFormat="1">
      <alignment horizontal="center" readingOrder="0"/>
    </xf>
    <xf borderId="1" fillId="25" fontId="8" numFmtId="3" xfId="0" applyAlignment="1" applyBorder="1" applyFont="1" applyNumberFormat="1">
      <alignment horizontal="center" readingOrder="0"/>
    </xf>
    <xf borderId="7" fillId="25" fontId="14" numFmtId="0" xfId="0" applyAlignment="1" applyBorder="1" applyFont="1">
      <alignment horizontal="center" readingOrder="0"/>
    </xf>
    <xf borderId="5" fillId="25" fontId="14" numFmtId="0" xfId="0" applyAlignment="1" applyBorder="1" applyFont="1">
      <alignment horizontal="center" readingOrder="0"/>
    </xf>
    <xf borderId="1" fillId="25" fontId="14" numFmtId="164" xfId="0" applyAlignment="1" applyBorder="1" applyFont="1" applyNumberFormat="1">
      <alignment horizontal="center" readingOrder="0"/>
    </xf>
    <xf borderId="1" fillId="25" fontId="21" numFmtId="165" xfId="0" applyAlignment="1" applyBorder="1" applyFont="1" applyNumberFormat="1">
      <alignment readingOrder="0"/>
    </xf>
    <xf borderId="1" fillId="25" fontId="14" numFmtId="165" xfId="0" applyAlignment="1" applyBorder="1" applyFont="1" applyNumberFormat="1">
      <alignment horizontal="center" readingOrder="0"/>
    </xf>
    <xf borderId="1" fillId="25" fontId="14" numFmtId="0" xfId="0" applyAlignment="1" applyBorder="1" applyFont="1">
      <alignment horizontal="center" readingOrder="0"/>
    </xf>
    <xf borderId="5" fillId="25" fontId="12" numFmtId="165" xfId="0" applyAlignment="1" applyBorder="1" applyFont="1" applyNumberFormat="1">
      <alignment horizontal="center" readingOrder="0" shrinkToFit="0" wrapText="1"/>
    </xf>
    <xf borderId="5" fillId="25" fontId="14" numFmtId="165" xfId="0" applyAlignment="1" applyBorder="1" applyFont="1" applyNumberFormat="1">
      <alignment horizontal="center" readingOrder="0"/>
    </xf>
    <xf borderId="0" fillId="25" fontId="14" numFmtId="0" xfId="0" applyFont="1"/>
    <xf borderId="1" fillId="26" fontId="14" numFmtId="165" xfId="0" applyAlignment="1" applyBorder="1" applyFill="1" applyFont="1" applyNumberFormat="1">
      <alignment readingOrder="0"/>
    </xf>
    <xf borderId="1" fillId="26" fontId="14" numFmtId="0" xfId="0" applyAlignment="1" applyBorder="1" applyFont="1">
      <alignment readingOrder="0"/>
    </xf>
    <xf borderId="5" fillId="26" fontId="8" numFmtId="0" xfId="0" applyAlignment="1" applyBorder="1" applyFont="1">
      <alignment readingOrder="0" shrinkToFit="0" wrapText="1"/>
    </xf>
    <xf borderId="5" fillId="26" fontId="2" numFmtId="0" xfId="0" applyAlignment="1" applyBorder="1" applyFont="1">
      <alignment horizontal="center" readingOrder="0"/>
    </xf>
    <xf borderId="5" fillId="26" fontId="8" numFmtId="0" xfId="0" applyAlignment="1" applyBorder="1" applyFont="1">
      <alignment horizontal="center" readingOrder="0" shrinkToFit="0" wrapText="1"/>
    </xf>
    <xf borderId="5" fillId="26" fontId="59" numFmtId="0" xfId="0" applyAlignment="1" applyBorder="1" applyFont="1">
      <alignment readingOrder="0"/>
    </xf>
    <xf borderId="5" fillId="26" fontId="8" numFmtId="0" xfId="0" applyAlignment="1" applyBorder="1" applyFont="1">
      <alignment readingOrder="0"/>
    </xf>
    <xf borderId="1" fillId="26" fontId="13" numFmtId="0" xfId="0" applyAlignment="1" applyBorder="1" applyFont="1">
      <alignment horizontal="left" readingOrder="0" shrinkToFit="0" wrapText="1"/>
    </xf>
    <xf borderId="1" fillId="26" fontId="8" numFmtId="0" xfId="0" applyAlignment="1" applyBorder="1" applyFont="1">
      <alignment horizontal="center" readingOrder="0"/>
    </xf>
    <xf borderId="1" fillId="26" fontId="8" numFmtId="3" xfId="0" applyAlignment="1" applyBorder="1" applyFont="1" applyNumberFormat="1">
      <alignment horizontal="center" readingOrder="0"/>
    </xf>
    <xf borderId="1" fillId="26" fontId="14" numFmtId="0" xfId="0" applyAlignment="1" applyBorder="1" applyFont="1">
      <alignment horizontal="center" readingOrder="0"/>
    </xf>
    <xf borderId="5" fillId="26" fontId="14" numFmtId="0" xfId="0" applyAlignment="1" applyBorder="1" applyFont="1">
      <alignment horizontal="center" readingOrder="0"/>
    </xf>
    <xf borderId="5" fillId="26" fontId="14" numFmtId="164" xfId="0" applyAlignment="1" applyBorder="1" applyFont="1" applyNumberFormat="1">
      <alignment horizontal="center" readingOrder="0"/>
    </xf>
    <xf borderId="1" fillId="26" fontId="21" numFmtId="165" xfId="0" applyAlignment="1" applyBorder="1" applyFont="1" applyNumberFormat="1">
      <alignment readingOrder="0"/>
    </xf>
    <xf borderId="1" fillId="26" fontId="14" numFmtId="165" xfId="0" applyAlignment="1" applyBorder="1" applyFont="1" applyNumberFormat="1">
      <alignment horizontal="center" readingOrder="0"/>
    </xf>
    <xf borderId="1" fillId="26" fontId="12" numFmtId="0" xfId="0" applyAlignment="1" applyBorder="1" applyFont="1">
      <alignment horizontal="center" readingOrder="0" shrinkToFit="0" wrapText="1"/>
    </xf>
    <xf borderId="5" fillId="26" fontId="15" numFmtId="0" xfId="0" applyAlignment="1" applyBorder="1" applyFont="1">
      <alignment horizontal="center" readingOrder="0"/>
    </xf>
    <xf borderId="5" fillId="26" fontId="12" numFmtId="165" xfId="0" applyAlignment="1" applyBorder="1" applyFont="1" applyNumberFormat="1">
      <alignment horizontal="center" readingOrder="0" shrinkToFit="0" wrapText="1"/>
    </xf>
    <xf borderId="0" fillId="26" fontId="14" numFmtId="0" xfId="0" applyFont="1"/>
    <xf borderId="1" fillId="26" fontId="8" numFmtId="164" xfId="0" applyAlignment="1" applyBorder="1" applyFont="1" applyNumberFormat="1">
      <alignment horizontal="center" readingOrder="0" shrinkToFit="0" wrapText="1"/>
    </xf>
    <xf borderId="5" fillId="26" fontId="8" numFmtId="164" xfId="0" applyAlignment="1" applyBorder="1" applyFont="1" applyNumberFormat="1">
      <alignment horizontal="center" readingOrder="0" shrinkToFit="0" wrapText="1"/>
    </xf>
    <xf borderId="5" fillId="26" fontId="14" numFmtId="165" xfId="0" applyAlignment="1" applyBorder="1" applyFont="1" applyNumberFormat="1">
      <alignment horizontal="center" readingOrder="0"/>
    </xf>
    <xf borderId="1" fillId="27" fontId="14" numFmtId="164" xfId="0" applyAlignment="1" applyBorder="1" applyFill="1" applyFont="1" applyNumberFormat="1">
      <alignment readingOrder="0"/>
    </xf>
    <xf borderId="1" fillId="27" fontId="14" numFmtId="0" xfId="0" applyAlignment="1" applyBorder="1" applyFont="1">
      <alignment readingOrder="0"/>
    </xf>
    <xf borderId="1" fillId="27" fontId="8" numFmtId="0" xfId="0" applyAlignment="1" applyBorder="1" applyFont="1">
      <alignment horizontal="left" readingOrder="0"/>
    </xf>
    <xf borderId="5" fillId="27" fontId="8" numFmtId="0" xfId="0" applyAlignment="1" applyBorder="1" applyFont="1">
      <alignment horizontal="center" readingOrder="0" shrinkToFit="0" wrapText="1"/>
    </xf>
    <xf borderId="5" fillId="27" fontId="8" numFmtId="0" xfId="0" applyAlignment="1" applyBorder="1" applyFont="1">
      <alignment horizontal="center" readingOrder="0"/>
    </xf>
    <xf borderId="5" fillId="27" fontId="8" numFmtId="0" xfId="0" applyAlignment="1" applyBorder="1" applyFont="1">
      <alignment horizontal="left" readingOrder="0"/>
    </xf>
    <xf borderId="5" fillId="27" fontId="8" numFmtId="0" xfId="0" applyAlignment="1" applyBorder="1" applyFont="1">
      <alignment readingOrder="0"/>
    </xf>
    <xf borderId="1" fillId="27" fontId="13" numFmtId="0" xfId="0" applyAlignment="1" applyBorder="1" applyFont="1">
      <alignment horizontal="left" readingOrder="0" shrinkToFit="0" wrapText="1"/>
    </xf>
    <xf borderId="1" fillId="27" fontId="8" numFmtId="0" xfId="0" applyAlignment="1" applyBorder="1" applyFont="1">
      <alignment horizontal="center" readingOrder="0"/>
    </xf>
    <xf borderId="1" fillId="27" fontId="11" numFmtId="3" xfId="0" applyAlignment="1" applyBorder="1" applyFont="1" applyNumberFormat="1">
      <alignment horizontal="center" readingOrder="0"/>
    </xf>
    <xf borderId="1" fillId="27" fontId="8" numFmtId="3" xfId="0" applyAlignment="1" applyBorder="1" applyFont="1" applyNumberFormat="1">
      <alignment horizontal="center" readingOrder="0"/>
    </xf>
    <xf borderId="1" fillId="27" fontId="14" numFmtId="0" xfId="0" applyAlignment="1" applyBorder="1" applyFont="1">
      <alignment horizontal="center" readingOrder="0"/>
    </xf>
    <xf borderId="5" fillId="27" fontId="14" numFmtId="0" xfId="0" applyAlignment="1" applyBorder="1" applyFont="1">
      <alignment horizontal="center" readingOrder="0"/>
    </xf>
    <xf borderId="5" fillId="27" fontId="14" numFmtId="164" xfId="0" applyAlignment="1" applyBorder="1" applyFont="1" applyNumberFormat="1">
      <alignment readingOrder="0"/>
    </xf>
    <xf borderId="1" fillId="27" fontId="14" numFmtId="165" xfId="0" applyAlignment="1" applyBorder="1" applyFont="1" applyNumberFormat="1">
      <alignment horizontal="center" readingOrder="0"/>
    </xf>
    <xf borderId="1" fillId="27" fontId="21" numFmtId="165" xfId="0" applyAlignment="1" applyBorder="1" applyFont="1" applyNumberFormat="1">
      <alignment readingOrder="0"/>
    </xf>
    <xf borderId="1" fillId="27" fontId="12" numFmtId="0" xfId="0" applyAlignment="1" applyBorder="1" applyFont="1">
      <alignment horizontal="center" readingOrder="0" shrinkToFit="0" wrapText="1"/>
    </xf>
    <xf borderId="5" fillId="27" fontId="14" numFmtId="165" xfId="0" applyAlignment="1" applyBorder="1" applyFont="1" applyNumberFormat="1">
      <alignment horizontal="center" readingOrder="0"/>
    </xf>
    <xf borderId="1" fillId="27" fontId="14" numFmtId="165" xfId="0" applyAlignment="1" applyBorder="1" applyFont="1" applyNumberFormat="1">
      <alignment readingOrder="0"/>
    </xf>
    <xf borderId="5" fillId="27" fontId="14" numFmtId="165" xfId="0" applyAlignment="1" applyBorder="1" applyFont="1" applyNumberFormat="1">
      <alignment readingOrder="0"/>
    </xf>
    <xf borderId="0" fillId="27" fontId="14" numFmtId="0" xfId="0" applyFont="1"/>
    <xf borderId="1" fillId="11" fontId="14" numFmtId="0" xfId="0" applyAlignment="1" applyBorder="1" applyFont="1">
      <alignment readingOrder="0"/>
    </xf>
    <xf borderId="5" fillId="11" fontId="8" numFmtId="0" xfId="0" applyAlignment="1" applyBorder="1" applyFont="1">
      <alignment readingOrder="0" shrinkToFit="0" wrapText="1"/>
    </xf>
    <xf borderId="5" fillId="11" fontId="2" numFmtId="0" xfId="0" applyAlignment="1" applyBorder="1" applyFont="1">
      <alignment horizontal="center" readingOrder="0"/>
    </xf>
    <xf borderId="5" fillId="11" fontId="8" numFmtId="0" xfId="0" applyAlignment="1" applyBorder="1" applyFont="1">
      <alignment horizontal="center" readingOrder="0" shrinkToFit="0" wrapText="1"/>
    </xf>
    <xf borderId="1" fillId="11" fontId="8" numFmtId="0" xfId="0" applyAlignment="1" applyBorder="1" applyFont="1">
      <alignment readingOrder="0" shrinkToFit="0" wrapText="1"/>
    </xf>
    <xf borderId="5" fillId="11" fontId="8" numFmtId="0" xfId="0" applyAlignment="1" applyBorder="1" applyFont="1">
      <alignment readingOrder="0"/>
    </xf>
    <xf borderId="1" fillId="11" fontId="13" numFmtId="0" xfId="0" applyAlignment="1" applyBorder="1" applyFont="1">
      <alignment horizontal="left" readingOrder="0" shrinkToFit="0" wrapText="1"/>
    </xf>
    <xf borderId="1" fillId="11" fontId="8" numFmtId="0" xfId="0" applyAlignment="1" applyBorder="1" applyFont="1">
      <alignment horizontal="center" readingOrder="0"/>
    </xf>
    <xf borderId="1" fillId="11" fontId="8" numFmtId="3" xfId="0" applyAlignment="1" applyBorder="1" applyFont="1" applyNumberFormat="1">
      <alignment horizontal="center" readingOrder="0"/>
    </xf>
    <xf borderId="5" fillId="11" fontId="14" numFmtId="0" xfId="0" applyAlignment="1" applyBorder="1" applyFont="1">
      <alignment horizontal="center" readingOrder="0"/>
    </xf>
    <xf borderId="5" fillId="11" fontId="14" numFmtId="164" xfId="0" applyAlignment="1" applyBorder="1" applyFont="1" applyNumberFormat="1">
      <alignment horizontal="center" readingOrder="0"/>
    </xf>
    <xf borderId="1" fillId="11" fontId="12" numFmtId="164" xfId="0" applyAlignment="1" applyBorder="1" applyFont="1" applyNumberFormat="1">
      <alignment horizontal="center" readingOrder="0" shrinkToFit="0" wrapText="1"/>
    </xf>
    <xf borderId="1" fillId="11" fontId="14" numFmtId="165" xfId="0" applyAlignment="1" applyBorder="1" applyFont="1" applyNumberFormat="1">
      <alignment horizontal="center" readingOrder="0"/>
    </xf>
    <xf borderId="1" fillId="11" fontId="21" numFmtId="165" xfId="0" applyAlignment="1" applyBorder="1" applyFont="1" applyNumberFormat="1">
      <alignment readingOrder="0"/>
    </xf>
    <xf borderId="1" fillId="11" fontId="12" numFmtId="165" xfId="0" applyAlignment="1" applyBorder="1" applyFont="1" applyNumberFormat="1">
      <alignment horizontal="center" readingOrder="0" shrinkToFit="0" wrapText="1"/>
    </xf>
    <xf borderId="5" fillId="11" fontId="14" numFmtId="165" xfId="0" applyAlignment="1" applyBorder="1" applyFont="1" applyNumberFormat="1">
      <alignment horizontal="center" readingOrder="0"/>
    </xf>
    <xf borderId="1" fillId="11" fontId="14" numFmtId="165" xfId="0" applyAlignment="1" applyBorder="1" applyFont="1" applyNumberFormat="1">
      <alignment readingOrder="0"/>
    </xf>
    <xf borderId="5" fillId="11" fontId="12" numFmtId="165" xfId="0" applyAlignment="1" applyBorder="1" applyFont="1" applyNumberFormat="1">
      <alignment horizontal="center" readingOrder="0" shrinkToFit="0" wrapText="1"/>
    </xf>
    <xf borderId="5" fillId="11" fontId="14" numFmtId="165" xfId="0" applyAlignment="1" applyBorder="1" applyFont="1" applyNumberFormat="1">
      <alignment readingOrder="0"/>
    </xf>
    <xf borderId="0" fillId="11" fontId="14" numFmtId="0" xfId="0" applyFont="1"/>
    <xf borderId="1" fillId="11" fontId="12" numFmtId="0" xfId="0" applyAlignment="1" applyBorder="1" applyFont="1">
      <alignment horizontal="center" readingOrder="0" shrinkToFit="0" wrapText="1"/>
    </xf>
    <xf borderId="5" fillId="11" fontId="15" numFmtId="0" xfId="0" applyAlignment="1" applyBorder="1" applyFont="1">
      <alignment horizontal="center" readingOrder="0"/>
    </xf>
    <xf borderId="1" fillId="17" fontId="14" numFmtId="165" xfId="0" applyAlignment="1" applyBorder="1" applyFont="1" applyNumberFormat="1">
      <alignment readingOrder="0"/>
    </xf>
    <xf borderId="1" fillId="17" fontId="14" numFmtId="0" xfId="0" applyAlignment="1" applyBorder="1" applyFont="1">
      <alignment readingOrder="0"/>
    </xf>
    <xf borderId="5" fillId="17" fontId="8" numFmtId="0" xfId="0" applyAlignment="1" applyBorder="1" applyFont="1">
      <alignment readingOrder="0" shrinkToFit="0" wrapText="1"/>
    </xf>
    <xf borderId="5" fillId="17" fontId="2" numFmtId="0" xfId="0" applyAlignment="1" applyBorder="1" applyFont="1">
      <alignment horizontal="center" readingOrder="0"/>
    </xf>
    <xf borderId="5" fillId="17" fontId="8" numFmtId="0" xfId="0" applyAlignment="1" applyBorder="1" applyFont="1">
      <alignment horizontal="center" readingOrder="0" shrinkToFit="0" wrapText="1"/>
    </xf>
    <xf borderId="1" fillId="17" fontId="84" numFmtId="0" xfId="0" applyAlignment="1" applyBorder="1" applyFont="1">
      <alignment vertical="bottom"/>
    </xf>
    <xf borderId="5" fillId="17" fontId="8" numFmtId="0" xfId="0" applyAlignment="1" applyBorder="1" applyFont="1">
      <alignment readingOrder="0"/>
    </xf>
    <xf borderId="1" fillId="17" fontId="13" numFmtId="0" xfId="0" applyAlignment="1" applyBorder="1" applyFont="1">
      <alignment horizontal="left" readingOrder="0" shrinkToFit="0" wrapText="1"/>
    </xf>
    <xf borderId="1" fillId="17" fontId="8" numFmtId="0" xfId="0" applyAlignment="1" applyBorder="1" applyFont="1">
      <alignment horizontal="center" readingOrder="0"/>
    </xf>
    <xf borderId="1" fillId="17" fontId="8" numFmtId="3" xfId="0" applyAlignment="1" applyBorder="1" applyFont="1" applyNumberFormat="1">
      <alignment horizontal="center" readingOrder="0"/>
    </xf>
    <xf borderId="1" fillId="17" fontId="14" numFmtId="0" xfId="0" applyAlignment="1" applyBorder="1" applyFont="1">
      <alignment horizontal="center" readingOrder="0"/>
    </xf>
    <xf borderId="5" fillId="17" fontId="14" numFmtId="0" xfId="0" applyAlignment="1" applyBorder="1" applyFont="1">
      <alignment horizontal="center" readingOrder="0"/>
    </xf>
    <xf borderId="1" fillId="17" fontId="8" numFmtId="164" xfId="0" applyAlignment="1" applyBorder="1" applyFont="1" applyNumberFormat="1">
      <alignment horizontal="center" readingOrder="0" shrinkToFit="0" wrapText="1"/>
    </xf>
    <xf borderId="1" fillId="17" fontId="21" numFmtId="165" xfId="0" applyAlignment="1" applyBorder="1" applyFont="1" applyNumberFormat="1">
      <alignment readingOrder="0"/>
    </xf>
    <xf borderId="1" fillId="17" fontId="14" numFmtId="165" xfId="0" applyAlignment="1" applyBorder="1" applyFont="1" applyNumberFormat="1">
      <alignment horizontal="center" readingOrder="0"/>
    </xf>
    <xf borderId="1" fillId="17" fontId="12" numFmtId="0" xfId="0" applyAlignment="1" applyBorder="1" applyFont="1">
      <alignment horizontal="center" readingOrder="0" shrinkToFit="0" wrapText="1"/>
    </xf>
    <xf borderId="5" fillId="17" fontId="15" numFmtId="0" xfId="0" applyAlignment="1" applyBorder="1" applyFont="1">
      <alignment horizontal="center" readingOrder="0"/>
    </xf>
    <xf borderId="5" fillId="17" fontId="12" numFmtId="165" xfId="0" applyAlignment="1" applyBorder="1" applyFont="1" applyNumberFormat="1">
      <alignment horizontal="center" readingOrder="0" shrinkToFit="0" wrapText="1"/>
    </xf>
    <xf borderId="1" fillId="17" fontId="14" numFmtId="0" xfId="0" applyBorder="1" applyFont="1"/>
    <xf borderId="0" fillId="17" fontId="14" numFmtId="0" xfId="0" applyFont="1"/>
    <xf borderId="1" fillId="28" fontId="14" numFmtId="165" xfId="0" applyAlignment="1" applyBorder="1" applyFill="1" applyFont="1" applyNumberFormat="1">
      <alignment readingOrder="0"/>
    </xf>
    <xf borderId="1" fillId="28" fontId="14" numFmtId="0" xfId="0" applyAlignment="1" applyBorder="1" applyFont="1">
      <alignment readingOrder="0"/>
    </xf>
    <xf borderId="5" fillId="28" fontId="8" numFmtId="0" xfId="0" applyAlignment="1" applyBorder="1" applyFont="1">
      <alignment readingOrder="0" shrinkToFit="0" wrapText="1"/>
    </xf>
    <xf borderId="5" fillId="28" fontId="8" numFmtId="0" xfId="0" applyAlignment="1" applyBorder="1" applyFont="1">
      <alignment horizontal="center" readingOrder="0" shrinkToFit="0" wrapText="1"/>
    </xf>
    <xf borderId="1" fillId="28" fontId="85" numFmtId="0" xfId="0" applyAlignment="1" applyBorder="1" applyFont="1">
      <alignment vertical="bottom"/>
    </xf>
    <xf borderId="5" fillId="28" fontId="8" numFmtId="0" xfId="0" applyAlignment="1" applyBorder="1" applyFont="1">
      <alignment readingOrder="0"/>
    </xf>
    <xf borderId="1" fillId="28" fontId="13" numFmtId="0" xfId="0" applyAlignment="1" applyBorder="1" applyFont="1">
      <alignment horizontal="left" readingOrder="0" shrinkToFit="0" wrapText="1"/>
    </xf>
    <xf borderId="1" fillId="28" fontId="8" numFmtId="0" xfId="0" applyAlignment="1" applyBorder="1" applyFont="1">
      <alignment horizontal="center" readingOrder="0"/>
    </xf>
    <xf borderId="1" fillId="28" fontId="8" numFmtId="3" xfId="0" applyAlignment="1" applyBorder="1" applyFont="1" applyNumberFormat="1">
      <alignment horizontal="center" readingOrder="0"/>
    </xf>
    <xf borderId="1" fillId="28" fontId="14" numFmtId="0" xfId="0" applyAlignment="1" applyBorder="1" applyFont="1">
      <alignment horizontal="center" readingOrder="0"/>
    </xf>
    <xf borderId="5" fillId="28" fontId="14" numFmtId="0" xfId="0" applyAlignment="1" applyBorder="1" applyFont="1">
      <alignment horizontal="center" readingOrder="0"/>
    </xf>
    <xf borderId="5" fillId="28" fontId="14" numFmtId="164" xfId="0" applyAlignment="1" applyBorder="1" applyFont="1" applyNumberFormat="1">
      <alignment horizontal="center" readingOrder="0"/>
    </xf>
    <xf borderId="1" fillId="28" fontId="21" numFmtId="165" xfId="0" applyAlignment="1" applyBorder="1" applyFont="1" applyNumberFormat="1">
      <alignment readingOrder="0"/>
    </xf>
    <xf borderId="1" fillId="28" fontId="14" numFmtId="165" xfId="0" applyAlignment="1" applyBorder="1" applyFont="1" applyNumberFormat="1">
      <alignment horizontal="center" readingOrder="0"/>
    </xf>
    <xf borderId="1" fillId="28" fontId="12" numFmtId="0" xfId="0" applyAlignment="1" applyBorder="1" applyFont="1">
      <alignment horizontal="center" readingOrder="0" shrinkToFit="0" wrapText="1"/>
    </xf>
    <xf borderId="5" fillId="28" fontId="15" numFmtId="0" xfId="0" applyAlignment="1" applyBorder="1" applyFont="1">
      <alignment horizontal="center" readingOrder="0"/>
    </xf>
    <xf borderId="5" fillId="28" fontId="12" numFmtId="165" xfId="0" applyAlignment="1" applyBorder="1" applyFont="1" applyNumberFormat="1">
      <alignment horizontal="center" readingOrder="0" shrinkToFit="0" wrapText="1"/>
    </xf>
    <xf borderId="0" fillId="28" fontId="14" numFmtId="0" xfId="0" applyFont="1"/>
    <xf borderId="1" fillId="4" fontId="14" numFmtId="165" xfId="0" applyAlignment="1" applyBorder="1" applyFont="1" applyNumberFormat="1">
      <alignment readingOrder="0"/>
    </xf>
    <xf borderId="1" fillId="4" fontId="8" numFmtId="0" xfId="0" applyAlignment="1" applyBorder="1" applyFont="1">
      <alignment readingOrder="0" shrinkToFit="0" wrapText="1"/>
    </xf>
    <xf borderId="5" fillId="4" fontId="8" numFmtId="0" xfId="0" applyAlignment="1" applyBorder="1" applyFont="1">
      <alignment horizontal="center" readingOrder="0" shrinkToFit="0" wrapText="1"/>
    </xf>
    <xf borderId="2" fillId="4" fontId="8" numFmtId="0" xfId="0" applyAlignment="1" applyBorder="1" applyFont="1">
      <alignment horizontal="center" readingOrder="0" shrinkToFit="0" wrapText="1"/>
    </xf>
    <xf borderId="4" fillId="4" fontId="86" numFmtId="0" xfId="0" applyAlignment="1" applyBorder="1" applyFont="1">
      <alignment readingOrder="0" vertical="bottom"/>
    </xf>
    <xf borderId="5" fillId="4" fontId="8" numFmtId="0" xfId="0" applyAlignment="1" applyBorder="1" applyFont="1">
      <alignment readingOrder="0"/>
    </xf>
    <xf borderId="1" fillId="4" fontId="13" numFmtId="0" xfId="0" applyAlignment="1" applyBorder="1" applyFont="1">
      <alignment horizontal="left" readingOrder="0" shrinkToFit="0" wrapText="1"/>
    </xf>
    <xf borderId="1" fillId="4" fontId="8" numFmtId="0" xfId="0" applyAlignment="1" applyBorder="1" applyFont="1">
      <alignment horizontal="center" readingOrder="0"/>
    </xf>
    <xf borderId="1" fillId="4" fontId="8" numFmtId="3" xfId="0" applyAlignment="1" applyBorder="1" applyFont="1" applyNumberFormat="1">
      <alignment horizontal="center" readingOrder="0"/>
    </xf>
    <xf borderId="7" fillId="4" fontId="14" numFmtId="0" xfId="0" applyAlignment="1" applyBorder="1" applyFont="1">
      <alignment horizontal="center" readingOrder="0"/>
    </xf>
    <xf borderId="5" fillId="4" fontId="14" numFmtId="0" xfId="0" applyAlignment="1" applyBorder="1" applyFont="1">
      <alignment horizontal="center" readingOrder="0"/>
    </xf>
    <xf borderId="5" fillId="4" fontId="14" numFmtId="164" xfId="0" applyAlignment="1" applyBorder="1" applyFont="1" applyNumberFormat="1">
      <alignment horizontal="center" readingOrder="0"/>
    </xf>
    <xf borderId="1" fillId="4" fontId="14" numFmtId="165" xfId="0" applyAlignment="1" applyBorder="1" applyFont="1" applyNumberFormat="1">
      <alignment horizontal="center" readingOrder="0"/>
    </xf>
    <xf borderId="1" fillId="4" fontId="12" numFmtId="0" xfId="0" applyAlignment="1" applyBorder="1" applyFont="1">
      <alignment horizontal="center" readingOrder="0" shrinkToFit="0" wrapText="1"/>
    </xf>
    <xf borderId="5" fillId="4" fontId="15" numFmtId="0" xfId="0" applyAlignment="1" applyBorder="1" applyFont="1">
      <alignment horizontal="center" readingOrder="0"/>
    </xf>
    <xf borderId="5" fillId="4" fontId="12" numFmtId="165" xfId="0" applyAlignment="1" applyBorder="1" applyFont="1" applyNumberFormat="1">
      <alignment horizontal="center" readingOrder="0" shrinkToFit="0" wrapText="1"/>
    </xf>
    <xf borderId="1" fillId="4" fontId="14" numFmtId="0" xfId="0" applyAlignment="1" applyBorder="1" applyFont="1">
      <alignment horizontal="center" readingOrder="0"/>
    </xf>
    <xf borderId="0" fillId="4" fontId="14" numFmtId="0" xfId="0" applyFont="1"/>
    <xf borderId="1" fillId="6" fontId="8" numFmtId="0" xfId="0" applyAlignment="1" applyBorder="1" applyFont="1">
      <alignment horizontal="left" readingOrder="0"/>
    </xf>
    <xf borderId="5" fillId="6" fontId="8" numFmtId="0" xfId="0" applyAlignment="1" applyBorder="1" applyFont="1">
      <alignment horizontal="center" readingOrder="0" shrinkToFit="0" wrapText="1"/>
    </xf>
    <xf borderId="1" fillId="6" fontId="8" numFmtId="0" xfId="0" applyAlignment="1" applyBorder="1" applyFont="1">
      <alignment horizontal="center" readingOrder="0"/>
    </xf>
    <xf borderId="1" fillId="6" fontId="12" numFmtId="0" xfId="0" applyAlignment="1" applyBorder="1" applyFont="1">
      <alignment readingOrder="0" vertical="bottom"/>
    </xf>
    <xf borderId="1" fillId="6" fontId="8" numFmtId="0" xfId="0" applyAlignment="1" applyBorder="1" applyFont="1">
      <alignment readingOrder="0"/>
    </xf>
    <xf borderId="1" fillId="6" fontId="8" numFmtId="3" xfId="0" applyAlignment="1" applyBorder="1" applyFont="1" applyNumberFormat="1">
      <alignment horizontal="center" readingOrder="0"/>
    </xf>
    <xf borderId="7" fillId="6" fontId="14" numFmtId="0" xfId="0" applyAlignment="1" applyBorder="1" applyFont="1">
      <alignment horizontal="center" readingOrder="0"/>
    </xf>
    <xf borderId="5" fillId="6" fontId="14" numFmtId="0" xfId="0" applyAlignment="1" applyBorder="1" applyFont="1">
      <alignment horizontal="center" readingOrder="0"/>
    </xf>
    <xf borderId="1" fillId="6" fontId="8" numFmtId="164" xfId="0" applyAlignment="1" applyBorder="1" applyFont="1" applyNumberFormat="1">
      <alignment horizontal="center" readingOrder="0" shrinkToFit="0" wrapText="1"/>
    </xf>
    <xf borderId="1" fillId="6" fontId="14" numFmtId="165" xfId="0" applyAlignment="1" applyBorder="1" applyFont="1" applyNumberFormat="1">
      <alignment horizontal="center" readingOrder="0"/>
    </xf>
    <xf borderId="5" fillId="6" fontId="15" numFmtId="0" xfId="0" applyAlignment="1" applyBorder="1" applyFont="1">
      <alignment horizontal="center" readingOrder="0"/>
    </xf>
    <xf borderId="5" fillId="6" fontId="12" numFmtId="165" xfId="0" applyAlignment="1" applyBorder="1" applyFont="1" applyNumberFormat="1">
      <alignment horizontal="center" readingOrder="0" shrinkToFit="0" wrapText="1"/>
    </xf>
    <xf borderId="1" fillId="29" fontId="14" numFmtId="165" xfId="0" applyAlignment="1" applyBorder="1" applyFill="1" applyFont="1" applyNumberFormat="1">
      <alignment readingOrder="0"/>
    </xf>
    <xf borderId="1" fillId="29" fontId="14" numFmtId="0" xfId="0" applyAlignment="1" applyBorder="1" applyFont="1">
      <alignment readingOrder="0"/>
    </xf>
    <xf borderId="1" fillId="29" fontId="8" numFmtId="0" xfId="0" applyAlignment="1" applyBorder="1" applyFont="1">
      <alignment horizontal="left" readingOrder="0"/>
    </xf>
    <xf borderId="5" fillId="29" fontId="2" numFmtId="0" xfId="0" applyAlignment="1" applyBorder="1" applyFont="1">
      <alignment horizontal="center" readingOrder="0"/>
    </xf>
    <xf borderId="1" fillId="29" fontId="8" numFmtId="0" xfId="0" applyAlignment="1" applyBorder="1" applyFont="1">
      <alignment horizontal="center" readingOrder="0"/>
    </xf>
    <xf borderId="1" fillId="29" fontId="12" numFmtId="0" xfId="0" applyAlignment="1" applyBorder="1" applyFont="1">
      <alignment readingOrder="0" vertical="bottom"/>
    </xf>
    <xf borderId="1" fillId="29" fontId="8" numFmtId="0" xfId="0" applyAlignment="1" applyBorder="1" applyFont="1">
      <alignment readingOrder="0"/>
    </xf>
    <xf borderId="1" fillId="29" fontId="13" numFmtId="0" xfId="0" applyAlignment="1" applyBorder="1" applyFont="1">
      <alignment horizontal="left" readingOrder="0" shrinkToFit="0" wrapText="1"/>
    </xf>
    <xf borderId="5" fillId="29" fontId="8" numFmtId="3" xfId="0" applyAlignment="1" applyBorder="1" applyFont="1" applyNumberFormat="1">
      <alignment horizontal="center" readingOrder="0"/>
    </xf>
    <xf borderId="1" fillId="29" fontId="8" numFmtId="3" xfId="0" applyAlignment="1" applyBorder="1" applyFont="1" applyNumberFormat="1">
      <alignment horizontal="center" readingOrder="0"/>
    </xf>
    <xf borderId="7" fillId="29" fontId="14" numFmtId="0" xfId="0" applyAlignment="1" applyBorder="1" applyFont="1">
      <alignment horizontal="center" readingOrder="0"/>
    </xf>
    <xf borderId="5" fillId="29" fontId="14" numFmtId="0" xfId="0" applyAlignment="1" applyBorder="1" applyFont="1">
      <alignment horizontal="center" readingOrder="0"/>
    </xf>
    <xf borderId="5" fillId="29" fontId="14" numFmtId="164" xfId="0" applyAlignment="1" applyBorder="1" applyFont="1" applyNumberFormat="1">
      <alignment readingOrder="0"/>
    </xf>
    <xf borderId="1" fillId="29" fontId="14" numFmtId="164" xfId="0" applyAlignment="1" applyBorder="1" applyFont="1" applyNumberFormat="1">
      <alignment readingOrder="0"/>
    </xf>
    <xf borderId="1" fillId="29" fontId="14" numFmtId="165" xfId="0" applyAlignment="1" applyBorder="1" applyFont="1" applyNumberFormat="1">
      <alignment horizontal="center" readingOrder="0"/>
    </xf>
    <xf borderId="1" fillId="29" fontId="21" numFmtId="165" xfId="0" applyAlignment="1" applyBorder="1" applyFont="1" applyNumberFormat="1">
      <alignment readingOrder="0"/>
    </xf>
    <xf borderId="1" fillId="29" fontId="14" numFmtId="0" xfId="0" applyAlignment="1" applyBorder="1" applyFont="1">
      <alignment horizontal="center" readingOrder="0"/>
    </xf>
    <xf borderId="5" fillId="29" fontId="12" numFmtId="165" xfId="0" applyAlignment="1" applyBorder="1" applyFont="1" applyNumberFormat="1">
      <alignment horizontal="center" readingOrder="0" shrinkToFit="0" wrapText="1"/>
    </xf>
    <xf borderId="5" fillId="29" fontId="14" numFmtId="165" xfId="0" applyAlignment="1" applyBorder="1" applyFont="1" applyNumberFormat="1">
      <alignment horizontal="center" readingOrder="0"/>
    </xf>
    <xf borderId="0" fillId="29" fontId="14" numFmtId="0" xfId="0" applyFont="1"/>
    <xf borderId="5" fillId="0" fontId="38" numFmtId="4" xfId="0" applyAlignment="1" applyBorder="1" applyFont="1" applyNumberFormat="1">
      <alignment readingOrder="0"/>
    </xf>
    <xf borderId="1" fillId="0" fontId="14" numFmtId="4" xfId="0" applyBorder="1" applyFont="1" applyNumberFormat="1"/>
    <xf borderId="1" fillId="0" fontId="14" numFmtId="4" xfId="0" applyAlignment="1" applyBorder="1" applyFont="1" applyNumberFormat="1">
      <alignment horizontal="center"/>
    </xf>
    <xf borderId="1" fillId="2" fontId="8" numFmtId="4" xfId="0" applyAlignment="1" applyBorder="1" applyFont="1" applyNumberFormat="1">
      <alignment horizontal="left" readingOrder="0"/>
    </xf>
    <xf borderId="1" fillId="2" fontId="14" numFmtId="4" xfId="0" applyBorder="1" applyFont="1" applyNumberFormat="1"/>
    <xf borderId="1" fillId="2" fontId="8" numFmtId="4" xfId="0" applyAlignment="1" applyBorder="1" applyFont="1" applyNumberFormat="1">
      <alignment readingOrder="0"/>
    </xf>
    <xf borderId="1" fillId="0" fontId="14" numFmtId="4" xfId="0" applyAlignment="1" applyBorder="1" applyFont="1" applyNumberFormat="1">
      <alignment horizontal="center" readingOrder="0"/>
    </xf>
    <xf borderId="1" fillId="24" fontId="8" numFmtId="4" xfId="0" applyAlignment="1" applyBorder="1" applyFont="1" applyNumberFormat="1">
      <alignment readingOrder="0"/>
    </xf>
    <xf borderId="1" fillId="24" fontId="14" numFmtId="4" xfId="0" applyBorder="1" applyFont="1" applyNumberFormat="1"/>
    <xf borderId="1" fillId="24" fontId="14" numFmtId="4" xfId="0" applyAlignment="1" applyBorder="1" applyFont="1" applyNumberFormat="1">
      <alignment horizontal="center"/>
    </xf>
    <xf borderId="1" fillId="24" fontId="15" numFmtId="4" xfId="0" applyBorder="1" applyFont="1" applyNumberFormat="1"/>
    <xf borderId="1" fillId="8" fontId="16" numFmtId="0" xfId="0" applyAlignment="1" applyBorder="1" applyFont="1">
      <alignment horizontal="center" readingOrder="0" shrinkToFit="0" vertical="center" wrapText="1"/>
    </xf>
    <xf borderId="0" fillId="19" fontId="14" numFmtId="0" xfId="0" applyAlignment="1" applyFont="1">
      <alignment readingOrder="0"/>
    </xf>
    <xf borderId="1" fillId="19" fontId="12" numFmtId="0" xfId="0" applyAlignment="1" applyBorder="1" applyFont="1">
      <alignment readingOrder="0" shrinkToFit="0" wrapText="1"/>
    </xf>
    <xf borderId="1" fillId="19" fontId="12" numFmtId="0" xfId="0" applyAlignment="1" applyBorder="1" applyFont="1">
      <alignment horizontal="center" readingOrder="0"/>
    </xf>
    <xf borderId="1" fillId="19" fontId="87" numFmtId="0" xfId="0" applyAlignment="1" applyBorder="1" applyFont="1">
      <alignment horizontal="center" readingOrder="0"/>
    </xf>
    <xf borderId="1" fillId="19" fontId="12" numFmtId="0" xfId="0" applyAlignment="1" applyBorder="1" applyFont="1">
      <alignment horizontal="left" readingOrder="0"/>
    </xf>
    <xf borderId="1" fillId="19" fontId="8" numFmtId="0" xfId="0" applyAlignment="1" applyBorder="1" applyFont="1">
      <alignment horizontal="center" readingOrder="0" shrinkToFit="0" wrapText="1"/>
    </xf>
    <xf borderId="1" fillId="19" fontId="14" numFmtId="167" xfId="0" applyAlignment="1" applyBorder="1" applyFont="1" applyNumberFormat="1">
      <alignment horizontal="center" readingOrder="0"/>
    </xf>
    <xf borderId="1" fillId="19" fontId="21" numFmtId="165" xfId="0" applyAlignment="1" applyBorder="1" applyFont="1" applyNumberFormat="1">
      <alignment horizontal="center" readingOrder="0"/>
    </xf>
    <xf borderId="6" fillId="19" fontId="14" numFmtId="0" xfId="0" applyAlignment="1" applyBorder="1" applyFont="1">
      <alignment horizontal="center" readingOrder="0"/>
    </xf>
    <xf borderId="2" fillId="19" fontId="14" numFmtId="0" xfId="0" applyAlignment="1" applyBorder="1" applyFont="1">
      <alignment horizontal="center" readingOrder="0"/>
    </xf>
    <xf borderId="1" fillId="19" fontId="88" numFmtId="0" xfId="0" applyAlignment="1" applyBorder="1" applyFont="1">
      <alignment readingOrder="0"/>
    </xf>
    <xf borderId="5" fillId="19" fontId="12" numFmtId="0" xfId="0" applyAlignment="1" applyBorder="1" applyFont="1">
      <alignment horizontal="center" readingOrder="0" shrinkToFit="0" wrapText="1"/>
    </xf>
    <xf borderId="1" fillId="19" fontId="12" numFmtId="165" xfId="0" applyAlignment="1" applyBorder="1" applyFont="1" applyNumberFormat="1">
      <alignment horizontal="center" readingOrder="0" shrinkToFit="0" wrapText="1"/>
    </xf>
    <xf borderId="6" fillId="19" fontId="12" numFmtId="0" xfId="0" applyAlignment="1" applyBorder="1" applyFont="1">
      <alignment shrinkToFit="0" vertical="bottom" wrapText="1"/>
    </xf>
    <xf borderId="3" fillId="19" fontId="14" numFmtId="0" xfId="0" applyAlignment="1" applyBorder="1" applyFont="1">
      <alignment readingOrder="0"/>
    </xf>
    <xf borderId="3" fillId="19" fontId="8" numFmtId="0" xfId="0" applyAlignment="1" applyBorder="1" applyFont="1">
      <alignment readingOrder="0"/>
    </xf>
    <xf borderId="3" fillId="19" fontId="11" numFmtId="0" xfId="0" applyAlignment="1" applyBorder="1" applyFont="1">
      <alignment readingOrder="0"/>
    </xf>
    <xf borderId="3" fillId="19" fontId="12" numFmtId="0" xfId="0" applyAlignment="1" applyBorder="1" applyFont="1">
      <alignment readingOrder="0" shrinkToFit="0" wrapText="1"/>
    </xf>
    <xf borderId="3" fillId="19" fontId="12" numFmtId="0" xfId="0" applyAlignment="1" applyBorder="1" applyFont="1">
      <alignment horizontal="center" readingOrder="0"/>
    </xf>
    <xf borderId="3" fillId="19" fontId="12" numFmtId="0" xfId="0" applyAlignment="1" applyBorder="1" applyFont="1">
      <alignment horizontal="center" readingOrder="0" shrinkToFit="0" wrapText="1"/>
    </xf>
    <xf borderId="3" fillId="19" fontId="12" numFmtId="0" xfId="0" applyAlignment="1" applyBorder="1" applyFont="1">
      <alignment horizontal="left" readingOrder="0"/>
    </xf>
    <xf borderId="1" fillId="8" fontId="8" numFmtId="0" xfId="0" applyAlignment="1" applyBorder="1" applyFont="1">
      <alignment readingOrder="0"/>
    </xf>
    <xf borderId="1" fillId="8" fontId="12" numFmtId="0" xfId="0" applyAlignment="1" applyBorder="1" applyFont="1">
      <alignment readingOrder="0" shrinkToFit="0" wrapText="1"/>
    </xf>
    <xf borderId="1" fillId="8" fontId="12" numFmtId="0" xfId="0" applyAlignment="1" applyBorder="1" applyFont="1">
      <alignment horizontal="center" readingOrder="0"/>
    </xf>
    <xf borderId="1" fillId="8" fontId="87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left" readingOrder="0"/>
    </xf>
    <xf borderId="1" fillId="9" fontId="8" numFmtId="0" xfId="0" applyAlignment="1" applyBorder="1" applyFont="1">
      <alignment horizontal="center" readingOrder="0" shrinkToFit="0" wrapText="1"/>
    </xf>
    <xf borderId="1" fillId="2" fontId="12" numFmtId="0" xfId="0" applyAlignment="1" applyBorder="1" applyFont="1">
      <alignment horizontal="left" readingOrder="0"/>
    </xf>
    <xf borderId="1" fillId="8" fontId="8" numFmtId="164" xfId="0" applyAlignment="1" applyBorder="1" applyFont="1" applyNumberFormat="1">
      <alignment horizontal="center" readingOrder="0" shrinkToFit="0" wrapText="1"/>
    </xf>
    <xf borderId="1" fillId="2" fontId="11" numFmtId="0" xfId="0" applyAlignment="1" applyBorder="1" applyFont="1">
      <alignment readingOrder="0"/>
    </xf>
    <xf borderId="1" fillId="8" fontId="11" numFmtId="0" xfId="0" applyAlignment="1" applyBorder="1" applyFont="1">
      <alignment readingOrder="0"/>
    </xf>
    <xf borderId="3" fillId="2" fontId="14" numFmtId="0" xfId="0" applyAlignment="1" applyBorder="1" applyFont="1">
      <alignment readingOrder="0"/>
    </xf>
    <xf borderId="3" fillId="2" fontId="8" numFmtId="0" xfId="0" applyAlignment="1" applyBorder="1" applyFont="1">
      <alignment readingOrder="0"/>
    </xf>
    <xf borderId="3" fillId="2" fontId="11" numFmtId="0" xfId="0" applyAlignment="1" applyBorder="1" applyFont="1">
      <alignment readingOrder="0"/>
    </xf>
    <xf borderId="3" fillId="8" fontId="11" numFmtId="0" xfId="0" applyAlignment="1" applyBorder="1" applyFont="1">
      <alignment readingOrder="0"/>
    </xf>
    <xf borderId="3" fillId="0" fontId="12" numFmtId="0" xfId="0" applyAlignment="1" applyBorder="1" applyFont="1">
      <alignment readingOrder="0" shrinkToFit="0" wrapText="1"/>
    </xf>
    <xf borderId="3" fillId="0" fontId="12" numFmtId="0" xfId="0" applyAlignment="1" applyBorder="1" applyFont="1">
      <alignment horizontal="center" readingOrder="0"/>
    </xf>
    <xf borderId="3" fillId="0" fontId="12" numFmtId="0" xfId="0" applyAlignment="1" applyBorder="1" applyFont="1">
      <alignment horizontal="center" readingOrder="0" shrinkToFit="0" wrapText="1"/>
    </xf>
    <xf borderId="3" fillId="8" fontId="12" numFmtId="0" xfId="0" applyAlignment="1" applyBorder="1" applyFont="1">
      <alignment horizontal="left" readingOrder="0"/>
    </xf>
    <xf borderId="1" fillId="0" fontId="15" numFmtId="4" xfId="0" applyAlignment="1" applyBorder="1" applyFont="1" applyNumberFormat="1">
      <alignment horizontal="center" readingOrder="0"/>
    </xf>
    <xf borderId="0" fillId="2" fontId="12" numFmtId="0" xfId="0" applyAlignment="1" applyFont="1">
      <alignment readingOrder="0" shrinkToFit="0" wrapText="1"/>
    </xf>
    <xf borderId="0" fillId="20" fontId="14" numFmtId="0" xfId="0" applyAlignment="1" applyFont="1">
      <alignment readingOrder="0"/>
    </xf>
    <xf borderId="0" fillId="17" fontId="14" numFmtId="0" xfId="0" applyAlignment="1" applyFont="1">
      <alignment readingOrder="0"/>
    </xf>
    <xf borderId="4" fillId="2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vertical="bottom"/>
    </xf>
    <xf borderId="0" fillId="0" fontId="15" numFmtId="0" xfId="0" applyFont="1"/>
    <xf borderId="6" fillId="0" fontId="14" numFmtId="0" xfId="0" applyAlignment="1" applyBorder="1" applyFont="1">
      <alignment readingOrder="0"/>
    </xf>
    <xf borderId="0" fillId="17" fontId="89" numFmtId="0" xfId="0" applyAlignment="1" applyFont="1">
      <alignment readingOrder="0"/>
    </xf>
    <xf borderId="0" fillId="0" fontId="15" numFmtId="0" xfId="0" applyAlignment="1" applyFont="1">
      <alignment vertical="center"/>
    </xf>
    <xf borderId="1" fillId="14" fontId="14" numFmtId="0" xfId="0" applyAlignment="1" applyBorder="1" applyFont="1">
      <alignment horizontal="center" readingOrder="0" vertical="center"/>
    </xf>
    <xf borderId="6" fillId="0" fontId="14" numFmtId="0" xfId="0" applyAlignment="1" applyBorder="1" applyFont="1">
      <alignment horizontal="center" readingOrder="0" vertical="center"/>
    </xf>
    <xf borderId="1" fillId="0" fontId="13" numFmtId="0" xfId="0" applyAlignment="1" applyBorder="1" applyFont="1">
      <alignment horizontal="center" readingOrder="0" shrinkToFit="0" wrapText="1"/>
    </xf>
    <xf borderId="6" fillId="2" fontId="14" numFmtId="0" xfId="0" applyAlignment="1" applyBorder="1" applyFont="1">
      <alignment readingOrder="0"/>
    </xf>
    <xf borderId="1" fillId="0" fontId="15" numFmtId="0" xfId="0" applyAlignment="1" applyBorder="1" applyFont="1">
      <alignment readingOrder="0"/>
    </xf>
    <xf borderId="1" fillId="0" fontId="15" numFmtId="0" xfId="0" applyBorder="1" applyFont="1"/>
    <xf borderId="1" fillId="0" fontId="12" numFmtId="165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1304925</xdr:colOff>
      <xdr:row>2</xdr:row>
      <xdr:rowOff>190500</xdr:rowOff>
    </xdr:from>
    <xdr:ext cx="1581150" cy="1114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102</xdr:row>
      <xdr:rowOff>0</xdr:rowOff>
    </xdr:from>
    <xdr:ext cx="1781175" cy="29908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119</xdr:row>
      <xdr:rowOff>0</xdr:rowOff>
    </xdr:from>
    <xdr:ext cx="1885950" cy="3733800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Наталья Бычкова" id="{26c5d6ef-8367-4878-b833-e1beeb675e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20T08:31:27.00" personId="{26c5d6ef-8367-4878-b833-e1beeb675e2d}" id="{a117ad80-1885-4769-9cf3-6223ea17b28d}" done="0">
    <x18tc:text xml:space="preserve">вход 3 подъезд, ключи у главной по дому(42кв) в подвале прямо и налево 8-10 пролетов(между 1 и 2 подъездом)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uth.dom.ru/auth/realms/user/protocol/openid-connect/auth?response_type=code&amp;redirect_uri=https%3A%2F%2Fnewlkb2b.dom.ru%2Flk&amp;client_id=lkb2b&amp;nonce=7c18d7d140f36a1abe642da98ff7fdce&amp;state=0e9862fd05f45efee6156aa126019c4d&amp;scope=openid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lk-b2b.mts.ru/mts_business_web/history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my.yota.ru/devices" TargetMode="External"/><Relationship Id="rId5" Type="http://schemas.openxmlformats.org/officeDocument/2006/relationships/hyperlink" Target="https://lk.pozitivtelecom.ru/accounts/00-0655/details" TargetMode="External"/><Relationship Id="rId6" Type="http://schemas.openxmlformats.org/officeDocument/2006/relationships/hyperlink" Target="https://b2c.passport.rt.ru/auth/realms/b2c/login-actions/authenticate?execution=fc343b3b-9ff7-4786-bb30-e60caa7821cd&amp;client_id=lk_b2c&amp;tab_id=42XYkA7yKv0" TargetMode="External"/><Relationship Id="rId7" Type="http://schemas.openxmlformats.org/officeDocument/2006/relationships/hyperlink" Target="https://tmn.dom.ru/user/login?referrer=/lk&amp;utm_referrer=https://yandex.ru/" TargetMode="External"/><Relationship Id="rId8" Type="http://schemas.openxmlformats.org/officeDocument/2006/relationships/hyperlink" Target="https://lk.yota.ru/devices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178.207.15.106:8080/" TargetMode="External"/><Relationship Id="rId22" Type="http://schemas.openxmlformats.org/officeDocument/2006/relationships/hyperlink" Target="http://178.207.8.118:8080" TargetMode="External"/><Relationship Id="rId21" Type="http://schemas.openxmlformats.org/officeDocument/2006/relationships/hyperlink" Target="http://178.207.8.74/" TargetMode="External"/><Relationship Id="rId24" Type="http://schemas.openxmlformats.org/officeDocument/2006/relationships/hyperlink" Target="http://217.173.19.42:8080/" TargetMode="External"/><Relationship Id="rId23" Type="http://schemas.openxmlformats.org/officeDocument/2006/relationships/hyperlink" Target="http://217.173.19.42:8080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://78.138.177.251:8888/" TargetMode="External"/><Relationship Id="rId3" Type="http://schemas.openxmlformats.org/officeDocument/2006/relationships/hyperlink" Target="http://217.173.19.66:81/" TargetMode="External"/><Relationship Id="rId4" Type="http://schemas.openxmlformats.org/officeDocument/2006/relationships/hyperlink" Target="http://178.207.9.103" TargetMode="External"/><Relationship Id="rId9" Type="http://schemas.openxmlformats.org/officeDocument/2006/relationships/hyperlink" Target="http://178.207.12.177:8080" TargetMode="External"/><Relationship Id="rId26" Type="http://schemas.openxmlformats.org/officeDocument/2006/relationships/hyperlink" Target="http://185.148.216.4" TargetMode="External"/><Relationship Id="rId25" Type="http://schemas.openxmlformats.org/officeDocument/2006/relationships/hyperlink" Target="http://217.173.17.140:8080/" TargetMode="External"/><Relationship Id="rId28" Type="http://schemas.openxmlformats.org/officeDocument/2006/relationships/hyperlink" Target="http://78.138.190.10:80" TargetMode="External"/><Relationship Id="rId27" Type="http://schemas.openxmlformats.org/officeDocument/2006/relationships/hyperlink" Target="http://178.207.13.207/" TargetMode="External"/><Relationship Id="rId5" Type="http://schemas.openxmlformats.org/officeDocument/2006/relationships/hyperlink" Target="http://78.138.174.236:8080" TargetMode="External"/><Relationship Id="rId6" Type="http://schemas.openxmlformats.org/officeDocument/2006/relationships/hyperlink" Target="http://178.207.12.175/" TargetMode="External"/><Relationship Id="rId29" Type="http://schemas.openxmlformats.org/officeDocument/2006/relationships/hyperlink" Target="http://178.207.67.192/" TargetMode="External"/><Relationship Id="rId7" Type="http://schemas.openxmlformats.org/officeDocument/2006/relationships/hyperlink" Target="http://178.207.12.220/" TargetMode="External"/><Relationship Id="rId8" Type="http://schemas.openxmlformats.org/officeDocument/2006/relationships/hyperlink" Target="http://185.148.216.67/" TargetMode="External"/><Relationship Id="rId31" Type="http://schemas.openxmlformats.org/officeDocument/2006/relationships/hyperlink" Target="http://185.148.217.40:8080/" TargetMode="External"/><Relationship Id="rId30" Type="http://schemas.openxmlformats.org/officeDocument/2006/relationships/hyperlink" Target="http://217.173.17.188:8080/" TargetMode="External"/><Relationship Id="rId11" Type="http://schemas.openxmlformats.org/officeDocument/2006/relationships/hyperlink" Target="http://217.173.17.191/" TargetMode="External"/><Relationship Id="rId33" Type="http://schemas.openxmlformats.org/officeDocument/2006/relationships/vmlDrawing" Target="../drawings/vmlDrawing2.vml"/><Relationship Id="rId10" Type="http://schemas.openxmlformats.org/officeDocument/2006/relationships/hyperlink" Target="http://217.173.17.173/" TargetMode="External"/><Relationship Id="rId32" Type="http://schemas.openxmlformats.org/officeDocument/2006/relationships/drawing" Target="../drawings/drawing2.xml"/><Relationship Id="rId13" Type="http://schemas.openxmlformats.org/officeDocument/2006/relationships/hyperlink" Target="http://185.148.216.28:8080/" TargetMode="External"/><Relationship Id="rId12" Type="http://schemas.openxmlformats.org/officeDocument/2006/relationships/hyperlink" Target="http://78.138.190.178/" TargetMode="External"/><Relationship Id="rId15" Type="http://schemas.openxmlformats.org/officeDocument/2006/relationships/hyperlink" Target="http://185.148.219.161/" TargetMode="External"/><Relationship Id="rId14" Type="http://schemas.openxmlformats.org/officeDocument/2006/relationships/hyperlink" Target="http://178.207.13.192:8080/" TargetMode="External"/><Relationship Id="rId17" Type="http://schemas.openxmlformats.org/officeDocument/2006/relationships/hyperlink" Target="http://178.207.12.187/" TargetMode="External"/><Relationship Id="rId16" Type="http://schemas.openxmlformats.org/officeDocument/2006/relationships/hyperlink" Target="http://neftyanikov35.keenetic.link/" TargetMode="External"/><Relationship Id="rId19" Type="http://schemas.openxmlformats.org/officeDocument/2006/relationships/hyperlink" Target="https://stroitelei76.keenetic.link/" TargetMode="External"/><Relationship Id="rId18" Type="http://schemas.openxmlformats.org/officeDocument/2006/relationships/hyperlink" Target="http://78.138.190.21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://178.205.102.182/" TargetMode="External"/><Relationship Id="rId3" Type="http://schemas.openxmlformats.org/officeDocument/2006/relationships/hyperlink" Target="http://marksa36a.keenetic.link/" TargetMode="External"/><Relationship Id="rId4" Type="http://schemas.openxmlformats.org/officeDocument/2006/relationships/hyperlink" Target="https://marksa36b.keenetic.link/" TargetMode="External"/><Relationship Id="rId9" Type="http://schemas.openxmlformats.org/officeDocument/2006/relationships/hyperlink" Target="http://tyrgeneva54.keenetic.link/" TargetMode="External"/><Relationship Id="rId5" Type="http://schemas.openxmlformats.org/officeDocument/2006/relationships/hyperlink" Target="http://karlamarksa57a.keenetic.link/" TargetMode="External"/><Relationship Id="rId6" Type="http://schemas.openxmlformats.org/officeDocument/2006/relationships/hyperlink" Target="http://komarova21.keenetic.link/" TargetMode="External"/><Relationship Id="rId7" Type="http://schemas.openxmlformats.org/officeDocument/2006/relationships/hyperlink" Target="http://komarova23.keenetic.name/" TargetMode="External"/><Relationship Id="rId8" Type="http://schemas.openxmlformats.org/officeDocument/2006/relationships/hyperlink" Target="https://inkey.rt.ru/main/domofons" TargetMode="External"/><Relationship Id="rId11" Type="http://schemas.openxmlformats.org/officeDocument/2006/relationships/hyperlink" Target="http://komarova37.keenetic.link/" TargetMode="External"/><Relationship Id="rId10" Type="http://schemas.openxmlformats.org/officeDocument/2006/relationships/hyperlink" Target="http://komarova27.keenetic.link/" TargetMode="External"/><Relationship Id="rId13" Type="http://schemas.openxmlformats.org/officeDocument/2006/relationships/vmlDrawing" Target="../drawings/vmlDrawing3.vml"/><Relationship Id="rId1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://92.255.198.107:8888" TargetMode="External"/><Relationship Id="rId3" Type="http://schemas.openxmlformats.org/officeDocument/2006/relationships/hyperlink" Target="http://92.255.201.185:8889/" TargetMode="External"/><Relationship Id="rId4" Type="http://schemas.openxmlformats.org/officeDocument/2006/relationships/hyperlink" Target="http://89.251.157.129:8080/" TargetMode="External"/><Relationship Id="rId9" Type="http://schemas.openxmlformats.org/officeDocument/2006/relationships/hyperlink" Target="http://89.251.144.64:8080/controlPanel/devicesList" TargetMode="External"/><Relationship Id="rId5" Type="http://schemas.openxmlformats.org/officeDocument/2006/relationships/hyperlink" Target="http://84.39.246.20" TargetMode="External"/><Relationship Id="rId6" Type="http://schemas.openxmlformats.org/officeDocument/2006/relationships/hyperlink" Target="http://87.117.180.31/" TargetMode="External"/><Relationship Id="rId7" Type="http://schemas.openxmlformats.org/officeDocument/2006/relationships/hyperlink" Target="https://kulax17k3p3.keenetic.name/controlPanel/devicesList" TargetMode="External"/><Relationship Id="rId8" Type="http://schemas.openxmlformats.org/officeDocument/2006/relationships/hyperlink" Target="https://dekab106.keenetic.link/controlPanel/devicesList" TargetMode="External"/><Relationship Id="rId11" Type="http://schemas.openxmlformats.org/officeDocument/2006/relationships/vmlDrawing" Target="../drawings/vmlDrawing4.vml"/><Relationship Id="rId10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85.15.189.158:81/" TargetMode="External"/><Relationship Id="rId42" Type="http://schemas.openxmlformats.org/officeDocument/2006/relationships/hyperlink" Target="http://178.46.153.52:81/" TargetMode="External"/><Relationship Id="rId41" Type="http://schemas.openxmlformats.org/officeDocument/2006/relationships/hyperlink" Target="http://92.255.171.73" TargetMode="External"/><Relationship Id="rId44" Type="http://schemas.openxmlformats.org/officeDocument/2006/relationships/hyperlink" Target="http://188.186.177.146:8888" TargetMode="External"/><Relationship Id="rId43" Type="http://schemas.openxmlformats.org/officeDocument/2006/relationships/hyperlink" Target="http://92.255.165.160:8888/" TargetMode="External"/><Relationship Id="rId46" Type="http://schemas.openxmlformats.org/officeDocument/2006/relationships/hyperlink" Target="http://89.204.58.181:8082" TargetMode="External"/><Relationship Id="rId45" Type="http://schemas.openxmlformats.org/officeDocument/2006/relationships/hyperlink" Target="http://188.186.178.245:8888" TargetMode="External"/><Relationship Id="rId1" Type="http://schemas.openxmlformats.org/officeDocument/2006/relationships/comments" Target="../comments6.xml"/><Relationship Id="rId2" Type="http://schemas.openxmlformats.org/officeDocument/2006/relationships/hyperlink" Target="http://188.186.176.220/" TargetMode="External"/><Relationship Id="rId3" Type="http://schemas.openxmlformats.org/officeDocument/2006/relationships/hyperlink" Target="http://92.255.171.20:8888/" TargetMode="External"/><Relationship Id="rId4" Type="http://schemas.openxmlformats.org/officeDocument/2006/relationships/hyperlink" Target="http://109.194.162.243" TargetMode="External"/><Relationship Id="rId9" Type="http://schemas.openxmlformats.org/officeDocument/2006/relationships/hyperlink" Target="http://zhitkova4.keenetic.link/" TargetMode="External"/><Relationship Id="rId48" Type="http://schemas.openxmlformats.org/officeDocument/2006/relationships/drawing" Target="../drawings/drawing6.xml"/><Relationship Id="rId47" Type="http://schemas.openxmlformats.org/officeDocument/2006/relationships/hyperlink" Target="http://178.46.154.184:81/" TargetMode="External"/><Relationship Id="rId49" Type="http://schemas.openxmlformats.org/officeDocument/2006/relationships/vmlDrawing" Target="../drawings/vmlDrawing6.vml"/><Relationship Id="rId5" Type="http://schemas.openxmlformats.org/officeDocument/2006/relationships/hyperlink" Target="http://109.68.171.185:81/" TargetMode="External"/><Relationship Id="rId6" Type="http://schemas.openxmlformats.org/officeDocument/2006/relationships/hyperlink" Target="http://188.186.176.222/" TargetMode="External"/><Relationship Id="rId7" Type="http://schemas.openxmlformats.org/officeDocument/2006/relationships/hyperlink" Target="http://rostovtseva25.keenetic.link/" TargetMode="External"/><Relationship Id="rId8" Type="http://schemas.openxmlformats.org/officeDocument/2006/relationships/hyperlink" Target="http://rostovtseva25k1.keenetic.link/" TargetMode="External"/><Relationship Id="rId31" Type="http://schemas.openxmlformats.org/officeDocument/2006/relationships/hyperlink" Target="http://178.46.154.177:7878/" TargetMode="External"/><Relationship Id="rId30" Type="http://schemas.openxmlformats.org/officeDocument/2006/relationships/hyperlink" Target="http://92.255.174.184/" TargetMode="External"/><Relationship Id="rId33" Type="http://schemas.openxmlformats.org/officeDocument/2006/relationships/hyperlink" Target="http://92.255.169.184/" TargetMode="External"/><Relationship Id="rId32" Type="http://schemas.openxmlformats.org/officeDocument/2006/relationships/hyperlink" Target="http://109.68.171.173:81/" TargetMode="External"/><Relationship Id="rId35" Type="http://schemas.openxmlformats.org/officeDocument/2006/relationships/hyperlink" Target="http://92.255.171.53:8888/" TargetMode="External"/><Relationship Id="rId34" Type="http://schemas.openxmlformats.org/officeDocument/2006/relationships/hyperlink" Target="http://89.250.147.126:80" TargetMode="External"/><Relationship Id="rId37" Type="http://schemas.openxmlformats.org/officeDocument/2006/relationships/hyperlink" Target="http://178.46.156.24/" TargetMode="External"/><Relationship Id="rId36" Type="http://schemas.openxmlformats.org/officeDocument/2006/relationships/hyperlink" Target="http://89.204.26.134:81/" TargetMode="External"/><Relationship Id="rId39" Type="http://schemas.openxmlformats.org/officeDocument/2006/relationships/hyperlink" Target="http://83.136.113.253/" TargetMode="External"/><Relationship Id="rId38" Type="http://schemas.openxmlformats.org/officeDocument/2006/relationships/hyperlink" Target="http://90.151.249.227:81/" TargetMode="External"/><Relationship Id="rId20" Type="http://schemas.openxmlformats.org/officeDocument/2006/relationships/hyperlink" Target="http://montazhnikov49.keenetic.link/" TargetMode="External"/><Relationship Id="rId22" Type="http://schemas.openxmlformats.org/officeDocument/2006/relationships/hyperlink" Target="https://sudoremontnaya24.keenetic.link/" TargetMode="External"/><Relationship Id="rId21" Type="http://schemas.openxmlformats.org/officeDocument/2006/relationships/hyperlink" Target="http://90.151.249.227:81/" TargetMode="External"/><Relationship Id="rId24" Type="http://schemas.openxmlformats.org/officeDocument/2006/relationships/hyperlink" Target="https://sudoremontnaya28.keenetic.link/" TargetMode="External"/><Relationship Id="rId23" Type="http://schemas.openxmlformats.org/officeDocument/2006/relationships/hyperlink" Target="https://sudoremontnaya28.keenetic.link/" TargetMode="External"/><Relationship Id="rId26" Type="http://schemas.openxmlformats.org/officeDocument/2006/relationships/hyperlink" Target="http://90.151.249.227:81/" TargetMode="External"/><Relationship Id="rId25" Type="http://schemas.openxmlformats.org/officeDocument/2006/relationships/hyperlink" Target="http://85.15.179.198/" TargetMode="External"/><Relationship Id="rId28" Type="http://schemas.openxmlformats.org/officeDocument/2006/relationships/hyperlink" Target="http://belinskogo28a.keenetic.link/" TargetMode="External"/><Relationship Id="rId27" Type="http://schemas.openxmlformats.org/officeDocument/2006/relationships/hyperlink" Target="https://178.46.156.216:81/" TargetMode="External"/><Relationship Id="rId29" Type="http://schemas.openxmlformats.org/officeDocument/2006/relationships/hyperlink" Target="http://85.15.140.140/" TargetMode="External"/><Relationship Id="rId11" Type="http://schemas.openxmlformats.org/officeDocument/2006/relationships/hyperlink" Target="http://zhitkova5k1.keenetic.link/" TargetMode="External"/><Relationship Id="rId10" Type="http://schemas.openxmlformats.org/officeDocument/2006/relationships/hyperlink" Target="http://zhitkova5.keenetic.link/" TargetMode="External"/><Relationship Id="rId13" Type="http://schemas.openxmlformats.org/officeDocument/2006/relationships/hyperlink" Target="http://zhitkova6k1.keenetic.link/" TargetMode="External"/><Relationship Id="rId12" Type="http://schemas.openxmlformats.org/officeDocument/2006/relationships/hyperlink" Target="http://zhitkova6.keenetic.link/" TargetMode="External"/><Relationship Id="rId15" Type="http://schemas.openxmlformats.org/officeDocument/2006/relationships/hyperlink" Target="http://zhitkova7k1.keenetic.link/" TargetMode="External"/><Relationship Id="rId14" Type="http://schemas.openxmlformats.org/officeDocument/2006/relationships/hyperlink" Target="http://zhitkova7.keenetic.link/" TargetMode="External"/><Relationship Id="rId17" Type="http://schemas.openxmlformats.org/officeDocument/2006/relationships/hyperlink" Target="http://montazhnikov43.keenetic.link/" TargetMode="External"/><Relationship Id="rId16" Type="http://schemas.openxmlformats.org/officeDocument/2006/relationships/hyperlink" Target="http://zhitkova8.keenetic.link/" TargetMode="External"/><Relationship Id="rId19" Type="http://schemas.openxmlformats.org/officeDocument/2006/relationships/hyperlink" Target="http://montazhnikov47.keenetic.link/" TargetMode="External"/><Relationship Id="rId18" Type="http://schemas.openxmlformats.org/officeDocument/2006/relationships/hyperlink" Target="http://montazhnikov45.keenetic.link/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://92.255.201.185:8889/" TargetMode="External"/><Relationship Id="rId3" Type="http://schemas.openxmlformats.org/officeDocument/2006/relationships/drawing" Target="../drawings/drawing7.xml"/><Relationship Id="rId4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3" max="3" width="29.38"/>
    <col customWidth="1" min="4" max="4" width="18.0"/>
    <col customWidth="1" min="5" max="5" width="20.63"/>
    <col customWidth="1" min="6" max="6" width="21.25"/>
    <col customWidth="1" min="7" max="7" width="16.88"/>
    <col customWidth="1" min="8" max="8" width="17.38"/>
    <col customWidth="1" min="9" max="9" width="23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/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</row>
    <row r="2">
      <c r="A2" s="8" t="s">
        <v>6</v>
      </c>
      <c r="B2" s="9" t="s">
        <v>7</v>
      </c>
      <c r="C2" s="10" t="s">
        <v>8</v>
      </c>
      <c r="D2" s="11" t="s">
        <v>9</v>
      </c>
      <c r="E2" s="11">
        <v>8.8003332444E10</v>
      </c>
      <c r="F2" s="12" t="s">
        <v>10</v>
      </c>
      <c r="G2" s="10" t="s">
        <v>11</v>
      </c>
      <c r="H2" s="10" t="s">
        <v>12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>
      <c r="A3" s="8" t="s">
        <v>6</v>
      </c>
      <c r="B3" s="10" t="s">
        <v>13</v>
      </c>
      <c r="C3" s="10" t="s">
        <v>8</v>
      </c>
      <c r="D3" s="11" t="s">
        <v>14</v>
      </c>
      <c r="E3" s="11" t="s">
        <v>15</v>
      </c>
      <c r="F3" s="13" t="s">
        <v>16</v>
      </c>
      <c r="G3" s="10" t="s">
        <v>17</v>
      </c>
      <c r="H3" s="14">
        <v>2953347.0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>
      <c r="A4" s="8" t="s">
        <v>6</v>
      </c>
      <c r="B4" s="15" t="s">
        <v>18</v>
      </c>
      <c r="C4" s="15" t="s">
        <v>19</v>
      </c>
      <c r="D4" s="11"/>
      <c r="E4" s="11"/>
      <c r="F4" s="13" t="s">
        <v>20</v>
      </c>
      <c r="G4" s="15" t="s">
        <v>21</v>
      </c>
      <c r="H4" s="15" t="s">
        <v>22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>
      <c r="A5" s="16" t="s">
        <v>6</v>
      </c>
      <c r="B5" s="15" t="s">
        <v>23</v>
      </c>
      <c r="C5" s="15" t="s">
        <v>24</v>
      </c>
      <c r="D5" s="11"/>
      <c r="E5" s="17">
        <v>8.8003332444E10</v>
      </c>
      <c r="F5" s="18" t="s">
        <v>25</v>
      </c>
      <c r="G5" s="15" t="s">
        <v>26</v>
      </c>
      <c r="H5" s="10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>
      <c r="A6" s="19" t="s">
        <v>27</v>
      </c>
      <c r="B6" s="10" t="s">
        <v>28</v>
      </c>
      <c r="C6" s="10" t="s">
        <v>29</v>
      </c>
      <c r="D6" s="11" t="s">
        <v>30</v>
      </c>
      <c r="E6" s="11" t="s">
        <v>31</v>
      </c>
      <c r="F6" s="10"/>
      <c r="G6" s="10"/>
      <c r="H6" s="10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>
      <c r="A7" s="16" t="s">
        <v>32</v>
      </c>
      <c r="B7" s="15" t="s">
        <v>33</v>
      </c>
      <c r="C7" s="15" t="s">
        <v>19</v>
      </c>
      <c r="D7" s="10"/>
      <c r="E7" s="10"/>
      <c r="F7" s="13" t="s">
        <v>34</v>
      </c>
      <c r="G7" s="20">
        <v>8.9053754865E10</v>
      </c>
      <c r="H7" s="15" t="s">
        <v>35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>
      <c r="A8" s="16" t="s">
        <v>32</v>
      </c>
      <c r="B8" s="15" t="s">
        <v>33</v>
      </c>
      <c r="C8" s="15" t="s">
        <v>36</v>
      </c>
      <c r="D8" s="10"/>
      <c r="E8" s="10"/>
      <c r="F8" s="13" t="s">
        <v>37</v>
      </c>
      <c r="G8" s="20">
        <v>8.960034363E10</v>
      </c>
      <c r="H8" s="15" t="s">
        <v>38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>
      <c r="A9" s="19"/>
      <c r="B9" s="21" t="s">
        <v>39</v>
      </c>
      <c r="C9" s="15" t="s">
        <v>19</v>
      </c>
      <c r="D9" s="10"/>
      <c r="E9" s="22"/>
      <c r="F9" s="18" t="s">
        <v>40</v>
      </c>
      <c r="G9" s="10"/>
      <c r="H9" s="10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>
      <c r="A10" s="23"/>
      <c r="B10" s="24" t="s">
        <v>41</v>
      </c>
      <c r="C10" s="23"/>
      <c r="D10" s="23"/>
      <c r="E10" s="25" t="s">
        <v>42</v>
      </c>
      <c r="F10" s="23"/>
      <c r="G10" s="23"/>
      <c r="H10" s="23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>
      <c r="A11" s="23"/>
      <c r="B11" s="26" t="s">
        <v>43</v>
      </c>
      <c r="C11" s="23"/>
      <c r="D11" s="23"/>
      <c r="E11" s="27" t="s">
        <v>44</v>
      </c>
      <c r="F11" s="23"/>
      <c r="G11" s="23"/>
      <c r="H11" s="23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>
      <c r="A12" s="23"/>
      <c r="B12" s="26" t="s">
        <v>45</v>
      </c>
      <c r="C12" s="23"/>
      <c r="D12" s="23"/>
      <c r="E12" s="27" t="s">
        <v>46</v>
      </c>
      <c r="F12" s="23"/>
      <c r="G12" s="23"/>
      <c r="H12" s="23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  <row r="13">
      <c r="A13" s="23"/>
      <c r="B13" s="26" t="s">
        <v>47</v>
      </c>
      <c r="C13" s="28"/>
      <c r="D13" s="23"/>
      <c r="E13" s="27" t="s">
        <v>48</v>
      </c>
      <c r="F13" s="29" t="s">
        <v>49</v>
      </c>
      <c r="G13" s="30"/>
      <c r="H13" s="23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</row>
    <row r="14">
      <c r="A14" s="23"/>
      <c r="B14" s="26" t="s">
        <v>50</v>
      </c>
      <c r="C14" s="23"/>
      <c r="D14" s="23"/>
      <c r="E14" s="27" t="s">
        <v>51</v>
      </c>
      <c r="F14" s="23"/>
      <c r="G14" s="25"/>
      <c r="H14" s="23"/>
      <c r="I14" s="31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</row>
    <row r="15">
      <c r="A15" s="32"/>
      <c r="B15" s="26" t="s">
        <v>23</v>
      </c>
      <c r="C15" s="28"/>
      <c r="D15" s="30"/>
      <c r="E15" s="27" t="s">
        <v>52</v>
      </c>
      <c r="F15" s="27" t="s">
        <v>53</v>
      </c>
      <c r="G15" s="33"/>
      <c r="H15" s="6"/>
    </row>
    <row r="16">
      <c r="A16" s="32"/>
      <c r="B16" s="34" t="s">
        <v>54</v>
      </c>
      <c r="C16" s="28"/>
      <c r="D16" s="25"/>
      <c r="E16" s="27">
        <v>8.9270369393E10</v>
      </c>
      <c r="F16" s="25"/>
      <c r="G16" s="25"/>
      <c r="H16" s="35"/>
    </row>
    <row r="17">
      <c r="C17" s="36"/>
      <c r="D17" s="36"/>
      <c r="E17" s="36"/>
      <c r="F17" s="36"/>
      <c r="G17" s="36"/>
      <c r="H17" s="36"/>
    </row>
    <row r="18">
      <c r="C18" s="37"/>
      <c r="D18" s="38"/>
      <c r="E18" s="38"/>
      <c r="F18" s="38"/>
      <c r="G18" s="38"/>
    </row>
    <row r="19">
      <c r="D19" s="39"/>
      <c r="E19" s="39"/>
      <c r="F19" s="39"/>
      <c r="G19" s="39"/>
      <c r="H19" s="36"/>
      <c r="I19" s="31"/>
    </row>
    <row r="20">
      <c r="C20" s="36"/>
      <c r="D20" s="36"/>
      <c r="E20" s="36"/>
      <c r="F20" s="36"/>
      <c r="G20" s="36"/>
      <c r="H20" s="36"/>
    </row>
    <row r="21">
      <c r="C21" s="37"/>
      <c r="D21" s="38"/>
      <c r="E21" s="38"/>
      <c r="F21" s="38"/>
      <c r="G21" s="38"/>
    </row>
    <row r="22">
      <c r="D22" s="39"/>
      <c r="E22" s="39"/>
      <c r="F22" s="39"/>
      <c r="G22" s="39"/>
      <c r="H22" s="40"/>
    </row>
    <row r="23">
      <c r="C23" s="36"/>
      <c r="D23" s="36"/>
      <c r="E23" s="36"/>
      <c r="F23" s="36"/>
      <c r="G23" s="36"/>
      <c r="H23" s="36"/>
    </row>
    <row r="24">
      <c r="C24" s="41"/>
    </row>
    <row r="25">
      <c r="D25" s="39"/>
      <c r="E25" s="39"/>
      <c r="F25" s="39"/>
      <c r="G25" s="39"/>
      <c r="H25" s="40"/>
    </row>
    <row r="28">
      <c r="C28" s="42"/>
    </row>
    <row r="29" ht="13.5" customHeight="1"/>
    <row r="30">
      <c r="B30" s="43"/>
      <c r="C30" s="44"/>
      <c r="D30" s="45"/>
      <c r="E30" s="46"/>
      <c r="F30" s="46"/>
      <c r="G30" s="46"/>
      <c r="H30" s="47"/>
      <c r="I30" s="48"/>
      <c r="J30" s="49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50"/>
      <c r="AB30" s="51"/>
      <c r="AC30" s="51"/>
      <c r="AD30" s="51"/>
      <c r="AE30" s="51"/>
      <c r="AF30" s="51"/>
      <c r="AG30" s="51"/>
      <c r="AH30" s="51"/>
      <c r="AI30" s="51"/>
      <c r="AJ30" s="51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</row>
  </sheetData>
  <mergeCells count="8">
    <mergeCell ref="F1:H1"/>
    <mergeCell ref="G15:H15"/>
    <mergeCell ref="C18:C19"/>
    <mergeCell ref="G18:H18"/>
    <mergeCell ref="C21:C22"/>
    <mergeCell ref="G21:H21"/>
    <mergeCell ref="C24:C25"/>
    <mergeCell ref="G24:H24"/>
  </mergeCells>
  <hyperlinks>
    <hyperlink r:id="rId4" ref="F2"/>
    <hyperlink r:id="rId5" ref="F3"/>
    <hyperlink r:id="rId6" ref="F4"/>
    <hyperlink r:id="rId7" ref="F5"/>
    <hyperlink r:id="rId8" ref="F7"/>
    <hyperlink r:id="rId9" ref="F8"/>
    <hyperlink r:id="rId10" ref="F9"/>
  </hyperlinks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3.88"/>
    <col customWidth="1" min="3" max="3" width="19.5"/>
    <col customWidth="1" min="4" max="4" width="7.25"/>
    <col customWidth="1" hidden="1" min="5" max="5" width="21.25"/>
    <col customWidth="1" min="6" max="6" width="7.25"/>
    <col customWidth="1" min="7" max="7" width="17.88"/>
    <col customWidth="1" min="8" max="8" width="18.63"/>
    <col customWidth="1" min="9" max="9" width="12.38"/>
    <col customWidth="1" min="10" max="10" width="15.13"/>
    <col customWidth="1" min="11" max="11" width="12.63"/>
    <col customWidth="1" min="12" max="12" width="14.75"/>
    <col customWidth="1" min="13" max="29" width="10.5"/>
    <col customWidth="1" min="30" max="30" width="8.5"/>
    <col customWidth="1" min="31" max="31" width="10.5"/>
    <col customWidth="1" min="32" max="32" width="13.5"/>
    <col customWidth="1" min="33" max="36" width="10.5"/>
  </cols>
  <sheetData>
    <row r="1" ht="43.5" customHeight="1">
      <c r="A1" s="52"/>
      <c r="B1" s="53" t="s">
        <v>55</v>
      </c>
      <c r="C1" s="54" t="s">
        <v>56</v>
      </c>
      <c r="D1" s="55" t="s">
        <v>57</v>
      </c>
      <c r="E1" s="54" t="s">
        <v>58</v>
      </c>
      <c r="F1" s="56" t="s">
        <v>59</v>
      </c>
      <c r="G1" s="57" t="s">
        <v>60</v>
      </c>
      <c r="H1" s="58" t="s">
        <v>61</v>
      </c>
      <c r="I1" s="55" t="s">
        <v>62</v>
      </c>
      <c r="J1" s="54" t="s">
        <v>63</v>
      </c>
      <c r="K1" s="55" t="s">
        <v>64</v>
      </c>
      <c r="L1" s="59" t="s">
        <v>65</v>
      </c>
      <c r="M1" s="60" t="s">
        <v>66</v>
      </c>
      <c r="N1" s="6"/>
      <c r="O1" s="60" t="s">
        <v>67</v>
      </c>
      <c r="P1" s="6"/>
      <c r="Q1" s="60" t="s">
        <v>68</v>
      </c>
      <c r="R1" s="6"/>
      <c r="S1" s="60" t="s">
        <v>69</v>
      </c>
      <c r="T1" s="6"/>
      <c r="U1" s="60" t="s">
        <v>70</v>
      </c>
      <c r="V1" s="6"/>
      <c r="W1" s="60" t="s">
        <v>71</v>
      </c>
      <c r="X1" s="6"/>
      <c r="Y1" s="60" t="s">
        <v>72</v>
      </c>
      <c r="Z1" s="6"/>
      <c r="AA1" s="60" t="s">
        <v>73</v>
      </c>
      <c r="AB1" s="6"/>
      <c r="AC1" s="60" t="s">
        <v>74</v>
      </c>
      <c r="AD1" s="6"/>
      <c r="AE1" s="61" t="s">
        <v>75</v>
      </c>
      <c r="AF1" s="6"/>
      <c r="AG1" s="61" t="s">
        <v>76</v>
      </c>
      <c r="AH1" s="6"/>
      <c r="AI1" s="61" t="s">
        <v>77</v>
      </c>
      <c r="AJ1" s="6"/>
    </row>
    <row r="2" ht="40.5" customHeight="1">
      <c r="A2" s="62">
        <v>1.0</v>
      </c>
      <c r="B2" s="63">
        <v>1.0</v>
      </c>
      <c r="C2" s="64" t="s">
        <v>78</v>
      </c>
      <c r="D2" s="65">
        <v>1.0</v>
      </c>
      <c r="E2" s="66" t="s">
        <v>79</v>
      </c>
      <c r="F2" s="67" t="s">
        <v>80</v>
      </c>
      <c r="G2" s="68" t="s">
        <v>81</v>
      </c>
      <c r="H2" s="69" t="s">
        <v>50</v>
      </c>
      <c r="I2" s="70">
        <v>1.03887738E8</v>
      </c>
      <c r="J2" s="71" t="s">
        <v>82</v>
      </c>
      <c r="K2" s="72" t="s">
        <v>83</v>
      </c>
      <c r="L2" s="73">
        <v>590.0</v>
      </c>
      <c r="M2" s="74">
        <v>590.0</v>
      </c>
      <c r="N2" s="75">
        <v>46009.0</v>
      </c>
      <c r="O2" s="74">
        <v>590.0</v>
      </c>
      <c r="P2" s="75">
        <v>45980.0</v>
      </c>
      <c r="Q2" s="74">
        <v>590.0</v>
      </c>
      <c r="R2" s="75">
        <v>45947.0</v>
      </c>
      <c r="S2" s="74">
        <v>590.0</v>
      </c>
      <c r="T2" s="76">
        <v>45919.0</v>
      </c>
      <c r="U2" s="74">
        <v>590.0</v>
      </c>
      <c r="V2" s="74">
        <v>590.0</v>
      </c>
      <c r="W2" s="74">
        <v>590.0</v>
      </c>
      <c r="X2" s="77">
        <v>45861.0</v>
      </c>
      <c r="Y2" s="74">
        <v>590.0</v>
      </c>
      <c r="Z2" s="77">
        <v>45827.0</v>
      </c>
      <c r="AA2" s="74">
        <v>590.0</v>
      </c>
      <c r="AB2" s="77">
        <v>45797.0</v>
      </c>
      <c r="AC2" s="74">
        <v>590.0</v>
      </c>
      <c r="AD2" s="77">
        <v>45763.0</v>
      </c>
      <c r="AE2" s="74">
        <v>590.0</v>
      </c>
      <c r="AF2" s="78">
        <v>45735.0</v>
      </c>
      <c r="AG2" s="74">
        <v>590.0</v>
      </c>
      <c r="AH2" s="77">
        <v>45706.0</v>
      </c>
      <c r="AI2" s="79">
        <v>590.0</v>
      </c>
      <c r="AJ2" s="77">
        <v>45678.0</v>
      </c>
    </row>
    <row r="3" ht="45.0" customHeight="1">
      <c r="A3" s="80">
        <v>2.0</v>
      </c>
      <c r="B3" s="81">
        <v>2.0</v>
      </c>
      <c r="C3" s="82" t="s">
        <v>84</v>
      </c>
      <c r="D3" s="65">
        <v>6.0</v>
      </c>
      <c r="E3" s="83" t="s">
        <v>85</v>
      </c>
      <c r="F3" s="67" t="s">
        <v>80</v>
      </c>
      <c r="G3" s="67" t="s">
        <v>86</v>
      </c>
      <c r="H3" s="84" t="s">
        <v>43</v>
      </c>
      <c r="I3" s="85">
        <v>3.1039503035E10</v>
      </c>
      <c r="J3" s="71" t="s">
        <v>82</v>
      </c>
      <c r="K3" s="86" t="s">
        <v>87</v>
      </c>
      <c r="L3" s="87">
        <v>830.0</v>
      </c>
      <c r="M3" s="74">
        <v>830.0</v>
      </c>
      <c r="N3" s="75">
        <v>46009.0</v>
      </c>
      <c r="O3" s="74">
        <v>830.0</v>
      </c>
      <c r="P3" s="75">
        <v>45979.0</v>
      </c>
      <c r="Q3" s="74">
        <v>830.0</v>
      </c>
      <c r="R3" s="75">
        <v>45947.0</v>
      </c>
      <c r="S3" s="74">
        <v>830.0</v>
      </c>
      <c r="T3" s="76">
        <v>45919.0</v>
      </c>
      <c r="U3" s="74">
        <v>830.0</v>
      </c>
      <c r="V3" s="74">
        <v>830.0</v>
      </c>
      <c r="W3" s="74">
        <v>830.0</v>
      </c>
      <c r="X3" s="88">
        <v>45861.0</v>
      </c>
      <c r="Y3" s="74">
        <v>830.0</v>
      </c>
      <c r="Z3" s="77">
        <v>45827.0</v>
      </c>
      <c r="AA3" s="74">
        <v>830.0</v>
      </c>
      <c r="AB3" s="77">
        <v>45797.0</v>
      </c>
      <c r="AC3" s="74">
        <v>830.0</v>
      </c>
      <c r="AD3" s="77">
        <v>45764.0</v>
      </c>
      <c r="AE3" s="74">
        <v>830.0</v>
      </c>
      <c r="AF3" s="78">
        <v>45735.0</v>
      </c>
      <c r="AG3" s="74">
        <v>830.0</v>
      </c>
      <c r="AH3" s="77">
        <v>45706.0</v>
      </c>
      <c r="AI3" s="89">
        <v>830.0</v>
      </c>
      <c r="AJ3" s="77">
        <v>45678.0</v>
      </c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</row>
    <row r="4" ht="38.25" customHeight="1">
      <c r="A4" s="62">
        <v>3.0</v>
      </c>
      <c r="B4" s="63">
        <v>3.0</v>
      </c>
      <c r="C4" s="64" t="s">
        <v>88</v>
      </c>
      <c r="D4" s="65">
        <v>6.0</v>
      </c>
      <c r="E4" s="91" t="s">
        <v>89</v>
      </c>
      <c r="F4" s="67" t="s">
        <v>80</v>
      </c>
      <c r="G4" s="68" t="s">
        <v>90</v>
      </c>
      <c r="H4" s="92" t="s">
        <v>50</v>
      </c>
      <c r="I4" s="93">
        <v>1.03862466E8</v>
      </c>
      <c r="J4" s="71" t="s">
        <v>82</v>
      </c>
      <c r="K4" s="72" t="s">
        <v>91</v>
      </c>
      <c r="L4" s="73">
        <v>900.0</v>
      </c>
      <c r="M4" s="94">
        <v>900.0</v>
      </c>
      <c r="N4" s="75">
        <v>46009.0</v>
      </c>
      <c r="O4" s="94">
        <v>900.0</v>
      </c>
      <c r="P4" s="75">
        <v>45980.0</v>
      </c>
      <c r="Q4" s="94">
        <v>900.0</v>
      </c>
      <c r="R4" s="75">
        <v>45947.0</v>
      </c>
      <c r="S4" s="74">
        <v>900.0</v>
      </c>
      <c r="T4" s="76">
        <v>45923.0</v>
      </c>
      <c r="U4" s="94">
        <v>0.0</v>
      </c>
      <c r="V4" s="74">
        <v>0.0</v>
      </c>
      <c r="W4" s="94">
        <v>0.0</v>
      </c>
      <c r="X4" s="88"/>
      <c r="Y4" s="94">
        <v>0.0</v>
      </c>
      <c r="Z4" s="77"/>
      <c r="AA4" s="94">
        <v>0.0</v>
      </c>
      <c r="AB4" s="77"/>
      <c r="AC4" s="94">
        <v>0.0</v>
      </c>
      <c r="AD4" s="77"/>
      <c r="AE4" s="94">
        <v>0.0</v>
      </c>
      <c r="AF4" s="78"/>
      <c r="AG4" s="94">
        <v>0.0</v>
      </c>
      <c r="AH4" s="77"/>
      <c r="AI4" s="89">
        <v>0.0</v>
      </c>
      <c r="AJ4" s="77"/>
    </row>
    <row r="5">
      <c r="A5" s="80">
        <v>4.0</v>
      </c>
      <c r="B5" s="81">
        <v>4.0</v>
      </c>
      <c r="C5" s="34" t="s">
        <v>92</v>
      </c>
      <c r="D5" s="65">
        <v>5.0</v>
      </c>
      <c r="E5" s="95" t="s">
        <v>93</v>
      </c>
      <c r="F5" s="67" t="s">
        <v>80</v>
      </c>
      <c r="G5" s="96" t="s">
        <v>94</v>
      </c>
      <c r="H5" s="97" t="s">
        <v>50</v>
      </c>
      <c r="I5" s="98" t="s">
        <v>95</v>
      </c>
      <c r="J5" s="71" t="s">
        <v>82</v>
      </c>
      <c r="K5" s="72" t="s">
        <v>91</v>
      </c>
      <c r="L5" s="99">
        <v>690.0</v>
      </c>
      <c r="M5" s="74">
        <v>690.0</v>
      </c>
      <c r="N5" s="75">
        <v>46009.0</v>
      </c>
      <c r="O5" s="74">
        <v>690.0</v>
      </c>
      <c r="P5" s="75">
        <v>45980.0</v>
      </c>
      <c r="Q5" s="74">
        <v>690.0</v>
      </c>
      <c r="R5" s="75">
        <v>45947.0</v>
      </c>
      <c r="S5" s="74">
        <v>690.0</v>
      </c>
      <c r="T5" s="76">
        <v>45919.0</v>
      </c>
      <c r="U5" s="74">
        <v>660.0</v>
      </c>
      <c r="V5" s="74">
        <v>660.0</v>
      </c>
      <c r="W5" s="74">
        <v>660.0</v>
      </c>
      <c r="X5" s="88">
        <v>45861.0</v>
      </c>
      <c r="Y5" s="74">
        <v>660.0</v>
      </c>
      <c r="Z5" s="77">
        <v>45827.0</v>
      </c>
      <c r="AA5" s="74">
        <v>0.0</v>
      </c>
      <c r="AB5" s="77"/>
      <c r="AC5" s="74">
        <v>650.0</v>
      </c>
      <c r="AD5" s="77">
        <v>45763.0</v>
      </c>
      <c r="AE5" s="74">
        <v>660.0</v>
      </c>
      <c r="AF5" s="78">
        <v>45735.0</v>
      </c>
      <c r="AG5" s="74">
        <v>660.0</v>
      </c>
      <c r="AH5" s="77">
        <v>45706.0</v>
      </c>
      <c r="AI5" s="89">
        <v>660.0</v>
      </c>
      <c r="AJ5" s="77">
        <v>45678.0</v>
      </c>
    </row>
    <row r="6" ht="42.75" customHeight="1">
      <c r="A6" s="62">
        <v>5.0</v>
      </c>
      <c r="B6" s="63">
        <v>5.0</v>
      </c>
      <c r="C6" s="64" t="s">
        <v>96</v>
      </c>
      <c r="D6" s="65">
        <v>11.0</v>
      </c>
      <c r="E6" s="66" t="s">
        <v>97</v>
      </c>
      <c r="F6" s="67" t="s">
        <v>80</v>
      </c>
      <c r="G6" s="68" t="s">
        <v>98</v>
      </c>
      <c r="H6" s="69" t="s">
        <v>50</v>
      </c>
      <c r="I6" s="93">
        <v>1.01778152E8</v>
      </c>
      <c r="J6" s="71" t="s">
        <v>99</v>
      </c>
      <c r="K6" s="72" t="s">
        <v>91</v>
      </c>
      <c r="L6" s="100" t="s">
        <v>100</v>
      </c>
      <c r="M6" s="74">
        <v>920.0</v>
      </c>
      <c r="N6" s="75">
        <v>46009.0</v>
      </c>
      <c r="O6" s="74">
        <v>920.0</v>
      </c>
      <c r="P6" s="75">
        <v>45980.0</v>
      </c>
      <c r="Q6" s="74">
        <v>920.0</v>
      </c>
      <c r="R6" s="75">
        <v>45947.0</v>
      </c>
      <c r="S6" s="74">
        <v>920.0</v>
      </c>
      <c r="T6" s="76">
        <v>45919.0</v>
      </c>
      <c r="U6" s="74">
        <v>920.0</v>
      </c>
      <c r="V6" s="74">
        <v>920.0</v>
      </c>
      <c r="W6" s="74">
        <v>920.0</v>
      </c>
      <c r="X6" s="88">
        <v>45861.0</v>
      </c>
      <c r="Y6" s="74">
        <v>920.0</v>
      </c>
      <c r="Z6" s="77">
        <v>45827.0</v>
      </c>
      <c r="AA6" s="74">
        <v>920.0</v>
      </c>
      <c r="AB6" s="77">
        <v>45797.0</v>
      </c>
      <c r="AC6" s="74">
        <v>920.0</v>
      </c>
      <c r="AD6" s="77">
        <v>45763.0</v>
      </c>
      <c r="AE6" s="74">
        <v>920.0</v>
      </c>
      <c r="AF6" s="78">
        <v>45735.0</v>
      </c>
      <c r="AG6" s="74">
        <v>920.0</v>
      </c>
      <c r="AH6" s="77">
        <v>45706.0</v>
      </c>
      <c r="AI6" s="89">
        <v>920.0</v>
      </c>
      <c r="AJ6" s="77">
        <v>45678.0</v>
      </c>
    </row>
    <row r="7" ht="46.5" customHeight="1">
      <c r="A7" s="80">
        <v>6.0</v>
      </c>
      <c r="B7" s="81">
        <v>6.0</v>
      </c>
      <c r="C7" s="101" t="s">
        <v>101</v>
      </c>
      <c r="D7" s="65">
        <v>10.0</v>
      </c>
      <c r="E7" s="66" t="s">
        <v>102</v>
      </c>
      <c r="F7" s="67" t="s">
        <v>80</v>
      </c>
      <c r="G7" s="67" t="s">
        <v>103</v>
      </c>
      <c r="H7" s="84" t="s">
        <v>50</v>
      </c>
      <c r="I7" s="102">
        <v>1.01032467E8</v>
      </c>
      <c r="J7" s="71" t="s">
        <v>82</v>
      </c>
      <c r="K7" s="72" t="s">
        <v>91</v>
      </c>
      <c r="L7" s="103" t="s">
        <v>104</v>
      </c>
      <c r="M7" s="74">
        <v>795.0</v>
      </c>
      <c r="N7" s="75">
        <v>46009.0</v>
      </c>
      <c r="O7" s="74">
        <v>795.0</v>
      </c>
      <c r="P7" s="75">
        <v>45980.0</v>
      </c>
      <c r="Q7" s="74">
        <v>795.0</v>
      </c>
      <c r="R7" s="75">
        <v>45947.0</v>
      </c>
      <c r="S7" s="74">
        <v>795.0</v>
      </c>
      <c r="T7" s="76">
        <v>45919.0</v>
      </c>
      <c r="U7" s="74">
        <v>795.0</v>
      </c>
      <c r="V7" s="74">
        <v>795.0</v>
      </c>
      <c r="W7" s="74">
        <v>795.0</v>
      </c>
      <c r="X7" s="77">
        <v>45861.0</v>
      </c>
      <c r="Y7" s="74">
        <v>795.0</v>
      </c>
      <c r="Z7" s="77">
        <v>45827.0</v>
      </c>
      <c r="AA7" s="74">
        <v>795.0</v>
      </c>
      <c r="AB7" s="77">
        <v>45797.0</v>
      </c>
      <c r="AC7" s="74">
        <v>795.0</v>
      </c>
      <c r="AD7" s="77">
        <v>45763.0</v>
      </c>
      <c r="AE7" s="74">
        <v>795.0</v>
      </c>
      <c r="AF7" s="78">
        <v>45735.0</v>
      </c>
      <c r="AG7" s="74">
        <v>795.0</v>
      </c>
      <c r="AH7" s="77">
        <v>45706.0</v>
      </c>
      <c r="AI7" s="89">
        <v>795.0</v>
      </c>
      <c r="AJ7" s="77">
        <v>45678.0</v>
      </c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90"/>
    </row>
    <row r="8" ht="45.0" customHeight="1">
      <c r="A8" s="62">
        <v>7.0</v>
      </c>
      <c r="B8" s="63">
        <v>7.0</v>
      </c>
      <c r="C8" s="64" t="s">
        <v>105</v>
      </c>
      <c r="D8" s="65">
        <v>9.0</v>
      </c>
      <c r="E8" s="66" t="s">
        <v>106</v>
      </c>
      <c r="F8" s="67" t="s">
        <v>80</v>
      </c>
      <c r="G8" s="68" t="s">
        <v>107</v>
      </c>
      <c r="H8" s="69" t="s">
        <v>41</v>
      </c>
      <c r="I8" s="104" t="s">
        <v>108</v>
      </c>
      <c r="J8" s="71" t="s">
        <v>99</v>
      </c>
      <c r="K8" s="72" t="s">
        <v>109</v>
      </c>
      <c r="L8" s="105" t="s">
        <v>110</v>
      </c>
      <c r="M8" s="74">
        <v>905.0</v>
      </c>
      <c r="N8" s="75">
        <v>46009.0</v>
      </c>
      <c r="O8" s="74">
        <v>905.0</v>
      </c>
      <c r="P8" s="75">
        <v>45980.0</v>
      </c>
      <c r="Q8" s="74">
        <v>905.0</v>
      </c>
      <c r="R8" s="75">
        <v>45947.0</v>
      </c>
      <c r="S8" s="74">
        <v>905.0</v>
      </c>
      <c r="T8" s="76">
        <v>45919.0</v>
      </c>
      <c r="U8" s="74">
        <v>905.0</v>
      </c>
      <c r="V8" s="74">
        <v>905.0</v>
      </c>
      <c r="W8" s="74">
        <v>905.0</v>
      </c>
      <c r="X8" s="88">
        <v>45861.0</v>
      </c>
      <c r="Y8" s="74">
        <v>905.0</v>
      </c>
      <c r="Z8" s="77">
        <v>45826.0</v>
      </c>
      <c r="AA8" s="74">
        <v>905.0</v>
      </c>
      <c r="AB8" s="77">
        <v>45797.0</v>
      </c>
      <c r="AC8" s="74">
        <v>905.0</v>
      </c>
      <c r="AD8" s="77">
        <v>45763.0</v>
      </c>
      <c r="AE8" s="74">
        <v>905.0</v>
      </c>
      <c r="AF8" s="78">
        <v>45735.0</v>
      </c>
      <c r="AG8" s="74">
        <v>905.0</v>
      </c>
      <c r="AH8" s="77">
        <v>45706.0</v>
      </c>
      <c r="AI8" s="89">
        <v>905.0</v>
      </c>
      <c r="AJ8" s="77">
        <v>45678.0</v>
      </c>
    </row>
    <row r="9">
      <c r="A9" s="80">
        <v>8.0</v>
      </c>
      <c r="B9" s="81">
        <v>8.0</v>
      </c>
      <c r="C9" s="64" t="s">
        <v>111</v>
      </c>
      <c r="D9" s="65">
        <v>9.0</v>
      </c>
      <c r="E9" s="106" t="s">
        <v>112</v>
      </c>
      <c r="F9" s="67" t="s">
        <v>80</v>
      </c>
      <c r="G9" s="107" t="s">
        <v>113</v>
      </c>
      <c r="H9" s="69" t="s">
        <v>50</v>
      </c>
      <c r="I9" s="93">
        <v>1.02570522E8</v>
      </c>
      <c r="J9" s="71" t="s">
        <v>82</v>
      </c>
      <c r="K9" s="72" t="s">
        <v>91</v>
      </c>
      <c r="L9" s="105">
        <v>920.0</v>
      </c>
      <c r="M9" s="74">
        <v>920.0</v>
      </c>
      <c r="N9" s="75">
        <v>46009.0</v>
      </c>
      <c r="O9" s="74">
        <v>920.0</v>
      </c>
      <c r="P9" s="75">
        <v>45980.0</v>
      </c>
      <c r="Q9" s="74">
        <v>920.0</v>
      </c>
      <c r="R9" s="75">
        <v>45947.0</v>
      </c>
      <c r="S9" s="74">
        <v>920.0</v>
      </c>
      <c r="T9" s="76">
        <v>45919.0</v>
      </c>
      <c r="U9" s="74">
        <v>920.0</v>
      </c>
      <c r="V9" s="74">
        <v>920.0</v>
      </c>
      <c r="W9" s="74">
        <v>890.0</v>
      </c>
      <c r="X9" s="88">
        <v>45861.0</v>
      </c>
      <c r="Y9" s="74">
        <v>890.0</v>
      </c>
      <c r="Z9" s="77">
        <v>45827.0</v>
      </c>
      <c r="AA9" s="74">
        <v>890.0</v>
      </c>
      <c r="AB9" s="77">
        <v>45797.0</v>
      </c>
      <c r="AC9" s="74">
        <v>890.0</v>
      </c>
      <c r="AD9" s="77">
        <v>45763.0</v>
      </c>
      <c r="AE9" s="74">
        <v>890.0</v>
      </c>
      <c r="AF9" s="78">
        <v>45735.0</v>
      </c>
      <c r="AG9" s="74">
        <v>890.0</v>
      </c>
      <c r="AH9" s="77">
        <v>45706.0</v>
      </c>
      <c r="AI9" s="89">
        <v>890.0</v>
      </c>
      <c r="AJ9" s="77">
        <v>45678.0</v>
      </c>
    </row>
    <row r="10">
      <c r="A10" s="62">
        <v>9.0</v>
      </c>
      <c r="B10" s="81">
        <v>9.0</v>
      </c>
      <c r="C10" s="108" t="s">
        <v>114</v>
      </c>
      <c r="D10" s="65">
        <v>9.0</v>
      </c>
      <c r="E10" s="95" t="s">
        <v>115</v>
      </c>
      <c r="F10" s="67" t="s">
        <v>80</v>
      </c>
      <c r="G10" s="109" t="s">
        <v>116</v>
      </c>
      <c r="H10" s="84" t="s">
        <v>43</v>
      </c>
      <c r="I10" s="110" t="s">
        <v>117</v>
      </c>
      <c r="J10" s="85" t="s">
        <v>99</v>
      </c>
      <c r="K10" s="86" t="s">
        <v>118</v>
      </c>
      <c r="L10" s="105">
        <v>700.0</v>
      </c>
      <c r="M10" s="111">
        <v>700.0</v>
      </c>
      <c r="N10" s="75"/>
      <c r="O10" s="111">
        <v>700.0</v>
      </c>
      <c r="P10" s="75"/>
      <c r="Q10" s="74">
        <v>700.0</v>
      </c>
      <c r="R10" s="75">
        <v>45976.0</v>
      </c>
      <c r="S10" s="74">
        <v>700.0</v>
      </c>
      <c r="T10" s="76">
        <v>45919.0</v>
      </c>
      <c r="U10" s="74">
        <v>700.0</v>
      </c>
      <c r="V10" s="77"/>
      <c r="W10" s="74">
        <v>700.0</v>
      </c>
      <c r="X10" s="77"/>
      <c r="Y10" s="74">
        <v>700.0</v>
      </c>
      <c r="Z10" s="112">
        <v>45853.0</v>
      </c>
      <c r="AA10" s="74">
        <v>1400.0</v>
      </c>
      <c r="AB10" s="113">
        <v>45823.0</v>
      </c>
      <c r="AC10" s="74">
        <v>700.0</v>
      </c>
      <c r="AD10" s="77">
        <v>45764.0</v>
      </c>
      <c r="AE10" s="74">
        <v>0.0</v>
      </c>
      <c r="AF10" s="77"/>
      <c r="AG10" s="74">
        <v>1400.0</v>
      </c>
      <c r="AH10" s="77">
        <v>45706.0</v>
      </c>
      <c r="AI10" s="89">
        <v>700.0</v>
      </c>
      <c r="AJ10" s="112">
        <v>45667.0</v>
      </c>
    </row>
    <row r="11">
      <c r="A11" s="80">
        <v>10.0</v>
      </c>
      <c r="B11" s="81">
        <v>10.0</v>
      </c>
      <c r="C11" s="114" t="s">
        <v>119</v>
      </c>
      <c r="D11" s="65">
        <v>9.0</v>
      </c>
      <c r="E11" s="106" t="s">
        <v>120</v>
      </c>
      <c r="F11" s="67" t="s">
        <v>80</v>
      </c>
      <c r="G11" s="109" t="s">
        <v>121</v>
      </c>
      <c r="H11" s="84" t="s">
        <v>43</v>
      </c>
      <c r="I11" s="115" t="s">
        <v>122</v>
      </c>
      <c r="J11" s="71" t="s">
        <v>99</v>
      </c>
      <c r="K11" s="86" t="s">
        <v>109</v>
      </c>
      <c r="L11" s="105">
        <v>1069.0</v>
      </c>
      <c r="M11" s="74">
        <v>1069.0</v>
      </c>
      <c r="N11" s="75">
        <v>46009.0</v>
      </c>
      <c r="O11" s="74">
        <v>1069.0</v>
      </c>
      <c r="P11" s="75">
        <v>45979.0</v>
      </c>
      <c r="Q11" s="74">
        <v>1069.0</v>
      </c>
      <c r="R11" s="75">
        <v>45947.0</v>
      </c>
      <c r="S11" s="74">
        <v>1069.0</v>
      </c>
      <c r="T11" s="76">
        <v>45919.0</v>
      </c>
      <c r="U11" s="74">
        <v>1069.0</v>
      </c>
      <c r="V11" s="74">
        <v>1069.0</v>
      </c>
      <c r="W11" s="74">
        <v>1069.0</v>
      </c>
      <c r="X11" s="88">
        <v>45861.0</v>
      </c>
      <c r="Y11" s="74">
        <v>1069.0</v>
      </c>
      <c r="Z11" s="77">
        <v>45827.0</v>
      </c>
      <c r="AA11" s="74">
        <v>1069.0</v>
      </c>
      <c r="AB11" s="78">
        <v>45797.0</v>
      </c>
      <c r="AC11" s="74">
        <v>1069.0</v>
      </c>
      <c r="AD11" s="77">
        <v>45764.0</v>
      </c>
      <c r="AE11" s="74">
        <v>1069.0</v>
      </c>
      <c r="AF11" s="78">
        <v>45735.0</v>
      </c>
      <c r="AG11" s="74">
        <v>1069.0</v>
      </c>
      <c r="AH11" s="77">
        <v>45706.0</v>
      </c>
      <c r="AI11" s="89">
        <v>1069.0</v>
      </c>
      <c r="AJ11" s="77">
        <v>45678.0</v>
      </c>
      <c r="AK11" s="43"/>
    </row>
    <row r="12">
      <c r="A12" s="62">
        <v>11.0</v>
      </c>
      <c r="B12" s="81">
        <v>11.0</v>
      </c>
      <c r="C12" s="116" t="s">
        <v>123</v>
      </c>
      <c r="D12" s="65">
        <v>9.0</v>
      </c>
      <c r="E12" s="117" t="s">
        <v>124</v>
      </c>
      <c r="F12" s="67" t="s">
        <v>80</v>
      </c>
      <c r="G12" s="118" t="s">
        <v>125</v>
      </c>
      <c r="H12" s="84" t="s">
        <v>50</v>
      </c>
      <c r="I12" s="119" t="s">
        <v>126</v>
      </c>
      <c r="J12" s="85" t="s">
        <v>82</v>
      </c>
      <c r="K12" s="86" t="s">
        <v>91</v>
      </c>
      <c r="L12" s="105">
        <v>549.0</v>
      </c>
      <c r="M12" s="74">
        <v>549.0</v>
      </c>
      <c r="N12" s="75">
        <v>46009.0</v>
      </c>
      <c r="O12" s="74">
        <v>549.0</v>
      </c>
      <c r="P12" s="75">
        <v>45980.0</v>
      </c>
      <c r="Q12" s="74">
        <v>549.0</v>
      </c>
      <c r="R12" s="75">
        <v>45947.0</v>
      </c>
      <c r="S12" s="74">
        <v>549.0</v>
      </c>
      <c r="T12" s="76">
        <v>45919.0</v>
      </c>
      <c r="U12" s="74">
        <v>549.0</v>
      </c>
      <c r="V12" s="74">
        <v>549.0</v>
      </c>
      <c r="W12" s="74">
        <v>549.0</v>
      </c>
      <c r="X12" s="88">
        <v>45861.0</v>
      </c>
      <c r="Y12" s="74">
        <v>549.0</v>
      </c>
      <c r="Z12" s="77">
        <v>45827.0</v>
      </c>
      <c r="AA12" s="74">
        <v>549.0</v>
      </c>
      <c r="AB12" s="77">
        <v>45797.0</v>
      </c>
      <c r="AC12" s="74">
        <v>549.0</v>
      </c>
      <c r="AD12" s="77">
        <v>45763.0</v>
      </c>
      <c r="AE12" s="74">
        <v>549.0</v>
      </c>
      <c r="AF12" s="78">
        <v>45735.0</v>
      </c>
      <c r="AG12" s="74">
        <v>549.0</v>
      </c>
      <c r="AH12" s="77">
        <v>45706.0</v>
      </c>
      <c r="AI12" s="89">
        <v>549.0</v>
      </c>
      <c r="AJ12" s="77">
        <v>45678.0</v>
      </c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</row>
    <row r="13" ht="40.5" customHeight="1">
      <c r="A13" s="80">
        <v>12.0</v>
      </c>
      <c r="B13" s="81">
        <v>12.0</v>
      </c>
      <c r="C13" s="116" t="s">
        <v>127</v>
      </c>
      <c r="D13" s="65">
        <v>2.0</v>
      </c>
      <c r="E13" s="120" t="s">
        <v>128</v>
      </c>
      <c r="F13" s="67" t="s">
        <v>80</v>
      </c>
      <c r="G13" s="121" t="s">
        <v>129</v>
      </c>
      <c r="H13" s="86" t="s">
        <v>41</v>
      </c>
      <c r="I13" s="85">
        <v>1060523.0</v>
      </c>
      <c r="J13" s="71" t="s">
        <v>99</v>
      </c>
      <c r="K13" s="86"/>
      <c r="L13" s="105">
        <v>440.0</v>
      </c>
      <c r="M13" s="74">
        <v>440.0</v>
      </c>
      <c r="N13" s="75">
        <v>46009.0</v>
      </c>
      <c r="O13" s="74">
        <v>440.0</v>
      </c>
      <c r="P13" s="75">
        <v>45980.0</v>
      </c>
      <c r="Q13" s="74">
        <v>440.0</v>
      </c>
      <c r="R13" s="75">
        <v>45947.0</v>
      </c>
      <c r="S13" s="74">
        <v>440.0</v>
      </c>
      <c r="T13" s="76">
        <v>45919.0</v>
      </c>
      <c r="U13" s="74">
        <v>440.0</v>
      </c>
      <c r="V13" s="74">
        <v>440.0</v>
      </c>
      <c r="W13" s="74">
        <v>440.0</v>
      </c>
      <c r="X13" s="88">
        <v>45861.0</v>
      </c>
      <c r="Y13" s="74">
        <v>440.0</v>
      </c>
      <c r="Z13" s="77">
        <v>45826.0</v>
      </c>
      <c r="AA13" s="74">
        <v>440.0</v>
      </c>
      <c r="AB13" s="77">
        <v>45797.0</v>
      </c>
      <c r="AC13" s="74">
        <v>440.0</v>
      </c>
      <c r="AD13" s="77">
        <v>45763.0</v>
      </c>
      <c r="AE13" s="74">
        <v>440.0</v>
      </c>
      <c r="AF13" s="78">
        <v>45735.0</v>
      </c>
      <c r="AG13" s="74">
        <v>440.0</v>
      </c>
      <c r="AH13" s="77">
        <v>45706.0</v>
      </c>
      <c r="AI13" s="89">
        <v>440.0</v>
      </c>
      <c r="AJ13" s="77">
        <v>45678.0</v>
      </c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</row>
    <row r="14" ht="33.0" customHeight="1">
      <c r="A14" s="62">
        <v>21.0</v>
      </c>
      <c r="B14" s="81">
        <v>20.0</v>
      </c>
      <c r="C14" s="82" t="s">
        <v>130</v>
      </c>
      <c r="D14" s="65">
        <v>2.0</v>
      </c>
      <c r="E14" s="122"/>
      <c r="F14" s="67" t="s">
        <v>80</v>
      </c>
      <c r="G14" s="67">
        <v>8.9869007887E10</v>
      </c>
      <c r="H14" s="123" t="s">
        <v>43</v>
      </c>
      <c r="I14" s="85"/>
      <c r="J14" s="71" t="s">
        <v>131</v>
      </c>
      <c r="K14" s="86" t="s">
        <v>132</v>
      </c>
      <c r="L14" s="124">
        <v>800.0</v>
      </c>
      <c r="M14" s="74">
        <v>800.0</v>
      </c>
      <c r="N14" s="75">
        <v>46009.0</v>
      </c>
      <c r="O14" s="74">
        <v>800.0</v>
      </c>
      <c r="P14" s="75">
        <v>45980.0</v>
      </c>
      <c r="Q14" s="74">
        <v>800.0</v>
      </c>
      <c r="R14" s="75">
        <v>45947.0</v>
      </c>
      <c r="S14" s="74">
        <v>800.0</v>
      </c>
      <c r="T14" s="76">
        <v>45919.0</v>
      </c>
      <c r="U14" s="74">
        <v>800.0</v>
      </c>
      <c r="V14" s="74">
        <v>800.0</v>
      </c>
      <c r="W14" s="74">
        <v>800.0</v>
      </c>
      <c r="X14" s="77">
        <v>45861.0</v>
      </c>
      <c r="Y14" s="74">
        <v>800.0</v>
      </c>
      <c r="Z14" s="77">
        <v>45827.0</v>
      </c>
      <c r="AA14" s="74">
        <v>800.0</v>
      </c>
      <c r="AB14" s="78">
        <v>45797.0</v>
      </c>
      <c r="AC14" s="74">
        <v>800.0</v>
      </c>
      <c r="AD14" s="77">
        <v>45764.0</v>
      </c>
      <c r="AE14" s="74">
        <v>800.0</v>
      </c>
      <c r="AF14" s="78">
        <v>45735.0</v>
      </c>
      <c r="AG14" s="74">
        <v>800.0</v>
      </c>
      <c r="AH14" s="77">
        <v>45706.0</v>
      </c>
      <c r="AI14" s="89">
        <v>800.0</v>
      </c>
      <c r="AJ14" s="77">
        <v>45678.0</v>
      </c>
      <c r="AK14" s="90"/>
      <c r="AL14" s="90"/>
      <c r="AM14" s="90"/>
      <c r="AN14" s="90"/>
      <c r="AO14" s="90"/>
      <c r="AP14" s="90"/>
      <c r="AQ14" s="90"/>
      <c r="AR14" s="90"/>
      <c r="AS14" s="90"/>
      <c r="AT14" s="90"/>
      <c r="AU14" s="90"/>
      <c r="AV14" s="90"/>
    </row>
    <row r="15" ht="42.0" customHeight="1">
      <c r="A15" s="80">
        <v>22.0</v>
      </c>
      <c r="B15" s="81">
        <v>21.0</v>
      </c>
      <c r="C15" s="82" t="s">
        <v>133</v>
      </c>
      <c r="D15" s="65">
        <v>2.0</v>
      </c>
      <c r="E15" s="125"/>
      <c r="F15" s="67" t="s">
        <v>80</v>
      </c>
      <c r="G15" s="67" t="s">
        <v>134</v>
      </c>
      <c r="H15" s="123" t="s">
        <v>43</v>
      </c>
      <c r="I15" s="85">
        <v>2.16300440448E11</v>
      </c>
      <c r="J15" s="71" t="s">
        <v>131</v>
      </c>
      <c r="K15" s="86"/>
      <c r="L15" s="124">
        <v>870.0</v>
      </c>
      <c r="M15" s="74">
        <v>870.0</v>
      </c>
      <c r="N15" s="75">
        <v>46009.0</v>
      </c>
      <c r="O15" s="74">
        <v>870.0</v>
      </c>
      <c r="P15" s="75">
        <v>45980.0</v>
      </c>
      <c r="Q15" s="74">
        <v>870.0</v>
      </c>
      <c r="R15" s="75">
        <v>45947.0</v>
      </c>
      <c r="S15" s="74">
        <v>870.0</v>
      </c>
      <c r="T15" s="76">
        <v>45919.0</v>
      </c>
      <c r="U15" s="74">
        <v>870.0</v>
      </c>
      <c r="V15" s="74">
        <v>870.0</v>
      </c>
      <c r="W15" s="74">
        <v>870.0</v>
      </c>
      <c r="X15" s="77">
        <v>45861.0</v>
      </c>
      <c r="Y15" s="74">
        <v>870.0</v>
      </c>
      <c r="Z15" s="77">
        <v>45827.0</v>
      </c>
      <c r="AA15" s="74">
        <v>870.0</v>
      </c>
      <c r="AB15" s="78">
        <v>45797.0</v>
      </c>
      <c r="AC15" s="74">
        <v>870.0</v>
      </c>
      <c r="AD15" s="77">
        <v>45764.0</v>
      </c>
      <c r="AE15" s="74">
        <v>870.0</v>
      </c>
      <c r="AF15" s="78">
        <v>45735.0</v>
      </c>
      <c r="AG15" s="74">
        <v>870.0</v>
      </c>
      <c r="AH15" s="77">
        <v>45706.0</v>
      </c>
      <c r="AI15" s="89">
        <v>870.0</v>
      </c>
      <c r="AJ15" s="77">
        <v>45678.0</v>
      </c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</row>
    <row r="16" ht="42.0" customHeight="1">
      <c r="A16" s="62">
        <v>23.0</v>
      </c>
      <c r="B16" s="81">
        <v>22.0</v>
      </c>
      <c r="C16" s="126" t="s">
        <v>135</v>
      </c>
      <c r="D16" s="65">
        <v>4.0</v>
      </c>
      <c r="E16" s="122"/>
      <c r="F16" s="67" t="s">
        <v>80</v>
      </c>
      <c r="G16" s="68" t="s">
        <v>136</v>
      </c>
      <c r="H16" s="69" t="s">
        <v>50</v>
      </c>
      <c r="I16" s="71">
        <v>1.02137106E8</v>
      </c>
      <c r="J16" s="71" t="s">
        <v>131</v>
      </c>
      <c r="K16" s="72" t="s">
        <v>91</v>
      </c>
      <c r="L16" s="124">
        <v>550.0</v>
      </c>
      <c r="M16" s="74">
        <v>550.0</v>
      </c>
      <c r="N16" s="75">
        <v>46009.0</v>
      </c>
      <c r="O16" s="74">
        <v>550.0</v>
      </c>
      <c r="P16" s="75">
        <v>45980.0</v>
      </c>
      <c r="Q16" s="74">
        <v>550.0</v>
      </c>
      <c r="R16" s="75">
        <v>45947.0</v>
      </c>
      <c r="S16" s="74">
        <v>550.0</v>
      </c>
      <c r="T16" s="76">
        <v>45919.0</v>
      </c>
      <c r="U16" s="74">
        <v>550.0</v>
      </c>
      <c r="V16" s="74">
        <v>550.0</v>
      </c>
      <c r="W16" s="74">
        <v>550.0</v>
      </c>
      <c r="X16" s="77">
        <v>45861.0</v>
      </c>
      <c r="Y16" s="74">
        <v>550.0</v>
      </c>
      <c r="Z16" s="77">
        <v>45827.0</v>
      </c>
      <c r="AA16" s="74">
        <v>550.0</v>
      </c>
      <c r="AB16" s="77">
        <v>45797.0</v>
      </c>
      <c r="AC16" s="74">
        <v>550.0</v>
      </c>
      <c r="AD16" s="77">
        <v>45763.0</v>
      </c>
      <c r="AE16" s="74">
        <v>550.0</v>
      </c>
      <c r="AF16" s="78">
        <v>45735.0</v>
      </c>
      <c r="AG16" s="74">
        <v>550.0</v>
      </c>
      <c r="AH16" s="77">
        <v>45706.0</v>
      </c>
      <c r="AI16" s="89">
        <v>550.0</v>
      </c>
      <c r="AJ16" s="77">
        <v>45678.0</v>
      </c>
    </row>
    <row r="17" ht="42.0" customHeight="1">
      <c r="A17" s="80">
        <v>20.0</v>
      </c>
      <c r="B17" s="63">
        <v>23.0</v>
      </c>
      <c r="C17" s="64" t="s">
        <v>137</v>
      </c>
      <c r="D17" s="65">
        <v>2.0</v>
      </c>
      <c r="E17" s="66" t="s">
        <v>138</v>
      </c>
      <c r="F17" s="67" t="s">
        <v>80</v>
      </c>
      <c r="G17" s="68" t="s">
        <v>139</v>
      </c>
      <c r="H17" s="69" t="s">
        <v>50</v>
      </c>
      <c r="I17" s="93">
        <v>1.02241141E8</v>
      </c>
      <c r="J17" s="71" t="s">
        <v>99</v>
      </c>
      <c r="K17" s="72" t="s">
        <v>91</v>
      </c>
      <c r="L17" s="73">
        <v>810.0</v>
      </c>
      <c r="M17" s="74">
        <v>810.0</v>
      </c>
      <c r="N17" s="75">
        <v>46009.0</v>
      </c>
      <c r="O17" s="74">
        <v>810.0</v>
      </c>
      <c r="P17" s="75">
        <v>45980.0</v>
      </c>
      <c r="Q17" s="74">
        <v>810.0</v>
      </c>
      <c r="R17" s="75">
        <v>45947.0</v>
      </c>
      <c r="S17" s="74">
        <v>640.0</v>
      </c>
      <c r="T17" s="76">
        <v>45919.0</v>
      </c>
      <c r="U17" s="74">
        <v>640.0</v>
      </c>
      <c r="V17" s="74">
        <v>640.0</v>
      </c>
      <c r="W17" s="74">
        <v>640.0</v>
      </c>
      <c r="X17" s="77">
        <v>45861.0</v>
      </c>
      <c r="Y17" s="74">
        <v>640.0</v>
      </c>
      <c r="Z17" s="77">
        <v>45827.0</v>
      </c>
      <c r="AA17" s="74">
        <v>640.0</v>
      </c>
      <c r="AB17" s="77">
        <v>45797.0</v>
      </c>
      <c r="AC17" s="74">
        <v>640.0</v>
      </c>
      <c r="AD17" s="77">
        <v>45763.0</v>
      </c>
      <c r="AE17" s="74">
        <v>640.0</v>
      </c>
      <c r="AF17" s="78">
        <v>45735.0</v>
      </c>
      <c r="AG17" s="74">
        <v>640.0</v>
      </c>
      <c r="AH17" s="77">
        <v>45706.0</v>
      </c>
      <c r="AI17" s="89">
        <v>640.0</v>
      </c>
      <c r="AJ17" s="77">
        <v>45678.0</v>
      </c>
    </row>
    <row r="18" ht="41.25" customHeight="1">
      <c r="A18" s="62">
        <v>21.0</v>
      </c>
      <c r="B18" s="81">
        <v>24.0</v>
      </c>
      <c r="C18" s="64" t="s">
        <v>140</v>
      </c>
      <c r="D18" s="65">
        <v>1.0</v>
      </c>
      <c r="E18" s="66" t="s">
        <v>141</v>
      </c>
      <c r="F18" s="67" t="s">
        <v>80</v>
      </c>
      <c r="G18" s="68" t="s">
        <v>142</v>
      </c>
      <c r="H18" s="69" t="s">
        <v>41</v>
      </c>
      <c r="I18" s="71" t="s">
        <v>143</v>
      </c>
      <c r="J18" s="71" t="s">
        <v>82</v>
      </c>
      <c r="K18" s="72" t="s">
        <v>109</v>
      </c>
      <c r="L18" s="127">
        <v>350.0</v>
      </c>
      <c r="M18" s="74">
        <v>350.0</v>
      </c>
      <c r="N18" s="75">
        <v>46009.0</v>
      </c>
      <c r="O18" s="74">
        <v>350.0</v>
      </c>
      <c r="P18" s="75">
        <v>45980.0</v>
      </c>
      <c r="Q18" s="74">
        <v>350.0</v>
      </c>
      <c r="R18" s="75">
        <v>45947.0</v>
      </c>
      <c r="S18" s="74">
        <v>350.0</v>
      </c>
      <c r="T18" s="76">
        <v>45919.0</v>
      </c>
      <c r="U18" s="74">
        <v>350.0</v>
      </c>
      <c r="V18" s="74">
        <v>350.0</v>
      </c>
      <c r="W18" s="74">
        <v>350.0</v>
      </c>
      <c r="X18" s="77">
        <v>45861.0</v>
      </c>
      <c r="Y18" s="74">
        <v>350.0</v>
      </c>
      <c r="Z18" s="77">
        <v>45826.0</v>
      </c>
      <c r="AA18" s="74">
        <v>350.0</v>
      </c>
      <c r="AB18" s="77">
        <v>45797.0</v>
      </c>
      <c r="AC18" s="74">
        <v>350.0</v>
      </c>
      <c r="AD18" s="77">
        <v>45763.0</v>
      </c>
      <c r="AE18" s="74">
        <v>350.0</v>
      </c>
      <c r="AF18" s="78">
        <v>45735.0</v>
      </c>
      <c r="AG18" s="74">
        <v>350.0</v>
      </c>
      <c r="AH18" s="77">
        <v>45706.0</v>
      </c>
      <c r="AI18" s="89">
        <v>350.0</v>
      </c>
      <c r="AJ18" s="77">
        <v>45678.0</v>
      </c>
    </row>
    <row r="19" ht="32.25" customHeight="1">
      <c r="A19" s="80">
        <v>26.0</v>
      </c>
      <c r="B19" s="81">
        <v>25.0</v>
      </c>
      <c r="C19" s="82" t="s">
        <v>144</v>
      </c>
      <c r="D19" s="65">
        <v>3.0</v>
      </c>
      <c r="E19" s="67"/>
      <c r="F19" s="67" t="s">
        <v>80</v>
      </c>
      <c r="G19" s="67" t="s">
        <v>145</v>
      </c>
      <c r="H19" s="123" t="s">
        <v>43</v>
      </c>
      <c r="I19" s="85"/>
      <c r="J19" s="85" t="s">
        <v>131</v>
      </c>
      <c r="K19" s="86"/>
      <c r="L19" s="127">
        <v>500.0</v>
      </c>
      <c r="M19" s="74">
        <v>500.0</v>
      </c>
      <c r="N19" s="75">
        <v>46009.0</v>
      </c>
      <c r="O19" s="74">
        <v>500.0</v>
      </c>
      <c r="P19" s="75">
        <v>45980.0</v>
      </c>
      <c r="Q19" s="74">
        <v>500.0</v>
      </c>
      <c r="R19" s="75">
        <v>45947.0</v>
      </c>
      <c r="S19" s="74">
        <v>500.0</v>
      </c>
      <c r="T19" s="76">
        <v>45919.0</v>
      </c>
      <c r="U19" s="74">
        <v>500.0</v>
      </c>
      <c r="V19" s="74">
        <v>500.0</v>
      </c>
      <c r="W19" s="74">
        <v>500.0</v>
      </c>
      <c r="X19" s="77">
        <v>45861.0</v>
      </c>
      <c r="Y19" s="74">
        <v>500.0</v>
      </c>
      <c r="Z19" s="77">
        <v>45827.0</v>
      </c>
      <c r="AA19" s="74">
        <v>500.0</v>
      </c>
      <c r="AB19" s="78">
        <v>45797.0</v>
      </c>
      <c r="AC19" s="74">
        <v>500.0</v>
      </c>
      <c r="AD19" s="77">
        <v>45764.0</v>
      </c>
      <c r="AE19" s="74">
        <v>500.0</v>
      </c>
      <c r="AF19" s="78">
        <v>45735.0</v>
      </c>
      <c r="AG19" s="74">
        <v>500.0</v>
      </c>
      <c r="AH19" s="77">
        <v>45706.0</v>
      </c>
      <c r="AI19" s="89">
        <v>500.0</v>
      </c>
      <c r="AJ19" s="77">
        <v>45678.0</v>
      </c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</row>
    <row r="20" ht="33.0" customHeight="1">
      <c r="A20" s="80">
        <v>22.0</v>
      </c>
      <c r="B20" s="81">
        <v>26.0</v>
      </c>
      <c r="C20" s="82" t="s">
        <v>146</v>
      </c>
      <c r="D20" s="65">
        <v>4.0</v>
      </c>
      <c r="E20" s="128" t="s">
        <v>147</v>
      </c>
      <c r="F20" s="67" t="s">
        <v>80</v>
      </c>
      <c r="G20" s="67" t="s">
        <v>148</v>
      </c>
      <c r="H20" s="69" t="s">
        <v>50</v>
      </c>
      <c r="I20" s="85">
        <v>1.07172579E8</v>
      </c>
      <c r="J20" s="71" t="s">
        <v>99</v>
      </c>
      <c r="K20" s="72" t="s">
        <v>91</v>
      </c>
      <c r="L20" s="127">
        <v>470.0</v>
      </c>
      <c r="M20" s="74">
        <v>470.0</v>
      </c>
      <c r="N20" s="75">
        <v>46009.0</v>
      </c>
      <c r="O20" s="74">
        <v>470.0</v>
      </c>
      <c r="P20" s="75">
        <v>45980.0</v>
      </c>
      <c r="Q20" s="74">
        <v>470.0</v>
      </c>
      <c r="R20" s="75">
        <v>45947.0</v>
      </c>
      <c r="S20" s="74">
        <v>470.0</v>
      </c>
      <c r="T20" s="76">
        <v>45919.0</v>
      </c>
      <c r="U20" s="74">
        <v>470.0</v>
      </c>
      <c r="V20" s="74">
        <v>470.0</v>
      </c>
      <c r="W20" s="74">
        <v>470.0</v>
      </c>
      <c r="X20" s="77">
        <v>45861.0</v>
      </c>
      <c r="Y20" s="74">
        <v>470.0</v>
      </c>
      <c r="Z20" s="77">
        <v>45827.0</v>
      </c>
      <c r="AA20" s="74">
        <v>470.0</v>
      </c>
      <c r="AB20" s="77">
        <v>45797.0</v>
      </c>
      <c r="AC20" s="74">
        <v>450.0</v>
      </c>
      <c r="AD20" s="77">
        <v>45763.0</v>
      </c>
      <c r="AE20" s="74">
        <v>450.0</v>
      </c>
      <c r="AF20" s="78">
        <v>45735.0</v>
      </c>
      <c r="AG20" s="74">
        <v>450.0</v>
      </c>
      <c r="AH20" s="77">
        <v>45706.0</v>
      </c>
      <c r="AI20" s="89">
        <v>450.0</v>
      </c>
      <c r="AJ20" s="77">
        <v>45678.0</v>
      </c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</row>
    <row r="21" ht="40.5" customHeight="1">
      <c r="A21" s="80">
        <v>24.0</v>
      </c>
      <c r="B21" s="63">
        <v>27.0</v>
      </c>
      <c r="C21" s="64" t="s">
        <v>149</v>
      </c>
      <c r="D21" s="65">
        <v>1.0</v>
      </c>
      <c r="E21" s="66" t="s">
        <v>150</v>
      </c>
      <c r="F21" s="67" t="s">
        <v>80</v>
      </c>
      <c r="G21" s="68" t="s">
        <v>151</v>
      </c>
      <c r="H21" s="69" t="s">
        <v>50</v>
      </c>
      <c r="I21" s="71" t="s">
        <v>152</v>
      </c>
      <c r="J21" s="71" t="s">
        <v>82</v>
      </c>
      <c r="K21" s="72" t="s">
        <v>91</v>
      </c>
      <c r="L21" s="103">
        <v>981.0</v>
      </c>
      <c r="M21" s="129">
        <v>981.0</v>
      </c>
      <c r="N21" s="75">
        <v>46009.0</v>
      </c>
      <c r="O21" s="129">
        <v>981.0</v>
      </c>
      <c r="P21" s="75">
        <v>45980.0</v>
      </c>
      <c r="Q21" s="129">
        <v>981.0</v>
      </c>
      <c r="R21" s="75">
        <v>45947.0</v>
      </c>
      <c r="S21" s="129">
        <v>981.0</v>
      </c>
      <c r="T21" s="76">
        <v>45919.0</v>
      </c>
      <c r="U21" s="129">
        <v>981.0</v>
      </c>
      <c r="V21" s="74">
        <v>981.0</v>
      </c>
      <c r="W21" s="129">
        <v>981.0</v>
      </c>
      <c r="X21" s="77">
        <v>45861.0</v>
      </c>
      <c r="Y21" s="129">
        <v>981.0</v>
      </c>
      <c r="Z21" s="77">
        <v>45827.0</v>
      </c>
      <c r="AA21" s="129">
        <v>981.0</v>
      </c>
      <c r="AB21" s="77">
        <v>45797.0</v>
      </c>
      <c r="AC21" s="129">
        <v>981.0</v>
      </c>
      <c r="AD21" s="77">
        <v>45763.0</v>
      </c>
      <c r="AE21" s="129">
        <v>981.0</v>
      </c>
      <c r="AF21" s="78">
        <v>45735.0</v>
      </c>
      <c r="AG21" s="129">
        <v>981.0</v>
      </c>
      <c r="AH21" s="77">
        <v>45706.0</v>
      </c>
      <c r="AI21" s="130">
        <v>981.0</v>
      </c>
      <c r="AJ21" s="77">
        <v>45678.0</v>
      </c>
    </row>
    <row r="22" ht="40.5" customHeight="1">
      <c r="A22" s="62">
        <v>25.0</v>
      </c>
      <c r="B22" s="63"/>
      <c r="C22" s="126" t="s">
        <v>153</v>
      </c>
      <c r="D22" s="65">
        <v>3.0</v>
      </c>
      <c r="E22" s="66"/>
      <c r="F22" s="67" t="s">
        <v>80</v>
      </c>
      <c r="G22" s="68" t="s">
        <v>154</v>
      </c>
      <c r="H22" s="69" t="s">
        <v>50</v>
      </c>
      <c r="I22" s="71">
        <v>1.07456908E8</v>
      </c>
      <c r="J22" s="71" t="s">
        <v>155</v>
      </c>
      <c r="K22" s="131" t="s">
        <v>156</v>
      </c>
      <c r="L22" s="103">
        <v>750.0</v>
      </c>
      <c r="M22" s="132">
        <v>750.0</v>
      </c>
      <c r="N22" s="75"/>
      <c r="O22" s="132">
        <v>750.0</v>
      </c>
      <c r="P22" s="75"/>
      <c r="Q22" s="133">
        <v>750.0</v>
      </c>
      <c r="R22" s="75">
        <v>45960.0</v>
      </c>
      <c r="S22" s="129">
        <v>750.0</v>
      </c>
      <c r="T22" s="76"/>
      <c r="U22" s="129">
        <v>750.0</v>
      </c>
      <c r="V22" s="77"/>
      <c r="W22" s="132">
        <v>750.0</v>
      </c>
      <c r="X22" s="77"/>
      <c r="Y22" s="129">
        <v>750.0</v>
      </c>
      <c r="Z22" s="77">
        <v>45846.0</v>
      </c>
      <c r="AA22" s="129">
        <v>750.0</v>
      </c>
      <c r="AB22" s="113">
        <v>45816.0</v>
      </c>
      <c r="AC22" s="129">
        <f>530+650</f>
        <v>1180</v>
      </c>
      <c r="AD22" s="77">
        <v>45763.0</v>
      </c>
      <c r="AE22" s="129"/>
      <c r="AF22" s="78">
        <v>45729.0</v>
      </c>
      <c r="AG22" s="129"/>
      <c r="AH22" s="77"/>
      <c r="AI22" s="130"/>
      <c r="AJ22" s="77"/>
    </row>
    <row r="23" ht="33.75" customHeight="1">
      <c r="A23" s="80">
        <v>26.0</v>
      </c>
      <c r="B23" s="81">
        <v>28.0</v>
      </c>
      <c r="C23" s="64" t="s">
        <v>157</v>
      </c>
      <c r="D23" s="65">
        <v>7.0</v>
      </c>
      <c r="E23" s="66" t="s">
        <v>158</v>
      </c>
      <c r="F23" s="67" t="s">
        <v>80</v>
      </c>
      <c r="G23" s="68" t="s">
        <v>159</v>
      </c>
      <c r="H23" s="69" t="s">
        <v>50</v>
      </c>
      <c r="I23" s="71" t="s">
        <v>160</v>
      </c>
      <c r="J23" s="71" t="s">
        <v>99</v>
      </c>
      <c r="K23" s="72" t="s">
        <v>91</v>
      </c>
      <c r="L23" s="134">
        <v>693.0</v>
      </c>
      <c r="M23" s="74">
        <v>693.0</v>
      </c>
      <c r="N23" s="75">
        <v>46009.0</v>
      </c>
      <c r="O23" s="74">
        <v>693.0</v>
      </c>
      <c r="P23" s="75">
        <v>45980.0</v>
      </c>
      <c r="Q23" s="74">
        <v>693.0</v>
      </c>
      <c r="R23" s="75">
        <v>45947.0</v>
      </c>
      <c r="S23" s="74">
        <v>693.0</v>
      </c>
      <c r="T23" s="76">
        <v>45919.0</v>
      </c>
      <c r="U23" s="74">
        <v>693.0</v>
      </c>
      <c r="V23" s="74">
        <v>693.0</v>
      </c>
      <c r="W23" s="74">
        <v>693.0</v>
      </c>
      <c r="X23" s="77">
        <v>45861.0</v>
      </c>
      <c r="Y23" s="74">
        <v>693.0</v>
      </c>
      <c r="Z23" s="77">
        <v>45827.0</v>
      </c>
      <c r="AA23" s="74">
        <v>693.0</v>
      </c>
      <c r="AB23" s="77">
        <v>45797.0</v>
      </c>
      <c r="AC23" s="74">
        <v>693.0</v>
      </c>
      <c r="AD23" s="77">
        <v>45763.0</v>
      </c>
      <c r="AE23" s="74">
        <v>693.0</v>
      </c>
      <c r="AF23" s="78">
        <v>45735.0</v>
      </c>
      <c r="AG23" s="74">
        <v>693.0</v>
      </c>
      <c r="AH23" s="77">
        <v>45706.0</v>
      </c>
      <c r="AI23" s="89">
        <v>693.0</v>
      </c>
      <c r="AJ23" s="77">
        <v>45678.0</v>
      </c>
    </row>
    <row r="24" ht="42.0" customHeight="1">
      <c r="A24" s="62">
        <v>27.0</v>
      </c>
      <c r="B24" s="81"/>
      <c r="C24" s="82" t="s">
        <v>161</v>
      </c>
      <c r="D24" s="65">
        <v>1.0</v>
      </c>
      <c r="E24" s="135"/>
      <c r="F24" s="67" t="s">
        <v>80</v>
      </c>
      <c r="G24" s="67" t="s">
        <v>162</v>
      </c>
      <c r="H24" s="123" t="s">
        <v>43</v>
      </c>
      <c r="I24" s="85">
        <v>3.103330097E10</v>
      </c>
      <c r="J24" s="71" t="s">
        <v>82</v>
      </c>
      <c r="K24" s="131" t="s">
        <v>163</v>
      </c>
      <c r="L24" s="134">
        <v>850.0</v>
      </c>
      <c r="M24" s="111">
        <v>850.0</v>
      </c>
      <c r="N24" s="75"/>
      <c r="O24" s="111">
        <v>790.0</v>
      </c>
      <c r="P24" s="75"/>
      <c r="Q24" s="136">
        <v>790.0</v>
      </c>
      <c r="R24" s="75"/>
      <c r="S24" s="74">
        <v>790.0</v>
      </c>
      <c r="T24" s="76">
        <v>45919.0</v>
      </c>
      <c r="U24" s="74">
        <v>790.0</v>
      </c>
      <c r="V24" s="77"/>
      <c r="W24" s="74">
        <v>790.0</v>
      </c>
      <c r="X24" s="77"/>
      <c r="Y24" s="74">
        <v>790.0</v>
      </c>
      <c r="Z24" s="77">
        <v>45845.0</v>
      </c>
      <c r="AA24" s="74">
        <v>790.0</v>
      </c>
      <c r="AB24" s="113">
        <v>45815.0</v>
      </c>
      <c r="AC24" s="74">
        <v>790.0</v>
      </c>
      <c r="AD24" s="77">
        <v>45764.0</v>
      </c>
      <c r="AE24" s="74">
        <v>790.0</v>
      </c>
      <c r="AF24" s="78">
        <v>45735.0</v>
      </c>
      <c r="AG24" s="74">
        <v>470.0</v>
      </c>
      <c r="AH24" s="77">
        <v>45706.0</v>
      </c>
      <c r="AI24" s="89">
        <v>320.0</v>
      </c>
      <c r="AJ24" s="77">
        <v>45678.0</v>
      </c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</row>
    <row r="25" ht="30.75" customHeight="1">
      <c r="A25" s="80">
        <v>28.0</v>
      </c>
      <c r="B25" s="81"/>
      <c r="C25" s="82" t="s">
        <v>164</v>
      </c>
      <c r="D25" s="65">
        <v>5.0</v>
      </c>
      <c r="E25" s="135"/>
      <c r="F25" s="67" t="s">
        <v>80</v>
      </c>
      <c r="G25" s="67" t="s">
        <v>165</v>
      </c>
      <c r="H25" s="69" t="s">
        <v>50</v>
      </c>
      <c r="I25" s="85">
        <v>1.07516355E8</v>
      </c>
      <c r="J25" s="71" t="s">
        <v>82</v>
      </c>
      <c r="K25" s="72" t="s">
        <v>91</v>
      </c>
      <c r="L25" s="134">
        <v>550.0</v>
      </c>
      <c r="M25" s="74">
        <v>550.0</v>
      </c>
      <c r="N25" s="75">
        <v>46009.0</v>
      </c>
      <c r="O25" s="74">
        <v>550.0</v>
      </c>
      <c r="P25" s="75">
        <v>45980.0</v>
      </c>
      <c r="Q25" s="74">
        <v>550.0</v>
      </c>
      <c r="R25" s="75">
        <v>45947.0</v>
      </c>
      <c r="S25" s="74">
        <v>550.0</v>
      </c>
      <c r="T25" s="76">
        <v>45919.0</v>
      </c>
      <c r="U25" s="74">
        <v>550.0</v>
      </c>
      <c r="V25" s="74">
        <v>550.0</v>
      </c>
      <c r="W25" s="74">
        <v>550.0</v>
      </c>
      <c r="X25" s="77">
        <v>45861.0</v>
      </c>
      <c r="Y25" s="74">
        <v>550.0</v>
      </c>
      <c r="Z25" s="77">
        <v>45827.0</v>
      </c>
      <c r="AA25" s="74">
        <v>550.0</v>
      </c>
      <c r="AB25" s="77">
        <v>45797.0</v>
      </c>
      <c r="AC25" s="74">
        <v>550.0</v>
      </c>
      <c r="AD25" s="77">
        <v>45763.0</v>
      </c>
      <c r="AE25" s="74">
        <v>550.0</v>
      </c>
      <c r="AF25" s="78">
        <v>45735.0</v>
      </c>
      <c r="AG25" s="74">
        <v>550.0</v>
      </c>
      <c r="AH25" s="77">
        <v>45706.0</v>
      </c>
      <c r="AI25" s="89">
        <v>550.0</v>
      </c>
      <c r="AJ25" s="77">
        <v>45678.0</v>
      </c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</row>
    <row r="26" ht="36.75" customHeight="1">
      <c r="A26" s="62">
        <v>29.0</v>
      </c>
      <c r="B26" s="63"/>
      <c r="C26" s="82" t="s">
        <v>166</v>
      </c>
      <c r="D26" s="65">
        <v>4.0</v>
      </c>
      <c r="E26" s="135"/>
      <c r="F26" s="67" t="s">
        <v>80</v>
      </c>
      <c r="G26" s="68" t="s">
        <v>167</v>
      </c>
      <c r="H26" s="69" t="s">
        <v>50</v>
      </c>
      <c r="I26" s="71">
        <v>1.04717269E8</v>
      </c>
      <c r="J26" s="71" t="s">
        <v>82</v>
      </c>
      <c r="K26" s="72" t="s">
        <v>91</v>
      </c>
      <c r="L26" s="105">
        <v>590.0</v>
      </c>
      <c r="M26" s="74">
        <v>590.0</v>
      </c>
      <c r="N26" s="75">
        <v>46009.0</v>
      </c>
      <c r="O26" s="74">
        <v>590.0</v>
      </c>
      <c r="P26" s="75">
        <v>45980.0</v>
      </c>
      <c r="Q26" s="74">
        <v>590.0</v>
      </c>
      <c r="R26" s="75">
        <v>45947.0</v>
      </c>
      <c r="S26" s="74">
        <v>590.0</v>
      </c>
      <c r="T26" s="76">
        <v>45919.0</v>
      </c>
      <c r="U26" s="74">
        <v>590.0</v>
      </c>
      <c r="V26" s="74">
        <v>590.0</v>
      </c>
      <c r="W26" s="74">
        <v>590.0</v>
      </c>
      <c r="X26" s="77">
        <v>45861.0</v>
      </c>
      <c r="Y26" s="74">
        <v>590.0</v>
      </c>
      <c r="Z26" s="77">
        <v>45827.0</v>
      </c>
      <c r="AA26" s="74">
        <v>590.0</v>
      </c>
      <c r="AB26" s="77">
        <v>45797.0</v>
      </c>
      <c r="AC26" s="74">
        <v>590.0</v>
      </c>
      <c r="AD26" s="77">
        <v>45763.0</v>
      </c>
      <c r="AE26" s="74">
        <v>590.0</v>
      </c>
      <c r="AF26" s="78">
        <v>45735.0</v>
      </c>
      <c r="AG26" s="74">
        <v>590.0</v>
      </c>
      <c r="AH26" s="77">
        <v>45706.0</v>
      </c>
      <c r="AI26" s="89">
        <v>590.0</v>
      </c>
      <c r="AJ26" s="77">
        <v>45678.0</v>
      </c>
    </row>
    <row r="27" ht="43.5" customHeight="1">
      <c r="A27" s="80">
        <v>30.0</v>
      </c>
      <c r="B27" s="63">
        <v>31.0</v>
      </c>
      <c r="C27" s="126" t="s">
        <v>168</v>
      </c>
      <c r="D27" s="65">
        <v>6.0</v>
      </c>
      <c r="E27" s="137" t="s">
        <v>169</v>
      </c>
      <c r="F27" s="67" t="s">
        <v>80</v>
      </c>
      <c r="G27" s="68" t="s">
        <v>170</v>
      </c>
      <c r="H27" s="69" t="s">
        <v>41</v>
      </c>
      <c r="I27" s="71" t="s">
        <v>171</v>
      </c>
      <c r="J27" s="71" t="s">
        <v>82</v>
      </c>
      <c r="K27" s="72" t="s">
        <v>91</v>
      </c>
      <c r="L27" s="105">
        <v>670.0</v>
      </c>
      <c r="M27" s="74">
        <v>670.0</v>
      </c>
      <c r="N27" s="75">
        <v>46009.0</v>
      </c>
      <c r="O27" s="74">
        <v>670.0</v>
      </c>
      <c r="P27" s="75">
        <v>45980.0</v>
      </c>
      <c r="Q27" s="74">
        <v>670.0</v>
      </c>
      <c r="R27" s="75">
        <v>45947.0</v>
      </c>
      <c r="S27" s="74">
        <v>670.0</v>
      </c>
      <c r="T27" s="76">
        <v>45919.0</v>
      </c>
      <c r="U27" s="74">
        <v>490.0</v>
      </c>
      <c r="V27" s="74">
        <v>490.0</v>
      </c>
      <c r="W27" s="74">
        <v>490.0</v>
      </c>
      <c r="X27" s="77">
        <v>45861.0</v>
      </c>
      <c r="Y27" s="74">
        <v>490.0</v>
      </c>
      <c r="Z27" s="77">
        <v>45826.0</v>
      </c>
      <c r="AA27" s="74">
        <v>490.0</v>
      </c>
      <c r="AB27" s="77">
        <v>45797.0</v>
      </c>
      <c r="AC27" s="74">
        <v>490.0</v>
      </c>
      <c r="AD27" s="77">
        <v>45763.0</v>
      </c>
      <c r="AE27" s="74">
        <v>490.0</v>
      </c>
      <c r="AF27" s="78">
        <v>45735.0</v>
      </c>
      <c r="AG27" s="74">
        <v>490.0</v>
      </c>
      <c r="AH27" s="77">
        <v>45706.0</v>
      </c>
      <c r="AI27" s="89">
        <v>490.0</v>
      </c>
      <c r="AJ27" s="77">
        <v>45678.0</v>
      </c>
    </row>
    <row r="28" ht="30.75" customHeight="1">
      <c r="A28" s="62">
        <v>31.0</v>
      </c>
      <c r="B28" s="81">
        <v>32.0</v>
      </c>
      <c r="C28" s="114" t="s">
        <v>172</v>
      </c>
      <c r="D28" s="65">
        <v>6.0</v>
      </c>
      <c r="E28" s="137" t="s">
        <v>173</v>
      </c>
      <c r="F28" s="67" t="s">
        <v>80</v>
      </c>
      <c r="G28" s="68" t="s">
        <v>174</v>
      </c>
      <c r="H28" s="69" t="s">
        <v>50</v>
      </c>
      <c r="I28" s="71" t="s">
        <v>175</v>
      </c>
      <c r="J28" s="71" t="s">
        <v>82</v>
      </c>
      <c r="K28" s="72" t="s">
        <v>91</v>
      </c>
      <c r="L28" s="105">
        <v>649.0</v>
      </c>
      <c r="M28" s="74">
        <v>649.0</v>
      </c>
      <c r="N28" s="75">
        <v>46009.0</v>
      </c>
      <c r="O28" s="74">
        <v>649.0</v>
      </c>
      <c r="P28" s="75">
        <v>45980.0</v>
      </c>
      <c r="Q28" s="74">
        <v>649.0</v>
      </c>
      <c r="R28" s="75">
        <v>45947.0</v>
      </c>
      <c r="S28" s="74">
        <v>649.0</v>
      </c>
      <c r="T28" s="76">
        <v>45919.0</v>
      </c>
      <c r="U28" s="74">
        <v>649.0</v>
      </c>
      <c r="V28" s="74">
        <v>649.0</v>
      </c>
      <c r="W28" s="74">
        <v>649.0</v>
      </c>
      <c r="X28" s="77">
        <v>45861.0</v>
      </c>
      <c r="Y28" s="74">
        <v>649.0</v>
      </c>
      <c r="Z28" s="77">
        <v>45827.0</v>
      </c>
      <c r="AA28" s="74">
        <v>649.0</v>
      </c>
      <c r="AB28" s="77">
        <v>45797.0</v>
      </c>
      <c r="AC28" s="74">
        <v>649.0</v>
      </c>
      <c r="AD28" s="77">
        <v>45763.0</v>
      </c>
      <c r="AE28" s="74">
        <v>649.0</v>
      </c>
      <c r="AF28" s="78">
        <v>45735.0</v>
      </c>
      <c r="AG28" s="74">
        <v>649.0</v>
      </c>
      <c r="AH28" s="77">
        <v>45706.0</v>
      </c>
      <c r="AI28" s="89">
        <v>649.0</v>
      </c>
      <c r="AJ28" s="77">
        <v>45678.0</v>
      </c>
    </row>
    <row r="29" ht="30.75" customHeight="1">
      <c r="A29" s="80">
        <v>32.0</v>
      </c>
      <c r="B29" s="63">
        <v>33.0</v>
      </c>
      <c r="C29" s="114" t="s">
        <v>176</v>
      </c>
      <c r="D29" s="65">
        <v>2.0</v>
      </c>
      <c r="E29" s="138" t="s">
        <v>177</v>
      </c>
      <c r="F29" s="67" t="s">
        <v>80</v>
      </c>
      <c r="G29" s="68" t="s">
        <v>178</v>
      </c>
      <c r="H29" s="69" t="s">
        <v>50</v>
      </c>
      <c r="I29" s="71">
        <v>1.04080067E8</v>
      </c>
      <c r="J29" s="71" t="s">
        <v>82</v>
      </c>
      <c r="K29" s="72" t="s">
        <v>91</v>
      </c>
      <c r="L29" s="105">
        <v>795.0</v>
      </c>
      <c r="M29" s="74">
        <v>750.0</v>
      </c>
      <c r="N29" s="75">
        <v>46009.0</v>
      </c>
      <c r="O29" s="74">
        <v>750.0</v>
      </c>
      <c r="P29" s="75">
        <v>45980.0</v>
      </c>
      <c r="Q29" s="74">
        <v>750.0</v>
      </c>
      <c r="R29" s="75">
        <v>45947.0</v>
      </c>
      <c r="S29" s="74">
        <v>750.0</v>
      </c>
      <c r="T29" s="76">
        <v>45919.0</v>
      </c>
      <c r="U29" s="74">
        <v>750.0</v>
      </c>
      <c r="V29" s="74">
        <v>750.0</v>
      </c>
      <c r="W29" s="74">
        <v>750.0</v>
      </c>
      <c r="X29" s="77">
        <v>45861.0</v>
      </c>
      <c r="Y29" s="74">
        <v>720.0</v>
      </c>
      <c r="Z29" s="77">
        <v>45827.0</v>
      </c>
      <c r="AA29" s="74">
        <v>720.0</v>
      </c>
      <c r="AB29" s="77">
        <v>45797.0</v>
      </c>
      <c r="AC29" s="74">
        <v>720.0</v>
      </c>
      <c r="AD29" s="77">
        <v>45763.0</v>
      </c>
      <c r="AE29" s="74">
        <v>720.0</v>
      </c>
      <c r="AF29" s="78">
        <v>45735.0</v>
      </c>
      <c r="AG29" s="74">
        <v>720.0</v>
      </c>
      <c r="AH29" s="77">
        <v>45706.0</v>
      </c>
      <c r="AI29" s="89">
        <v>720.0</v>
      </c>
      <c r="AJ29" s="77">
        <v>45678.0</v>
      </c>
    </row>
    <row r="30" ht="30.75" customHeight="1">
      <c r="A30" s="62">
        <v>33.0</v>
      </c>
      <c r="B30" s="81">
        <v>34.0</v>
      </c>
      <c r="C30" s="114" t="s">
        <v>179</v>
      </c>
      <c r="D30" s="65">
        <v>6.0</v>
      </c>
      <c r="E30" s="139" t="s">
        <v>180</v>
      </c>
      <c r="F30" s="67" t="s">
        <v>80</v>
      </c>
      <c r="G30" s="68" t="s">
        <v>181</v>
      </c>
      <c r="H30" s="140" t="s">
        <v>50</v>
      </c>
      <c r="I30" s="71">
        <v>1.06124091E8</v>
      </c>
      <c r="J30" s="71" t="s">
        <v>99</v>
      </c>
      <c r="K30" s="72" t="s">
        <v>91</v>
      </c>
      <c r="L30" s="105">
        <v>580.0</v>
      </c>
      <c r="M30" s="74">
        <v>580.0</v>
      </c>
      <c r="N30" s="75">
        <v>46009.0</v>
      </c>
      <c r="O30" s="74">
        <v>580.0</v>
      </c>
      <c r="P30" s="75">
        <v>45980.0</v>
      </c>
      <c r="Q30" s="74">
        <v>580.0</v>
      </c>
      <c r="R30" s="75">
        <v>45947.0</v>
      </c>
      <c r="S30" s="74">
        <v>580.0</v>
      </c>
      <c r="T30" s="76">
        <v>45919.0</v>
      </c>
      <c r="U30" s="74">
        <v>580.0</v>
      </c>
      <c r="V30" s="74">
        <v>580.0</v>
      </c>
      <c r="W30" s="74">
        <v>580.0</v>
      </c>
      <c r="X30" s="77">
        <v>45861.0</v>
      </c>
      <c r="Y30" s="74">
        <v>580.0</v>
      </c>
      <c r="Z30" s="77">
        <v>45827.0</v>
      </c>
      <c r="AA30" s="74">
        <v>580.0</v>
      </c>
      <c r="AB30" s="77">
        <v>45797.0</v>
      </c>
      <c r="AC30" s="74">
        <v>459.0</v>
      </c>
      <c r="AD30" s="77">
        <v>45763.0</v>
      </c>
      <c r="AE30" s="74">
        <v>459.0</v>
      </c>
      <c r="AF30" s="78">
        <v>45735.0</v>
      </c>
      <c r="AG30" s="74">
        <v>459.0</v>
      </c>
      <c r="AH30" s="77">
        <v>45706.0</v>
      </c>
      <c r="AI30" s="89">
        <v>459.0</v>
      </c>
      <c r="AJ30" s="77">
        <v>45678.0</v>
      </c>
    </row>
    <row r="31" ht="30.75" customHeight="1">
      <c r="A31" s="80">
        <v>34.0</v>
      </c>
      <c r="B31" s="141"/>
      <c r="C31" s="142" t="s">
        <v>182</v>
      </c>
      <c r="D31" s="65"/>
      <c r="E31" s="139"/>
      <c r="F31" s="67" t="s">
        <v>80</v>
      </c>
      <c r="G31" s="67" t="s">
        <v>183</v>
      </c>
      <c r="H31" s="143" t="s">
        <v>33</v>
      </c>
      <c r="I31" s="85"/>
      <c r="J31" s="85"/>
      <c r="K31" s="144"/>
      <c r="L31" s="144">
        <v>850.0</v>
      </c>
      <c r="M31" s="74">
        <v>850.0</v>
      </c>
      <c r="N31" s="145">
        <v>46009.0</v>
      </c>
      <c r="O31" s="74">
        <v>0.0</v>
      </c>
      <c r="P31" s="75"/>
      <c r="Q31" s="74">
        <v>850.0</v>
      </c>
      <c r="R31" s="146">
        <v>45947.0</v>
      </c>
      <c r="S31" s="74">
        <v>850.0</v>
      </c>
      <c r="T31" s="76">
        <v>45919.0</v>
      </c>
      <c r="U31" s="74">
        <v>850.0</v>
      </c>
      <c r="V31" s="77">
        <v>45889.0</v>
      </c>
      <c r="W31" s="74">
        <v>850.0</v>
      </c>
      <c r="X31" s="77">
        <v>45861.0</v>
      </c>
      <c r="Y31" s="74">
        <v>850.0</v>
      </c>
      <c r="Z31" s="77">
        <v>45826.0</v>
      </c>
      <c r="AA31" s="74">
        <v>850.0</v>
      </c>
      <c r="AB31" s="147">
        <v>45797.0</v>
      </c>
      <c r="AC31" s="74"/>
      <c r="AD31" s="77"/>
      <c r="AE31" s="74"/>
      <c r="AF31" s="78"/>
      <c r="AG31" s="74"/>
      <c r="AH31" s="77"/>
      <c r="AI31" s="89"/>
      <c r="AJ31" s="77"/>
      <c r="AK31" s="90"/>
      <c r="AL31" s="90"/>
      <c r="AM31" s="90"/>
      <c r="AN31" s="90"/>
      <c r="AO31" s="90"/>
      <c r="AP31" s="90"/>
      <c r="AQ31" s="90"/>
      <c r="AR31" s="90"/>
      <c r="AS31" s="90"/>
      <c r="AT31" s="90"/>
      <c r="AU31" s="90"/>
      <c r="AV31" s="90"/>
    </row>
    <row r="32" ht="30.75" customHeight="1">
      <c r="A32" s="80">
        <v>40.0</v>
      </c>
      <c r="B32" s="141">
        <v>35.0</v>
      </c>
      <c r="C32" s="116" t="s">
        <v>184</v>
      </c>
      <c r="D32" s="148"/>
      <c r="E32" s="139"/>
      <c r="F32" s="67" t="s">
        <v>80</v>
      </c>
      <c r="G32" s="109" t="s">
        <v>185</v>
      </c>
      <c r="H32" s="143" t="s">
        <v>43</v>
      </c>
      <c r="I32" s="85"/>
      <c r="J32" s="85" t="s">
        <v>131</v>
      </c>
      <c r="K32" s="149" t="s">
        <v>186</v>
      </c>
      <c r="L32" s="144">
        <v>925.0</v>
      </c>
      <c r="M32" s="111">
        <v>925.0</v>
      </c>
      <c r="N32" s="75"/>
      <c r="O32" s="111">
        <v>925.0</v>
      </c>
      <c r="P32" s="75"/>
      <c r="Q32" s="74">
        <v>925.0</v>
      </c>
      <c r="R32" s="75"/>
      <c r="S32" s="74">
        <v>925.0</v>
      </c>
      <c r="T32" s="76">
        <v>45919.0</v>
      </c>
      <c r="U32" s="74">
        <v>925.0</v>
      </c>
      <c r="V32" s="77"/>
      <c r="W32" s="74">
        <v>925.0</v>
      </c>
      <c r="X32" s="74"/>
      <c r="Y32" s="74">
        <v>925.0</v>
      </c>
      <c r="Z32" s="77">
        <v>45848.0</v>
      </c>
      <c r="AA32" s="74">
        <v>1680.0</v>
      </c>
      <c r="AB32" s="113">
        <v>45818.0</v>
      </c>
      <c r="AC32" s="74">
        <v>840.0</v>
      </c>
      <c r="AD32" s="77">
        <v>45763.0</v>
      </c>
      <c r="AE32" s="74">
        <v>840.0</v>
      </c>
      <c r="AF32" s="78">
        <v>45735.0</v>
      </c>
      <c r="AG32" s="74">
        <v>840.0</v>
      </c>
      <c r="AH32" s="77">
        <v>45706.0</v>
      </c>
      <c r="AI32" s="89">
        <v>840.0</v>
      </c>
      <c r="AJ32" s="77">
        <v>45678.0</v>
      </c>
      <c r="AK32" s="90"/>
      <c r="AL32" s="90"/>
      <c r="AM32" s="90"/>
      <c r="AN32" s="90"/>
      <c r="AO32" s="90"/>
      <c r="AP32" s="90"/>
      <c r="AQ32" s="90"/>
      <c r="AR32" s="90"/>
      <c r="AS32" s="90"/>
      <c r="AT32" s="90"/>
      <c r="AU32" s="90"/>
      <c r="AV32" s="90"/>
    </row>
    <row r="33" ht="27.0" customHeight="1">
      <c r="A33" s="150">
        <v>13.0</v>
      </c>
      <c r="B33" s="151">
        <v>13.0</v>
      </c>
      <c r="C33" s="152" t="s">
        <v>187</v>
      </c>
      <c r="D33" s="153">
        <v>4.0</v>
      </c>
      <c r="E33" s="154" t="s">
        <v>188</v>
      </c>
      <c r="F33" s="155" t="s">
        <v>189</v>
      </c>
      <c r="G33" s="155" t="s">
        <v>190</v>
      </c>
      <c r="H33" s="156" t="s">
        <v>43</v>
      </c>
      <c r="I33" s="157"/>
      <c r="J33" s="158" t="s">
        <v>99</v>
      </c>
      <c r="K33" s="159"/>
      <c r="L33" s="160">
        <v>989.0</v>
      </c>
      <c r="M33" s="161">
        <v>989.0</v>
      </c>
      <c r="N33" s="162">
        <v>46009.0</v>
      </c>
      <c r="O33" s="161">
        <v>989.0</v>
      </c>
      <c r="P33" s="162">
        <v>45979.0</v>
      </c>
      <c r="Q33" s="161">
        <v>989.0</v>
      </c>
      <c r="R33" s="162">
        <v>45947.0</v>
      </c>
      <c r="S33" s="161">
        <v>989.0</v>
      </c>
      <c r="T33" s="163">
        <v>45919.0</v>
      </c>
      <c r="U33" s="161">
        <v>989.0</v>
      </c>
      <c r="V33" s="161">
        <v>989.0</v>
      </c>
      <c r="W33" s="161">
        <v>750.0</v>
      </c>
      <c r="X33" s="164">
        <v>45857.0</v>
      </c>
      <c r="Y33" s="161">
        <v>750.0</v>
      </c>
      <c r="Z33" s="164">
        <v>45827.0</v>
      </c>
      <c r="AA33" s="161">
        <v>750.0</v>
      </c>
      <c r="AB33" s="165">
        <v>45797.0</v>
      </c>
      <c r="AC33" s="161">
        <v>750.0</v>
      </c>
      <c r="AD33" s="164">
        <v>45764.0</v>
      </c>
      <c r="AE33" s="161">
        <v>750.0</v>
      </c>
      <c r="AF33" s="165">
        <v>45735.0</v>
      </c>
      <c r="AG33" s="161">
        <v>750.0</v>
      </c>
      <c r="AH33" s="164">
        <v>45706.0</v>
      </c>
      <c r="AI33" s="166">
        <v>750.0</v>
      </c>
      <c r="AJ33" s="164">
        <v>45678.0</v>
      </c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</row>
    <row r="34" ht="27.0" customHeight="1">
      <c r="A34" s="62">
        <v>13.0</v>
      </c>
      <c r="B34" s="63">
        <v>13.0</v>
      </c>
      <c r="C34" s="108" t="s">
        <v>187</v>
      </c>
      <c r="D34" s="65">
        <v>4.0</v>
      </c>
      <c r="E34" s="66" t="s">
        <v>188</v>
      </c>
      <c r="F34" s="67" t="s">
        <v>189</v>
      </c>
      <c r="G34" s="67"/>
      <c r="H34" s="84" t="s">
        <v>191</v>
      </c>
      <c r="I34" s="85" t="s">
        <v>192</v>
      </c>
      <c r="J34" s="71" t="s">
        <v>99</v>
      </c>
      <c r="K34" s="86" t="s">
        <v>193</v>
      </c>
      <c r="L34" s="105" t="s">
        <v>193</v>
      </c>
      <c r="M34" s="74"/>
      <c r="N34" s="75"/>
      <c r="O34" s="74"/>
      <c r="P34" s="75"/>
      <c r="Q34" s="74"/>
      <c r="R34" s="75"/>
      <c r="S34" s="74"/>
      <c r="T34" s="76"/>
      <c r="U34" s="74"/>
      <c r="V34" s="74"/>
      <c r="W34" s="168"/>
      <c r="X34" s="88"/>
      <c r="Y34" s="74"/>
      <c r="Z34" s="77"/>
      <c r="AA34" s="74"/>
      <c r="AB34" s="78"/>
      <c r="AC34" s="74"/>
      <c r="AD34" s="77"/>
      <c r="AE34" s="74"/>
      <c r="AF34" s="78"/>
      <c r="AG34" s="74"/>
      <c r="AH34" s="77"/>
      <c r="AI34" s="89"/>
      <c r="AJ34" s="77"/>
      <c r="AK34" s="90"/>
      <c r="AL34" s="90"/>
      <c r="AM34" s="90"/>
      <c r="AN34" s="90"/>
      <c r="AO34" s="90"/>
      <c r="AP34" s="90"/>
      <c r="AQ34" s="90"/>
      <c r="AR34" s="90"/>
      <c r="AS34" s="90"/>
      <c r="AT34" s="90"/>
      <c r="AU34" s="90"/>
      <c r="AV34" s="90"/>
    </row>
    <row r="35">
      <c r="A35" s="80">
        <v>14.0</v>
      </c>
      <c r="B35" s="81">
        <v>14.0</v>
      </c>
      <c r="C35" s="82" t="s">
        <v>194</v>
      </c>
      <c r="D35" s="65">
        <v>2.0</v>
      </c>
      <c r="E35" s="169" t="s">
        <v>195</v>
      </c>
      <c r="F35" s="67" t="s">
        <v>189</v>
      </c>
      <c r="G35" s="67" t="s">
        <v>196</v>
      </c>
      <c r="H35" s="170" t="s">
        <v>43</v>
      </c>
      <c r="I35" s="171">
        <v>3.1030631761E10</v>
      </c>
      <c r="J35" s="85" t="s">
        <v>99</v>
      </c>
      <c r="K35" s="172"/>
      <c r="L35" s="105">
        <v>1070.0</v>
      </c>
      <c r="M35" s="94">
        <v>1071.0</v>
      </c>
      <c r="N35" s="75">
        <v>46009.0</v>
      </c>
      <c r="O35" s="94">
        <v>1070.0</v>
      </c>
      <c r="P35" s="75">
        <v>45979.0</v>
      </c>
      <c r="Q35" s="94">
        <v>1070.0</v>
      </c>
      <c r="R35" s="75">
        <v>45947.0</v>
      </c>
      <c r="S35" s="94">
        <v>1070.0</v>
      </c>
      <c r="T35" s="76">
        <v>45919.0</v>
      </c>
      <c r="U35" s="94">
        <v>965.0</v>
      </c>
      <c r="V35" s="74">
        <v>965.0</v>
      </c>
      <c r="W35" s="94">
        <v>965.0</v>
      </c>
      <c r="X35" s="77">
        <v>45861.0</v>
      </c>
      <c r="Y35" s="94">
        <v>965.0</v>
      </c>
      <c r="Z35" s="77">
        <v>45826.0</v>
      </c>
      <c r="AA35" s="94">
        <v>965.0</v>
      </c>
      <c r="AB35" s="78">
        <v>45797.0</v>
      </c>
      <c r="AC35" s="94">
        <v>965.0</v>
      </c>
      <c r="AD35" s="77">
        <v>45763.0</v>
      </c>
      <c r="AE35" s="94">
        <v>965.0</v>
      </c>
      <c r="AF35" s="78">
        <v>45735.0</v>
      </c>
      <c r="AG35" s="94">
        <v>0.0</v>
      </c>
      <c r="AH35" s="77"/>
      <c r="AI35" s="89">
        <v>915.0</v>
      </c>
      <c r="AJ35" s="77"/>
      <c r="AK35" s="90"/>
      <c r="AL35" s="90"/>
      <c r="AM35" s="90"/>
      <c r="AN35" s="90"/>
      <c r="AO35" s="90"/>
      <c r="AP35" s="90"/>
      <c r="AQ35" s="90"/>
      <c r="AR35" s="90"/>
      <c r="AS35" s="90"/>
      <c r="AT35" s="90"/>
      <c r="AU35" s="90"/>
      <c r="AV35" s="90"/>
    </row>
    <row r="36" ht="30.75" customHeight="1">
      <c r="A36" s="62">
        <v>15.0</v>
      </c>
      <c r="B36" s="63">
        <v>15.0</v>
      </c>
      <c r="C36" s="64" t="s">
        <v>197</v>
      </c>
      <c r="D36" s="65">
        <v>2.0</v>
      </c>
      <c r="E36" s="66" t="s">
        <v>198</v>
      </c>
      <c r="F36" s="67" t="s">
        <v>189</v>
      </c>
      <c r="G36" s="68" t="s">
        <v>199</v>
      </c>
      <c r="H36" s="69" t="s">
        <v>41</v>
      </c>
      <c r="I36" s="104" t="s">
        <v>200</v>
      </c>
      <c r="J36" s="71" t="s">
        <v>99</v>
      </c>
      <c r="K36" s="173" t="s">
        <v>201</v>
      </c>
      <c r="L36" s="105" t="s">
        <v>202</v>
      </c>
      <c r="M36" s="74">
        <v>695.0</v>
      </c>
      <c r="N36" s="75">
        <v>46009.0</v>
      </c>
      <c r="O36" s="74">
        <v>695.0</v>
      </c>
      <c r="P36" s="75">
        <v>45980.0</v>
      </c>
      <c r="Q36" s="74">
        <v>695.0</v>
      </c>
      <c r="R36" s="75">
        <v>45947.0</v>
      </c>
      <c r="S36" s="74">
        <v>695.0</v>
      </c>
      <c r="T36" s="76">
        <v>45919.0</v>
      </c>
      <c r="U36" s="74">
        <v>695.0</v>
      </c>
      <c r="V36" s="74">
        <v>695.0</v>
      </c>
      <c r="W36" s="74">
        <v>695.0</v>
      </c>
      <c r="X36" s="77">
        <v>45861.0</v>
      </c>
      <c r="Y36" s="74">
        <v>695.0</v>
      </c>
      <c r="Z36" s="77">
        <v>45826.0</v>
      </c>
      <c r="AA36" s="74">
        <v>695.0</v>
      </c>
      <c r="AB36" s="77">
        <v>45797.0</v>
      </c>
      <c r="AC36" s="74">
        <v>695.0</v>
      </c>
      <c r="AD36" s="77">
        <v>45763.0</v>
      </c>
      <c r="AE36" s="74">
        <v>695.0</v>
      </c>
      <c r="AF36" s="78">
        <v>45735.0</v>
      </c>
      <c r="AG36" s="74">
        <v>695.0</v>
      </c>
      <c r="AH36" s="77">
        <v>45706.0</v>
      </c>
      <c r="AI36" s="89">
        <v>695.0</v>
      </c>
      <c r="AJ36" s="77">
        <v>45678.0</v>
      </c>
    </row>
    <row r="37" ht="48.0" customHeight="1">
      <c r="A37" s="80">
        <v>16.0</v>
      </c>
      <c r="B37" s="81">
        <v>16.0</v>
      </c>
      <c r="C37" s="126" t="s">
        <v>203</v>
      </c>
      <c r="D37" s="65">
        <v>3.0</v>
      </c>
      <c r="E37" s="66" t="s">
        <v>204</v>
      </c>
      <c r="F37" s="67" t="s">
        <v>189</v>
      </c>
      <c r="G37" s="68" t="s">
        <v>205</v>
      </c>
      <c r="H37" s="69" t="s">
        <v>50</v>
      </c>
      <c r="I37" s="93">
        <v>1.02032812E8</v>
      </c>
      <c r="J37" s="71" t="s">
        <v>99</v>
      </c>
      <c r="K37" s="72" t="s">
        <v>91</v>
      </c>
      <c r="L37" s="103">
        <v>590.0</v>
      </c>
      <c r="M37" s="74">
        <v>590.0</v>
      </c>
      <c r="N37" s="75">
        <v>46009.0</v>
      </c>
      <c r="O37" s="74">
        <v>590.0</v>
      </c>
      <c r="P37" s="75">
        <v>45980.0</v>
      </c>
      <c r="Q37" s="74">
        <v>590.0</v>
      </c>
      <c r="R37" s="75">
        <v>45947.0</v>
      </c>
      <c r="S37" s="74">
        <v>590.0</v>
      </c>
      <c r="T37" s="76">
        <v>45919.0</v>
      </c>
      <c r="U37" s="74">
        <v>590.0</v>
      </c>
      <c r="V37" s="74">
        <v>590.0</v>
      </c>
      <c r="W37" s="74">
        <v>590.0</v>
      </c>
      <c r="X37" s="77">
        <v>45861.0</v>
      </c>
      <c r="Y37" s="74">
        <v>569.0</v>
      </c>
      <c r="Z37" s="77">
        <v>45827.0</v>
      </c>
      <c r="AA37" s="74">
        <v>569.0</v>
      </c>
      <c r="AB37" s="77">
        <v>45797.0</v>
      </c>
      <c r="AC37" s="74">
        <v>569.0</v>
      </c>
      <c r="AD37" s="77">
        <v>45763.0</v>
      </c>
      <c r="AE37" s="74">
        <v>569.0</v>
      </c>
      <c r="AF37" s="78">
        <v>45735.0</v>
      </c>
      <c r="AG37" s="74">
        <v>569.0</v>
      </c>
      <c r="AH37" s="77">
        <v>45706.0</v>
      </c>
      <c r="AI37" s="89">
        <v>569.0</v>
      </c>
      <c r="AJ37" s="77">
        <v>45678.0</v>
      </c>
    </row>
    <row r="38" ht="42.0" customHeight="1">
      <c r="A38" s="62">
        <v>17.0</v>
      </c>
      <c r="B38" s="63">
        <v>17.0</v>
      </c>
      <c r="C38" s="126" t="s">
        <v>206</v>
      </c>
      <c r="D38" s="65">
        <v>2.0</v>
      </c>
      <c r="E38" s="106" t="s">
        <v>207</v>
      </c>
      <c r="F38" s="67" t="s">
        <v>189</v>
      </c>
      <c r="G38" s="68" t="s">
        <v>208</v>
      </c>
      <c r="H38" s="69" t="s">
        <v>50</v>
      </c>
      <c r="I38" s="71">
        <v>1.05556984E8</v>
      </c>
      <c r="J38" s="71" t="s">
        <v>99</v>
      </c>
      <c r="K38" s="72" t="s">
        <v>91</v>
      </c>
      <c r="L38" s="105">
        <v>600.0</v>
      </c>
      <c r="M38" s="74">
        <v>600.0</v>
      </c>
      <c r="N38" s="75">
        <v>46009.0</v>
      </c>
      <c r="O38" s="74">
        <v>600.0</v>
      </c>
      <c r="P38" s="75">
        <v>45980.0</v>
      </c>
      <c r="Q38" s="74">
        <v>600.0</v>
      </c>
      <c r="R38" s="75">
        <v>45947.0</v>
      </c>
      <c r="S38" s="74">
        <v>600.0</v>
      </c>
      <c r="T38" s="76">
        <v>45919.0</v>
      </c>
      <c r="U38" s="74">
        <v>600.0</v>
      </c>
      <c r="V38" s="74">
        <v>600.0</v>
      </c>
      <c r="W38" s="74">
        <v>600.0</v>
      </c>
      <c r="X38" s="77">
        <v>45861.0</v>
      </c>
      <c r="Y38" s="74">
        <v>600.0</v>
      </c>
      <c r="Z38" s="77">
        <v>45827.0</v>
      </c>
      <c r="AA38" s="74">
        <v>600.0</v>
      </c>
      <c r="AB38" s="77">
        <v>45797.0</v>
      </c>
      <c r="AC38" s="74">
        <v>600.0</v>
      </c>
      <c r="AD38" s="77">
        <v>45763.0</v>
      </c>
      <c r="AE38" s="74">
        <v>600.0</v>
      </c>
      <c r="AF38" s="78">
        <v>45735.0</v>
      </c>
      <c r="AG38" s="74">
        <v>600.0</v>
      </c>
      <c r="AH38" s="77">
        <v>45706.0</v>
      </c>
      <c r="AI38" s="89">
        <v>600.0</v>
      </c>
      <c r="AJ38" s="77">
        <v>45678.0</v>
      </c>
    </row>
    <row r="39" ht="33.75" customHeight="1">
      <c r="A39" s="80">
        <v>18.0</v>
      </c>
      <c r="B39" s="81">
        <v>18.0</v>
      </c>
      <c r="C39" s="126" t="s">
        <v>209</v>
      </c>
      <c r="D39" s="65">
        <v>2.0</v>
      </c>
      <c r="E39" s="174" t="s">
        <v>210</v>
      </c>
      <c r="F39" s="67" t="s">
        <v>189</v>
      </c>
      <c r="G39" s="68" t="s">
        <v>211</v>
      </c>
      <c r="H39" s="69" t="s">
        <v>50</v>
      </c>
      <c r="I39" s="175" t="s">
        <v>212</v>
      </c>
      <c r="J39" s="71" t="s">
        <v>131</v>
      </c>
      <c r="K39" s="72" t="s">
        <v>91</v>
      </c>
      <c r="L39" s="105">
        <v>490.0</v>
      </c>
      <c r="M39" s="74">
        <v>490.0</v>
      </c>
      <c r="N39" s="75">
        <v>46009.0</v>
      </c>
      <c r="O39" s="74">
        <v>490.0</v>
      </c>
      <c r="P39" s="75">
        <v>45980.0</v>
      </c>
      <c r="Q39" s="74">
        <v>490.0</v>
      </c>
      <c r="R39" s="75">
        <v>45947.0</v>
      </c>
      <c r="S39" s="74">
        <v>490.0</v>
      </c>
      <c r="T39" s="76">
        <v>45919.0</v>
      </c>
      <c r="U39" s="74">
        <v>490.0</v>
      </c>
      <c r="V39" s="74">
        <v>490.0</v>
      </c>
      <c r="W39" s="74">
        <v>490.0</v>
      </c>
      <c r="X39" s="77">
        <v>45861.0</v>
      </c>
      <c r="Y39" s="74">
        <v>490.0</v>
      </c>
      <c r="Z39" s="77">
        <v>45827.0</v>
      </c>
      <c r="AA39" s="74">
        <v>490.0</v>
      </c>
      <c r="AB39" s="77">
        <v>45797.0</v>
      </c>
      <c r="AC39" s="74">
        <v>490.0</v>
      </c>
      <c r="AD39" s="77">
        <v>45763.0</v>
      </c>
      <c r="AE39" s="74">
        <v>490.0</v>
      </c>
      <c r="AF39" s="78">
        <v>45735.0</v>
      </c>
      <c r="AG39" s="74">
        <v>490.0</v>
      </c>
      <c r="AH39" s="77">
        <v>45706.0</v>
      </c>
      <c r="AI39" s="89">
        <v>490.0</v>
      </c>
      <c r="AJ39" s="77">
        <v>45678.0</v>
      </c>
    </row>
    <row r="40" ht="57.75" customHeight="1">
      <c r="A40" s="80">
        <v>18.0</v>
      </c>
      <c r="B40" s="63">
        <v>18.0</v>
      </c>
      <c r="C40" s="101" t="s">
        <v>213</v>
      </c>
      <c r="D40" s="65">
        <v>5.0</v>
      </c>
      <c r="E40" s="95" t="s">
        <v>214</v>
      </c>
      <c r="F40" s="67" t="s">
        <v>189</v>
      </c>
      <c r="G40" s="67" t="s">
        <v>215</v>
      </c>
      <c r="H40" s="123" t="s">
        <v>43</v>
      </c>
      <c r="I40" s="176">
        <v>3.1039260179E10</v>
      </c>
      <c r="J40" s="71" t="s">
        <v>99</v>
      </c>
      <c r="K40" s="86" t="s">
        <v>109</v>
      </c>
      <c r="L40" s="105" t="s">
        <v>216</v>
      </c>
      <c r="M40" s="74">
        <v>450.0</v>
      </c>
      <c r="N40" s="75">
        <v>46009.0</v>
      </c>
      <c r="O40" s="74">
        <v>450.0</v>
      </c>
      <c r="P40" s="75">
        <v>45980.0</v>
      </c>
      <c r="Q40" s="74">
        <v>450.0</v>
      </c>
      <c r="R40" s="75">
        <v>45947.0</v>
      </c>
      <c r="S40" s="74">
        <v>450.0</v>
      </c>
      <c r="T40" s="76">
        <v>45919.0</v>
      </c>
      <c r="U40" s="74">
        <v>450.0</v>
      </c>
      <c r="V40" s="74">
        <v>450.0</v>
      </c>
      <c r="W40" s="74">
        <v>450.0</v>
      </c>
      <c r="X40" s="77">
        <v>45861.0</v>
      </c>
      <c r="Y40" s="74">
        <v>450.0</v>
      </c>
      <c r="Z40" s="77">
        <v>45827.0</v>
      </c>
      <c r="AA40" s="74">
        <v>450.0</v>
      </c>
      <c r="AB40" s="78">
        <v>45797.0</v>
      </c>
      <c r="AC40" s="74">
        <v>450.0</v>
      </c>
      <c r="AD40" s="77">
        <v>45764.0</v>
      </c>
      <c r="AE40" s="74">
        <v>450.0</v>
      </c>
      <c r="AF40" s="78">
        <v>45735.0</v>
      </c>
      <c r="AG40" s="74">
        <v>450.0</v>
      </c>
      <c r="AH40" s="77">
        <v>45706.0</v>
      </c>
      <c r="AI40" s="89">
        <v>450.0</v>
      </c>
      <c r="AJ40" s="77">
        <v>45678.0</v>
      </c>
      <c r="AK40" s="90"/>
      <c r="AL40" s="90"/>
      <c r="AM40" s="90"/>
      <c r="AN40" s="90"/>
      <c r="AO40" s="90"/>
      <c r="AP40" s="90"/>
      <c r="AQ40" s="90"/>
      <c r="AR40" s="90"/>
      <c r="AS40" s="90"/>
      <c r="AT40" s="90"/>
      <c r="AU40" s="90"/>
      <c r="AV40" s="90"/>
    </row>
    <row r="41" ht="33.0" customHeight="1">
      <c r="A41" s="62">
        <v>19.0</v>
      </c>
      <c r="B41" s="63">
        <v>19.0</v>
      </c>
      <c r="C41" s="82" t="s">
        <v>217</v>
      </c>
      <c r="D41" s="65">
        <v>3.0</v>
      </c>
      <c r="E41" s="177" t="s">
        <v>218</v>
      </c>
      <c r="F41" s="67" t="s">
        <v>189</v>
      </c>
      <c r="G41" s="67" t="s">
        <v>219</v>
      </c>
      <c r="H41" s="178" t="s">
        <v>220</v>
      </c>
      <c r="I41" s="179" t="s">
        <v>221</v>
      </c>
      <c r="J41" s="71" t="s">
        <v>99</v>
      </c>
      <c r="K41" s="86"/>
      <c r="L41" s="105">
        <v>390.0</v>
      </c>
      <c r="M41" s="74">
        <v>390.0</v>
      </c>
      <c r="N41" s="75">
        <v>46009.0</v>
      </c>
      <c r="O41" s="74">
        <v>390.0</v>
      </c>
      <c r="P41" s="75">
        <v>45980.0</v>
      </c>
      <c r="Q41" s="74">
        <v>390.0</v>
      </c>
      <c r="R41" s="75">
        <v>45947.0</v>
      </c>
      <c r="S41" s="74">
        <v>390.0</v>
      </c>
      <c r="T41" s="76">
        <v>45919.0</v>
      </c>
      <c r="U41" s="74">
        <v>390.0</v>
      </c>
      <c r="V41" s="74">
        <v>390.0</v>
      </c>
      <c r="W41" s="74">
        <v>390.0</v>
      </c>
      <c r="X41" s="77">
        <v>45861.0</v>
      </c>
      <c r="Y41" s="74">
        <v>390.0</v>
      </c>
      <c r="Z41" s="77">
        <v>45826.0</v>
      </c>
      <c r="AA41" s="74">
        <v>390.0</v>
      </c>
      <c r="AB41" s="77">
        <v>45797.0</v>
      </c>
      <c r="AC41" s="74">
        <v>390.0</v>
      </c>
      <c r="AD41" s="77">
        <v>45763.0</v>
      </c>
      <c r="AE41" s="74">
        <v>390.0</v>
      </c>
      <c r="AF41" s="78">
        <v>45735.0</v>
      </c>
      <c r="AG41" s="74">
        <v>390.0</v>
      </c>
      <c r="AH41" s="77">
        <v>45706.0</v>
      </c>
      <c r="AI41" s="89">
        <v>390.0</v>
      </c>
      <c r="AJ41" s="77">
        <v>45678.0</v>
      </c>
      <c r="AK41" s="90"/>
      <c r="AL41" s="90"/>
      <c r="AM41" s="90"/>
      <c r="AN41" s="90"/>
      <c r="AO41" s="90"/>
      <c r="AP41" s="90"/>
      <c r="AQ41" s="90"/>
      <c r="AR41" s="90"/>
      <c r="AS41" s="90"/>
      <c r="AT41" s="90"/>
      <c r="AU41" s="90"/>
      <c r="AV41" s="90"/>
    </row>
    <row r="42" ht="29.25" customHeight="1">
      <c r="A42" s="180"/>
      <c r="B42" s="181"/>
      <c r="C42" s="182"/>
      <c r="D42" s="183"/>
      <c r="E42" s="183"/>
      <c r="F42" s="183"/>
      <c r="G42" s="183"/>
      <c r="H42" s="184"/>
      <c r="I42" s="184"/>
      <c r="J42" s="184"/>
      <c r="K42" s="184"/>
      <c r="L42" s="185"/>
      <c r="M42" s="186">
        <f>SUM(M2:M41)</f>
        <v>27771</v>
      </c>
      <c r="N42" s="186"/>
      <c r="O42" s="186">
        <f>SUM(O2:O41)</f>
        <v>26860</v>
      </c>
      <c r="P42" s="186"/>
      <c r="Q42" s="186">
        <f>SUM(Q2:Q41)</f>
        <v>27710</v>
      </c>
      <c r="R42" s="186"/>
      <c r="S42" s="186">
        <f>SUM(S2:S41)</f>
        <v>27540</v>
      </c>
      <c r="T42" s="186"/>
      <c r="U42" s="186">
        <f>SUM(U2:U41)</f>
        <v>26325</v>
      </c>
      <c r="V42" s="186"/>
      <c r="W42" s="186">
        <f>SUM(W2:W41)</f>
        <v>26056</v>
      </c>
      <c r="X42" s="186"/>
      <c r="Y42" s="186">
        <f>SUM(Y2:Y41)</f>
        <v>26005</v>
      </c>
      <c r="Z42" s="186"/>
      <c r="AA42" s="186">
        <f>SUM(AA2:AA41)</f>
        <v>26800</v>
      </c>
      <c r="AB42" s="186"/>
      <c r="AC42" s="186">
        <f>SUM(AC2:AC41)</f>
        <v>25349</v>
      </c>
      <c r="AD42" s="186"/>
      <c r="AE42" s="186">
        <f>SUM(AE2:AE41)</f>
        <v>23479</v>
      </c>
      <c r="AF42" s="186"/>
      <c r="AG42" s="186">
        <f>SUM(AG2:AG41)</f>
        <v>23594</v>
      </c>
      <c r="AH42" s="186"/>
      <c r="AI42" s="186">
        <f>SUM(AI2:AI41)</f>
        <v>23659</v>
      </c>
      <c r="AJ42" s="186"/>
    </row>
    <row r="43">
      <c r="D43" s="187"/>
      <c r="E43" s="90"/>
      <c r="F43" s="90"/>
      <c r="AE43" s="90"/>
      <c r="AF43" s="90"/>
      <c r="AG43" s="90"/>
      <c r="AH43" s="90"/>
      <c r="AI43" s="90"/>
    </row>
    <row r="44">
      <c r="A44" s="188"/>
      <c r="B44" s="188"/>
      <c r="C44" s="188"/>
      <c r="D44" s="189"/>
      <c r="E44" s="188"/>
      <c r="F44" s="188"/>
      <c r="G44" s="188"/>
      <c r="H44" s="188"/>
      <c r="I44" s="188"/>
      <c r="J44" s="188"/>
      <c r="K44" s="188"/>
      <c r="L44" s="190" t="s">
        <v>222</v>
      </c>
      <c r="M44" s="188">
        <f>SUM(M2:M32)</f>
        <v>22496</v>
      </c>
      <c r="N44" s="188"/>
      <c r="O44" s="188">
        <f>SUM(O2:O32)</f>
        <v>21586</v>
      </c>
      <c r="P44" s="188"/>
      <c r="Q44" s="188">
        <f>SUM(Q2:Q32)</f>
        <v>22436</v>
      </c>
      <c r="R44" s="188"/>
      <c r="S44" s="188">
        <f>SUM(S2:S32)</f>
        <v>22266</v>
      </c>
      <c r="T44" s="188"/>
      <c r="U44" s="188">
        <f>SUM(U2:U32)</f>
        <v>21156</v>
      </c>
      <c r="V44" s="188"/>
      <c r="W44" s="188">
        <f>SUM(W2:W32)</f>
        <v>21126</v>
      </c>
      <c r="X44" s="188"/>
      <c r="Y44" s="188">
        <f>SUM(Y2:Y32)</f>
        <v>21096</v>
      </c>
      <c r="Z44" s="188"/>
      <c r="AA44" s="191">
        <f>SUM(AA2:AA32)</f>
        <v>21891</v>
      </c>
      <c r="AB44" s="188"/>
      <c r="AC44" s="188">
        <f>SUM(AC2:AC32)</f>
        <v>20440</v>
      </c>
      <c r="AD44" s="188"/>
      <c r="AE44" s="192">
        <f>SUM(AE2:AE32)</f>
        <v>18570</v>
      </c>
      <c r="AF44" s="188"/>
      <c r="AG44" s="188">
        <f>SUM(AG2:AG32)</f>
        <v>19650</v>
      </c>
      <c r="AH44" s="188"/>
      <c r="AI44" s="188">
        <f>SUM(AI2:AI32)</f>
        <v>18800</v>
      </c>
      <c r="AJ44" s="188"/>
      <c r="AK44" s="191">
        <f t="shared" ref="AK44:AK45" si="1">SUM(M44:AI44)</f>
        <v>251513</v>
      </c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</row>
    <row r="45">
      <c r="A45" s="188"/>
      <c r="B45" s="188"/>
      <c r="C45" s="188"/>
      <c r="D45" s="189"/>
      <c r="E45" s="188"/>
      <c r="F45" s="188"/>
      <c r="G45" s="188"/>
      <c r="H45" s="188"/>
      <c r="I45" s="188"/>
      <c r="J45" s="188"/>
      <c r="K45" s="188"/>
      <c r="L45" s="190" t="s">
        <v>223</v>
      </c>
      <c r="M45" s="188">
        <f>SUM(M33:M41)</f>
        <v>5275</v>
      </c>
      <c r="N45" s="188"/>
      <c r="O45" s="188">
        <f>SUM(O33:O41)</f>
        <v>5274</v>
      </c>
      <c r="P45" s="188"/>
      <c r="Q45" s="188">
        <f>SUM(Q33:Q41)</f>
        <v>5274</v>
      </c>
      <c r="R45" s="188"/>
      <c r="S45" s="188">
        <f>SUM(S33:S41)</f>
        <v>5274</v>
      </c>
      <c r="T45" s="188"/>
      <c r="U45" s="188">
        <f>SUM(U33:U41)</f>
        <v>5169</v>
      </c>
      <c r="V45" s="188"/>
      <c r="W45" s="188">
        <f>SUM(W33:W41)</f>
        <v>4930</v>
      </c>
      <c r="X45" s="188"/>
      <c r="Y45" s="188">
        <f>SUM(Y33:Y41)</f>
        <v>4909</v>
      </c>
      <c r="Z45" s="188"/>
      <c r="AA45" s="191">
        <f>SUM(AA33:AA41)</f>
        <v>4909</v>
      </c>
      <c r="AB45" s="188"/>
      <c r="AC45" s="188">
        <f>SUM(AC33:AC41)</f>
        <v>4909</v>
      </c>
      <c r="AD45" s="188"/>
      <c r="AE45" s="192">
        <f>SUM(AE33:AE41)</f>
        <v>4909</v>
      </c>
      <c r="AF45" s="188"/>
      <c r="AG45" s="188">
        <f>SUM(AG33:AG41)</f>
        <v>3944</v>
      </c>
      <c r="AH45" s="188"/>
      <c r="AI45" s="188">
        <f>SUM(AI33:AI41)</f>
        <v>4859</v>
      </c>
      <c r="AJ45" s="188"/>
      <c r="AK45" s="191">
        <f t="shared" si="1"/>
        <v>59635</v>
      </c>
      <c r="AL45" s="188"/>
      <c r="AM45" s="188"/>
      <c r="AN45" s="188"/>
      <c r="AO45" s="188"/>
      <c r="AP45" s="188"/>
      <c r="AQ45" s="188"/>
      <c r="AR45" s="188"/>
      <c r="AS45" s="188"/>
      <c r="AT45" s="188"/>
      <c r="AU45" s="188"/>
      <c r="AV45" s="188"/>
    </row>
    <row r="46">
      <c r="A46" s="193"/>
      <c r="B46" s="193"/>
      <c r="C46" s="193"/>
      <c r="D46" s="194"/>
      <c r="E46" s="195"/>
      <c r="F46" s="195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</row>
    <row r="47">
      <c r="D47" s="187"/>
      <c r="E47" s="90"/>
      <c r="F47" s="90"/>
      <c r="AA47" s="196">
        <v>85991.4</v>
      </c>
      <c r="AE47" s="197" t="s">
        <v>224</v>
      </c>
      <c r="AF47" s="90"/>
      <c r="AG47" s="90"/>
      <c r="AH47" s="90"/>
      <c r="AI47" s="90"/>
    </row>
    <row r="48">
      <c r="D48" s="187"/>
      <c r="E48" s="90"/>
      <c r="F48" s="90"/>
      <c r="I48" s="198"/>
      <c r="J48" s="198"/>
      <c r="K48" s="198"/>
      <c r="L48" s="198"/>
      <c r="M48" s="199">
        <f>M42+'Зеленодольск'!M30+'Иннополис'!N4+'Казань'!M17+'Зион'!O30+'Тюмень'!N100</f>
        <v>111056</v>
      </c>
      <c r="O48" s="199">
        <f>O42+'Зеленодольск'!O30+'Иннополис'!P4+'Казань'!O17+'Зион'!Q30+'Тюмень'!P100</f>
        <v>94999.01</v>
      </c>
      <c r="Q48" s="199">
        <f>Q42+'Зеленодольск'!Q30+'Иннополис'!R4+'Казань'!Q17+'Зион'!S30+'Тюмень'!R100</f>
        <v>96988</v>
      </c>
      <c r="S48" s="199">
        <f>S42+'Зеленодольск'!S30+'Иннополис'!T4+'Казань'!S17+'Зион'!U30+'Тюмень'!T100</f>
        <v>94619</v>
      </c>
      <c r="U48" s="199">
        <f>U42+'Зеленодольск'!U30+'Иннополис'!V4+'Казань'!U17+'Зион'!W30+'Тюмень'!V100</f>
        <v>92458.88</v>
      </c>
      <c r="W48" s="200">
        <f>W42+'Зеленодольск'!W30+'Казань'!W17+'Иннополис'!X4+'Зион'!Y30+'Тюмень'!X100+'Раниф тест'!T3</f>
        <v>89754</v>
      </c>
      <c r="Y48" s="200">
        <f>Y42+'Казань'!Y17+'Зеленодольск'!Y30+'Иннополис'!Z4+'Зион'!AA30+'Тюмень'!Z100+'Раниф тест'!V3</f>
        <v>87242</v>
      </c>
      <c r="AA48" s="196">
        <f>AA42+'Казань'!AA17+'Зеленодольск'!AA30+'Иннополис'!AB4+'Зион'!AC30+'Тюмень'!AB100+'Раниф тест'!X3</f>
        <v>85446.4</v>
      </c>
      <c r="AC48" s="200">
        <f>AC42+'Казань'!AC17+'Зеленодольск'!AC30+'Иннополис'!AD4+'Зион'!AE30+'Раниф тест'!Z3+'Тюмень'!AD100</f>
        <v>78900.86</v>
      </c>
      <c r="AE48" s="201">
        <f>AE42+'Казань'!AE17+'Зеленодольск'!AE30+'Иннополис'!AF4+'Зион'!AG30+'Раниф тест'!AB5+'Тюмень'!AF100+'Марат'!U2</f>
        <v>82888</v>
      </c>
      <c r="AF48" s="90"/>
      <c r="AG48" s="202">
        <f>AG42+'Казань'!AG17+'Зеленодольск'!AG30+'Иннополис'!AH4+'Тюмень'!AH100+'Зион'!AI41</f>
        <v>79593</v>
      </c>
      <c r="AH48" s="90"/>
      <c r="AI48" s="203">
        <f>AI42+'Казань'!AI17+'Зеленодольск'!AI30+'Тюмень'!AJ100+'Иннополис'!AJ4+'Зион'!AK30+'Зион'!AI30+'Раниф тест'!AF3</f>
        <v>85640.63</v>
      </c>
    </row>
    <row r="49">
      <c r="D49" s="187"/>
      <c r="E49" s="90"/>
      <c r="F49" s="90"/>
      <c r="I49" s="204"/>
      <c r="J49" s="204"/>
      <c r="K49" s="205"/>
      <c r="L49" s="205"/>
      <c r="O49" s="206">
        <v>518.0</v>
      </c>
      <c r="Q49" s="43" t="s">
        <v>225</v>
      </c>
      <c r="Y49" s="43" t="s">
        <v>226</v>
      </c>
      <c r="AA49" s="43">
        <v>600.0</v>
      </c>
      <c r="AB49" s="43" t="s">
        <v>227</v>
      </c>
      <c r="AC49" s="51">
        <v>600.0</v>
      </c>
      <c r="AD49" s="43" t="s">
        <v>228</v>
      </c>
      <c r="AE49" s="197">
        <v>699.0</v>
      </c>
      <c r="AF49" s="206" t="s">
        <v>229</v>
      </c>
      <c r="AG49" s="207"/>
      <c r="AH49" s="90"/>
      <c r="AI49" s="195"/>
    </row>
    <row r="50">
      <c r="C50" s="37"/>
      <c r="D50" s="187"/>
      <c r="E50" s="90"/>
      <c r="F50" s="90"/>
      <c r="G50" s="38"/>
      <c r="M50" s="90"/>
      <c r="O50" s="206">
        <v>322.0</v>
      </c>
      <c r="Q50" s="43">
        <v>91206.0</v>
      </c>
      <c r="Y50" s="43"/>
      <c r="AC50" s="51">
        <v>3500.0</v>
      </c>
      <c r="AD50" s="43" t="s">
        <v>230</v>
      </c>
      <c r="AE50" s="201">
        <f>AE48-AE49</f>
        <v>82189</v>
      </c>
      <c r="AF50" s="90"/>
      <c r="AG50" s="208"/>
      <c r="AH50" s="90"/>
      <c r="AI50" s="208">
        <f>AI42+'Казань'!AI17+'Зеленодольск'!AI30+'Иннополис'!AJ4+'Тюмень'!AJ100+'Зион'!AI30+'Зион'!AK30+'Раниф тест'!AF3</f>
        <v>85640.63</v>
      </c>
    </row>
    <row r="51">
      <c r="C51" s="37"/>
      <c r="D51" s="209"/>
      <c r="G51" s="39"/>
      <c r="AC51" s="193">
        <f>AC48+AC50</f>
        <v>82400.86</v>
      </c>
      <c r="AE51" s="90"/>
      <c r="AF51" s="90"/>
      <c r="AG51" s="90"/>
      <c r="AH51" s="90"/>
      <c r="AI51" s="90"/>
    </row>
    <row r="52">
      <c r="C52" s="36"/>
      <c r="D52" s="209"/>
      <c r="G52" s="36"/>
      <c r="AE52" s="90"/>
      <c r="AF52" s="90"/>
      <c r="AG52" s="90"/>
      <c r="AH52" s="90"/>
      <c r="AI52" s="90"/>
    </row>
    <row r="53">
      <c r="C53" s="37"/>
      <c r="D53" s="209"/>
      <c r="G53" s="38"/>
      <c r="N53" s="210"/>
      <c r="AE53" s="90"/>
      <c r="AF53" s="90"/>
      <c r="AG53" s="90"/>
      <c r="AH53" s="90"/>
      <c r="AI53" s="90"/>
    </row>
    <row r="54">
      <c r="C54" s="37"/>
      <c r="D54" s="209"/>
      <c r="G54" s="39"/>
      <c r="N54" s="210"/>
      <c r="Q54" s="193">
        <f>W42+U42+S42+Q42+O42+M42</f>
        <v>162262</v>
      </c>
      <c r="R54" s="211">
        <f>Q54/6</f>
        <v>27043.66667</v>
      </c>
      <c r="AE54" s="90"/>
      <c r="AF54" s="90"/>
      <c r="AG54" s="90"/>
      <c r="AH54" s="90"/>
      <c r="AI54" s="90"/>
    </row>
    <row r="55">
      <c r="C55" s="36"/>
      <c r="D55" s="209"/>
      <c r="G55" s="36"/>
      <c r="N55" s="210"/>
      <c r="AE55" s="90"/>
      <c r="AF55" s="90"/>
      <c r="AG55" s="90"/>
      <c r="AH55" s="90"/>
      <c r="AI55" s="90"/>
    </row>
    <row r="56">
      <c r="C56" s="37"/>
      <c r="D56" s="209"/>
      <c r="G56" s="38"/>
      <c r="N56" s="193"/>
      <c r="AE56" s="90"/>
      <c r="AF56" s="90"/>
      <c r="AG56" s="90"/>
      <c r="AH56" s="90"/>
      <c r="AI56" s="90"/>
    </row>
    <row r="57">
      <c r="C57" s="37"/>
      <c r="D57" s="209"/>
      <c r="G57" s="39"/>
      <c r="N57" s="210"/>
      <c r="AE57" s="90"/>
      <c r="AF57" s="90"/>
      <c r="AG57" s="90"/>
      <c r="AH57" s="90"/>
      <c r="AI57" s="90"/>
    </row>
    <row r="58">
      <c r="D58" s="209"/>
      <c r="N58" s="193"/>
      <c r="AE58" s="90"/>
      <c r="AF58" s="90"/>
      <c r="AG58" s="90"/>
      <c r="AH58" s="90"/>
      <c r="AI58" s="90"/>
    </row>
    <row r="59">
      <c r="D59" s="209"/>
      <c r="G59" s="212"/>
      <c r="N59" s="210"/>
      <c r="AE59" s="90"/>
      <c r="AF59" s="90"/>
      <c r="AG59" s="90"/>
      <c r="AH59" s="90"/>
      <c r="AI59" s="90"/>
    </row>
    <row r="60">
      <c r="C60" s="212"/>
      <c r="D60" s="209"/>
      <c r="N60" s="193"/>
      <c r="AE60" s="90"/>
      <c r="AF60" s="90"/>
      <c r="AG60" s="90"/>
      <c r="AH60" s="90"/>
      <c r="AI60" s="90"/>
    </row>
    <row r="61">
      <c r="D61" s="187"/>
      <c r="E61" s="90"/>
      <c r="F61" s="90"/>
      <c r="AE61" s="90"/>
      <c r="AF61" s="90"/>
      <c r="AG61" s="90"/>
      <c r="AH61" s="90"/>
      <c r="AI61" s="90"/>
    </row>
    <row r="62">
      <c r="D62" s="187"/>
      <c r="E62" s="90"/>
      <c r="F62" s="90"/>
      <c r="AE62" s="90"/>
      <c r="AF62" s="90"/>
      <c r="AG62" s="90"/>
      <c r="AH62" s="90"/>
      <c r="AI62" s="90"/>
    </row>
    <row r="63">
      <c r="D63" s="187"/>
      <c r="E63" s="90"/>
      <c r="F63" s="90"/>
      <c r="AE63" s="90"/>
      <c r="AF63" s="90"/>
      <c r="AG63" s="90"/>
      <c r="AH63" s="90"/>
      <c r="AI63" s="90"/>
    </row>
    <row r="64">
      <c r="D64" s="187"/>
      <c r="E64" s="90"/>
      <c r="F64" s="90"/>
      <c r="AE64" s="90"/>
      <c r="AF64" s="90"/>
      <c r="AG64" s="90"/>
      <c r="AH64" s="90"/>
      <c r="AI64" s="90"/>
    </row>
    <row r="65">
      <c r="D65" s="187"/>
      <c r="E65" s="90"/>
      <c r="F65" s="90"/>
      <c r="AE65" s="90"/>
      <c r="AF65" s="90"/>
      <c r="AG65" s="90"/>
      <c r="AH65" s="90"/>
      <c r="AI65" s="90"/>
    </row>
    <row r="66">
      <c r="D66" s="187"/>
      <c r="E66" s="90"/>
      <c r="F66" s="90"/>
      <c r="AE66" s="90"/>
      <c r="AF66" s="90"/>
      <c r="AG66" s="90"/>
      <c r="AH66" s="90"/>
      <c r="AI66" s="90"/>
    </row>
    <row r="67">
      <c r="D67" s="187"/>
      <c r="E67" s="90"/>
      <c r="F67" s="90"/>
      <c r="AE67" s="90"/>
      <c r="AF67" s="90"/>
      <c r="AG67" s="90"/>
      <c r="AH67" s="90"/>
      <c r="AI67" s="90"/>
    </row>
    <row r="68">
      <c r="D68" s="187"/>
      <c r="E68" s="90"/>
      <c r="F68" s="90"/>
      <c r="AE68" s="90"/>
      <c r="AF68" s="90"/>
      <c r="AG68" s="90"/>
      <c r="AH68" s="90"/>
      <c r="AI68" s="90"/>
    </row>
    <row r="69">
      <c r="D69" s="187"/>
      <c r="E69" s="90"/>
      <c r="F69" s="90"/>
      <c r="AE69" s="90"/>
      <c r="AF69" s="90"/>
      <c r="AG69" s="90"/>
      <c r="AH69" s="90"/>
      <c r="AI69" s="90"/>
    </row>
    <row r="70">
      <c r="D70" s="187"/>
      <c r="E70" s="90"/>
      <c r="F70" s="90"/>
      <c r="AE70" s="90"/>
      <c r="AF70" s="90"/>
      <c r="AG70" s="90"/>
      <c r="AH70" s="90"/>
      <c r="AI70" s="90"/>
    </row>
    <row r="71">
      <c r="D71" s="187"/>
      <c r="E71" s="90"/>
      <c r="F71" s="90"/>
      <c r="AE71" s="90"/>
      <c r="AF71" s="90"/>
      <c r="AG71" s="90"/>
      <c r="AH71" s="90"/>
      <c r="AI71" s="90"/>
    </row>
    <row r="72">
      <c r="D72" s="187"/>
      <c r="E72" s="90"/>
      <c r="F72" s="90"/>
      <c r="AE72" s="90"/>
      <c r="AF72" s="90"/>
      <c r="AG72" s="90"/>
      <c r="AH72" s="90"/>
      <c r="AI72" s="90"/>
    </row>
    <row r="73">
      <c r="D73" s="187"/>
      <c r="E73" s="90"/>
      <c r="F73" s="90"/>
      <c r="AE73" s="90"/>
      <c r="AF73" s="90"/>
      <c r="AG73" s="90"/>
      <c r="AH73" s="90"/>
      <c r="AI73" s="90"/>
    </row>
    <row r="74">
      <c r="D74" s="187"/>
      <c r="E74" s="90"/>
      <c r="F74" s="90"/>
      <c r="I74" s="213"/>
      <c r="J74" s="213"/>
      <c r="AE74" s="90"/>
      <c r="AF74" s="90"/>
      <c r="AG74" s="90"/>
      <c r="AH74" s="90"/>
      <c r="AI74" s="90"/>
    </row>
    <row r="75">
      <c r="D75" s="187"/>
      <c r="E75" s="90"/>
      <c r="F75" s="90"/>
      <c r="AE75" s="90"/>
      <c r="AF75" s="90"/>
      <c r="AG75" s="90"/>
      <c r="AH75" s="90"/>
      <c r="AI75" s="90"/>
    </row>
    <row r="76">
      <c r="D76" s="187"/>
      <c r="E76" s="90"/>
      <c r="F76" s="90"/>
      <c r="AE76" s="90"/>
      <c r="AF76" s="90"/>
      <c r="AG76" s="90"/>
      <c r="AH76" s="90"/>
      <c r="AI76" s="90"/>
    </row>
    <row r="77">
      <c r="D77" s="187"/>
      <c r="E77" s="90"/>
      <c r="F77" s="90"/>
      <c r="AE77" s="90"/>
      <c r="AF77" s="90"/>
      <c r="AG77" s="90"/>
      <c r="AH77" s="90"/>
      <c r="AI77" s="90"/>
    </row>
    <row r="78">
      <c r="D78" s="187"/>
      <c r="E78" s="90"/>
      <c r="F78" s="90"/>
      <c r="AE78" s="90"/>
      <c r="AF78" s="90"/>
      <c r="AG78" s="90"/>
      <c r="AH78" s="90"/>
      <c r="AI78" s="90"/>
    </row>
    <row r="79">
      <c r="A79" s="214"/>
      <c r="D79" s="187"/>
      <c r="E79" s="90"/>
      <c r="F79" s="90"/>
      <c r="AE79" s="90"/>
      <c r="AF79" s="90"/>
      <c r="AG79" s="90"/>
      <c r="AH79" s="90"/>
      <c r="AI79" s="90"/>
    </row>
    <row r="80">
      <c r="A80" s="32"/>
      <c r="D80" s="187"/>
      <c r="E80" s="90"/>
      <c r="F80" s="90"/>
      <c r="AE80" s="90"/>
      <c r="AF80" s="90"/>
      <c r="AG80" s="90"/>
      <c r="AH80" s="90"/>
      <c r="AI80" s="90"/>
    </row>
    <row r="81">
      <c r="A81" s="32"/>
      <c r="D81" s="187"/>
      <c r="E81" s="90"/>
      <c r="F81" s="90"/>
      <c r="AE81" s="90"/>
      <c r="AF81" s="90"/>
      <c r="AG81" s="90"/>
      <c r="AH81" s="90"/>
      <c r="AI81" s="90"/>
    </row>
    <row r="82">
      <c r="A82" s="32"/>
      <c r="D82" s="187"/>
      <c r="E82" s="90"/>
      <c r="F82" s="90"/>
      <c r="AE82" s="90"/>
      <c r="AF82" s="90"/>
      <c r="AG82" s="90"/>
      <c r="AH82" s="90"/>
      <c r="AI82" s="90"/>
    </row>
    <row r="83">
      <c r="A83" s="32"/>
      <c r="D83" s="187"/>
      <c r="E83" s="90"/>
      <c r="F83" s="90"/>
      <c r="AE83" s="90"/>
      <c r="AF83" s="90"/>
      <c r="AG83" s="90"/>
      <c r="AH83" s="90"/>
      <c r="AI83" s="90"/>
    </row>
    <row r="84">
      <c r="A84" s="32"/>
      <c r="D84" s="187"/>
      <c r="E84" s="90"/>
      <c r="F84" s="90"/>
      <c r="AE84" s="90"/>
      <c r="AF84" s="90"/>
      <c r="AG84" s="90"/>
      <c r="AH84" s="90"/>
      <c r="AI84" s="90"/>
    </row>
    <row r="85">
      <c r="A85" s="32"/>
      <c r="D85" s="187"/>
      <c r="E85" s="90"/>
      <c r="F85" s="90"/>
      <c r="AE85" s="90"/>
      <c r="AF85" s="90"/>
      <c r="AG85" s="90"/>
      <c r="AH85" s="90"/>
      <c r="AI85" s="90"/>
    </row>
    <row r="86">
      <c r="A86" s="32"/>
      <c r="D86" s="187"/>
      <c r="E86" s="90"/>
      <c r="F86" s="90"/>
      <c r="AE86" s="90"/>
      <c r="AF86" s="90"/>
      <c r="AG86" s="90"/>
      <c r="AH86" s="90"/>
      <c r="AI86" s="90"/>
    </row>
    <row r="87">
      <c r="A87" s="32"/>
      <c r="D87" s="187"/>
      <c r="E87" s="90"/>
      <c r="F87" s="90"/>
      <c r="AE87" s="90"/>
      <c r="AF87" s="90"/>
      <c r="AG87" s="90"/>
      <c r="AH87" s="90"/>
      <c r="AI87" s="90"/>
    </row>
    <row r="88">
      <c r="A88" s="32"/>
      <c r="D88" s="187"/>
      <c r="E88" s="90"/>
      <c r="F88" s="90"/>
      <c r="AE88" s="90"/>
      <c r="AF88" s="90"/>
      <c r="AG88" s="90"/>
      <c r="AH88" s="90"/>
      <c r="AI88" s="90"/>
    </row>
    <row r="89">
      <c r="A89" s="32"/>
      <c r="D89" s="187"/>
      <c r="E89" s="90"/>
      <c r="F89" s="90"/>
      <c r="AE89" s="90"/>
      <c r="AF89" s="90"/>
      <c r="AG89" s="90"/>
      <c r="AH89" s="90"/>
      <c r="AI89" s="90"/>
    </row>
    <row r="90">
      <c r="A90" s="32"/>
      <c r="D90" s="187"/>
      <c r="E90" s="90"/>
      <c r="F90" s="90"/>
      <c r="AE90" s="90"/>
      <c r="AF90" s="90"/>
      <c r="AG90" s="90"/>
      <c r="AH90" s="90"/>
      <c r="AI90" s="90"/>
    </row>
    <row r="91">
      <c r="A91" s="32"/>
      <c r="D91" s="187"/>
      <c r="E91" s="90"/>
      <c r="F91" s="90"/>
      <c r="AE91" s="90"/>
      <c r="AF91" s="90"/>
      <c r="AG91" s="90"/>
      <c r="AH91" s="90"/>
      <c r="AI91" s="90"/>
    </row>
    <row r="92">
      <c r="A92" s="32"/>
      <c r="D92" s="187"/>
      <c r="E92" s="90"/>
      <c r="F92" s="90"/>
      <c r="AE92" s="90"/>
      <c r="AF92" s="90"/>
      <c r="AG92" s="90"/>
      <c r="AH92" s="90"/>
      <c r="AI92" s="90"/>
    </row>
    <row r="93">
      <c r="A93" s="32"/>
      <c r="D93" s="187"/>
      <c r="E93" s="90"/>
      <c r="F93" s="90"/>
      <c r="AE93" s="90"/>
      <c r="AF93" s="90"/>
      <c r="AG93" s="90"/>
      <c r="AH93" s="90"/>
      <c r="AI93" s="90"/>
    </row>
    <row r="94">
      <c r="A94" s="32"/>
      <c r="D94" s="187"/>
      <c r="E94" s="90"/>
      <c r="F94" s="90"/>
      <c r="AE94" s="90"/>
      <c r="AF94" s="90"/>
      <c r="AG94" s="90"/>
      <c r="AH94" s="90"/>
      <c r="AI94" s="90"/>
    </row>
    <row r="95">
      <c r="A95" s="32"/>
      <c r="D95" s="187"/>
      <c r="E95" s="90"/>
      <c r="F95" s="90"/>
      <c r="AE95" s="90"/>
      <c r="AF95" s="90"/>
      <c r="AG95" s="90"/>
      <c r="AH95" s="90"/>
      <c r="AI95" s="90"/>
    </row>
    <row r="96">
      <c r="A96" s="32"/>
      <c r="D96" s="187"/>
      <c r="E96" s="90"/>
      <c r="F96" s="90"/>
      <c r="AE96" s="90"/>
      <c r="AF96" s="90"/>
      <c r="AG96" s="90"/>
      <c r="AH96" s="90"/>
      <c r="AI96" s="90"/>
    </row>
    <row r="97">
      <c r="A97" s="32"/>
      <c r="D97" s="187"/>
      <c r="E97" s="90"/>
      <c r="F97" s="90"/>
      <c r="AE97" s="90"/>
      <c r="AF97" s="90"/>
      <c r="AG97" s="90"/>
      <c r="AH97" s="90"/>
      <c r="AI97" s="90"/>
    </row>
    <row r="98">
      <c r="A98" s="32"/>
      <c r="D98" s="187"/>
      <c r="E98" s="90"/>
      <c r="F98" s="90"/>
      <c r="AE98" s="90"/>
      <c r="AF98" s="90"/>
      <c r="AG98" s="90"/>
      <c r="AH98" s="90"/>
      <c r="AI98" s="90"/>
    </row>
    <row r="99">
      <c r="A99" s="32"/>
      <c r="D99" s="187"/>
      <c r="E99" s="90"/>
      <c r="F99" s="90"/>
      <c r="AE99" s="90"/>
      <c r="AF99" s="90"/>
      <c r="AG99" s="90"/>
      <c r="AH99" s="90"/>
      <c r="AI99" s="90"/>
    </row>
    <row r="100">
      <c r="A100" s="32"/>
      <c r="D100" s="187"/>
      <c r="E100" s="90"/>
      <c r="F100" s="90"/>
      <c r="AE100" s="90"/>
      <c r="AF100" s="90"/>
      <c r="AG100" s="90"/>
      <c r="AH100" s="90"/>
      <c r="AI100" s="90"/>
    </row>
    <row r="101">
      <c r="A101" s="32"/>
      <c r="D101" s="187"/>
      <c r="E101" s="90"/>
      <c r="F101" s="90"/>
      <c r="AE101" s="90"/>
      <c r="AF101" s="90"/>
      <c r="AG101" s="90"/>
      <c r="AH101" s="90"/>
      <c r="AI101" s="90"/>
    </row>
    <row r="102">
      <c r="A102" s="32"/>
      <c r="D102" s="187"/>
      <c r="E102" s="90"/>
      <c r="F102" s="90"/>
      <c r="AE102" s="90"/>
      <c r="AF102" s="90"/>
      <c r="AG102" s="90"/>
      <c r="AH102" s="90"/>
      <c r="AI102" s="90"/>
    </row>
    <row r="103">
      <c r="A103" s="32"/>
      <c r="D103" s="187"/>
      <c r="E103" s="90"/>
      <c r="F103" s="90"/>
      <c r="AE103" s="90"/>
      <c r="AF103" s="90"/>
      <c r="AG103" s="90"/>
      <c r="AH103" s="90"/>
      <c r="AI103" s="90"/>
    </row>
    <row r="104">
      <c r="A104" s="32"/>
      <c r="D104" s="187"/>
      <c r="E104" s="90"/>
      <c r="F104" s="90"/>
      <c r="AE104" s="90"/>
      <c r="AF104" s="90"/>
      <c r="AG104" s="90"/>
      <c r="AH104" s="90"/>
      <c r="AI104" s="90"/>
    </row>
    <row r="105">
      <c r="A105" s="32"/>
      <c r="D105" s="187"/>
      <c r="E105" s="90"/>
      <c r="F105" s="90"/>
      <c r="AE105" s="90"/>
      <c r="AF105" s="90"/>
      <c r="AG105" s="90"/>
      <c r="AH105" s="90"/>
      <c r="AI105" s="90"/>
    </row>
    <row r="106">
      <c r="A106" s="32"/>
      <c r="D106" s="187"/>
      <c r="E106" s="90"/>
      <c r="F106" s="90"/>
      <c r="AE106" s="90"/>
      <c r="AF106" s="90"/>
      <c r="AG106" s="90"/>
      <c r="AH106" s="90"/>
      <c r="AI106" s="90"/>
    </row>
    <row r="107">
      <c r="A107" s="32"/>
      <c r="D107" s="187"/>
      <c r="E107" s="90"/>
      <c r="F107" s="90"/>
      <c r="AE107" s="90"/>
      <c r="AF107" s="90"/>
      <c r="AG107" s="90"/>
      <c r="AH107" s="90"/>
      <c r="AI107" s="90"/>
    </row>
    <row r="108">
      <c r="A108" s="32"/>
      <c r="D108" s="187"/>
      <c r="E108" s="90"/>
      <c r="F108" s="90"/>
      <c r="AE108" s="90"/>
      <c r="AF108" s="90"/>
      <c r="AG108" s="90"/>
      <c r="AH108" s="90"/>
      <c r="AI108" s="90"/>
    </row>
    <row r="109">
      <c r="A109" s="32"/>
      <c r="D109" s="187"/>
      <c r="E109" s="90"/>
      <c r="F109" s="90"/>
      <c r="AE109" s="90"/>
      <c r="AF109" s="90"/>
      <c r="AG109" s="90"/>
      <c r="AH109" s="90"/>
      <c r="AI109" s="90"/>
    </row>
    <row r="110">
      <c r="A110" s="32"/>
      <c r="D110" s="187"/>
      <c r="E110" s="90"/>
      <c r="F110" s="90"/>
      <c r="AE110" s="90"/>
      <c r="AF110" s="90"/>
      <c r="AG110" s="90"/>
      <c r="AH110" s="90"/>
      <c r="AI110" s="90"/>
    </row>
    <row r="111">
      <c r="A111" s="32"/>
      <c r="D111" s="187"/>
      <c r="E111" s="90"/>
      <c r="F111" s="90"/>
      <c r="AE111" s="90"/>
      <c r="AF111" s="90"/>
      <c r="AG111" s="90"/>
      <c r="AH111" s="90"/>
      <c r="AI111" s="90"/>
    </row>
    <row r="112">
      <c r="A112" s="32"/>
      <c r="D112" s="187"/>
      <c r="E112" s="90"/>
      <c r="F112" s="90"/>
      <c r="AE112" s="90"/>
      <c r="AF112" s="90"/>
      <c r="AG112" s="90"/>
      <c r="AH112" s="90"/>
      <c r="AI112" s="90"/>
    </row>
    <row r="113">
      <c r="A113" s="32"/>
      <c r="D113" s="187"/>
      <c r="E113" s="90"/>
      <c r="F113" s="90"/>
      <c r="AE113" s="90"/>
      <c r="AF113" s="90"/>
      <c r="AG113" s="90"/>
      <c r="AH113" s="90"/>
      <c r="AI113" s="90"/>
    </row>
    <row r="114">
      <c r="A114" s="32"/>
      <c r="D114" s="187"/>
      <c r="E114" s="90"/>
      <c r="F114" s="90"/>
      <c r="AE114" s="90"/>
      <c r="AF114" s="90"/>
      <c r="AG114" s="90"/>
      <c r="AH114" s="90"/>
      <c r="AI114" s="90"/>
    </row>
    <row r="115">
      <c r="A115" s="32"/>
      <c r="D115" s="187"/>
      <c r="E115" s="90"/>
      <c r="F115" s="90"/>
      <c r="AE115" s="90"/>
      <c r="AF115" s="90"/>
      <c r="AG115" s="90"/>
      <c r="AH115" s="90"/>
      <c r="AI115" s="90"/>
    </row>
    <row r="116">
      <c r="A116" s="32"/>
      <c r="D116" s="187"/>
      <c r="E116" s="90"/>
      <c r="F116" s="90"/>
      <c r="AE116" s="90"/>
      <c r="AF116" s="90"/>
      <c r="AG116" s="90"/>
      <c r="AH116" s="90"/>
      <c r="AI116" s="90"/>
    </row>
    <row r="117">
      <c r="A117" s="32"/>
      <c r="D117" s="187"/>
      <c r="E117" s="90"/>
      <c r="F117" s="90"/>
      <c r="AE117" s="90"/>
      <c r="AF117" s="90"/>
      <c r="AG117" s="90"/>
      <c r="AH117" s="90"/>
      <c r="AI117" s="90"/>
    </row>
    <row r="118">
      <c r="A118" s="32"/>
      <c r="D118" s="187"/>
      <c r="E118" s="90"/>
      <c r="F118" s="90"/>
      <c r="AE118" s="90"/>
      <c r="AF118" s="90"/>
      <c r="AG118" s="90"/>
      <c r="AH118" s="90"/>
      <c r="AI118" s="90"/>
    </row>
    <row r="119">
      <c r="A119" s="32"/>
      <c r="D119" s="187"/>
      <c r="E119" s="90"/>
      <c r="F119" s="90"/>
      <c r="AE119" s="90"/>
      <c r="AF119" s="90"/>
      <c r="AG119" s="90"/>
      <c r="AH119" s="90"/>
      <c r="AI119" s="90"/>
    </row>
    <row r="120">
      <c r="A120" s="32"/>
      <c r="D120" s="187"/>
      <c r="E120" s="90"/>
      <c r="F120" s="90"/>
      <c r="AE120" s="90"/>
      <c r="AF120" s="90"/>
      <c r="AG120" s="90"/>
      <c r="AH120" s="90"/>
      <c r="AI120" s="90"/>
    </row>
    <row r="121">
      <c r="A121" s="32"/>
      <c r="D121" s="187"/>
      <c r="E121" s="90"/>
      <c r="F121" s="90"/>
      <c r="AE121" s="90"/>
      <c r="AF121" s="90"/>
      <c r="AG121" s="90"/>
      <c r="AH121" s="90"/>
      <c r="AI121" s="90"/>
    </row>
    <row r="122">
      <c r="A122" s="32"/>
      <c r="D122" s="187"/>
      <c r="E122" s="90"/>
      <c r="F122" s="90"/>
      <c r="AE122" s="90"/>
      <c r="AF122" s="90"/>
      <c r="AG122" s="90"/>
      <c r="AH122" s="90"/>
      <c r="AI122" s="90"/>
    </row>
    <row r="123">
      <c r="A123" s="32"/>
      <c r="D123" s="187"/>
      <c r="E123" s="90"/>
      <c r="F123" s="90"/>
      <c r="AE123" s="90"/>
      <c r="AF123" s="90"/>
      <c r="AG123" s="90"/>
      <c r="AH123" s="90"/>
      <c r="AI123" s="90"/>
    </row>
    <row r="124">
      <c r="A124" s="32"/>
      <c r="D124" s="187"/>
      <c r="E124" s="90"/>
      <c r="F124" s="90"/>
      <c r="AE124" s="90"/>
      <c r="AF124" s="90"/>
      <c r="AG124" s="90"/>
      <c r="AH124" s="90"/>
      <c r="AI124" s="90"/>
    </row>
    <row r="125">
      <c r="A125" s="32"/>
      <c r="D125" s="187"/>
      <c r="E125" s="90"/>
      <c r="F125" s="90"/>
      <c r="AE125" s="90"/>
      <c r="AF125" s="90"/>
      <c r="AG125" s="90"/>
      <c r="AH125" s="90"/>
      <c r="AI125" s="90"/>
    </row>
    <row r="126">
      <c r="A126" s="32"/>
      <c r="D126" s="187"/>
      <c r="E126" s="90"/>
      <c r="F126" s="90"/>
      <c r="AE126" s="90"/>
      <c r="AF126" s="90"/>
      <c r="AG126" s="90"/>
      <c r="AH126" s="90"/>
      <c r="AI126" s="90"/>
    </row>
    <row r="127">
      <c r="A127" s="32"/>
      <c r="D127" s="187"/>
      <c r="E127" s="90"/>
      <c r="F127" s="90"/>
      <c r="AE127" s="90"/>
      <c r="AF127" s="90"/>
      <c r="AG127" s="90"/>
      <c r="AH127" s="90"/>
      <c r="AI127" s="90"/>
    </row>
    <row r="128">
      <c r="A128" s="32"/>
      <c r="D128" s="187"/>
      <c r="E128" s="90"/>
      <c r="F128" s="90"/>
      <c r="AE128" s="90"/>
      <c r="AF128" s="90"/>
      <c r="AG128" s="90"/>
      <c r="AH128" s="90"/>
      <c r="AI128" s="90"/>
    </row>
    <row r="129">
      <c r="A129" s="32"/>
      <c r="D129" s="187"/>
      <c r="E129" s="90"/>
      <c r="F129" s="90"/>
      <c r="AE129" s="90"/>
      <c r="AF129" s="90"/>
      <c r="AG129" s="90"/>
      <c r="AH129" s="90"/>
      <c r="AI129" s="90"/>
    </row>
    <row r="130">
      <c r="A130" s="32"/>
      <c r="D130" s="187"/>
      <c r="E130" s="90"/>
      <c r="F130" s="90"/>
      <c r="AE130" s="90"/>
      <c r="AF130" s="90"/>
      <c r="AG130" s="90"/>
      <c r="AH130" s="90"/>
      <c r="AI130" s="90"/>
    </row>
    <row r="131">
      <c r="A131" s="32"/>
      <c r="D131" s="187"/>
      <c r="E131" s="90"/>
      <c r="F131" s="90"/>
      <c r="AE131" s="90"/>
      <c r="AF131" s="90"/>
      <c r="AG131" s="90"/>
      <c r="AH131" s="90"/>
      <c r="AI131" s="90"/>
    </row>
    <row r="132">
      <c r="A132" s="32"/>
      <c r="D132" s="187"/>
      <c r="E132" s="90"/>
      <c r="F132" s="90"/>
      <c r="AE132" s="90"/>
      <c r="AF132" s="90"/>
      <c r="AG132" s="90"/>
      <c r="AH132" s="90"/>
      <c r="AI132" s="90"/>
    </row>
    <row r="133">
      <c r="A133" s="32"/>
      <c r="D133" s="187"/>
      <c r="E133" s="90"/>
      <c r="F133" s="90"/>
      <c r="AE133" s="90"/>
      <c r="AF133" s="90"/>
      <c r="AG133" s="90"/>
      <c r="AH133" s="90"/>
      <c r="AI133" s="90"/>
    </row>
    <row r="134">
      <c r="A134" s="32"/>
      <c r="D134" s="187"/>
      <c r="E134" s="90"/>
      <c r="F134" s="90"/>
      <c r="AE134" s="90"/>
      <c r="AF134" s="90"/>
      <c r="AG134" s="90"/>
      <c r="AH134" s="90"/>
      <c r="AI134" s="90"/>
    </row>
    <row r="135">
      <c r="A135" s="32"/>
      <c r="D135" s="187"/>
      <c r="E135" s="90"/>
      <c r="F135" s="90"/>
      <c r="AE135" s="90"/>
      <c r="AF135" s="90"/>
      <c r="AG135" s="90"/>
      <c r="AH135" s="90"/>
      <c r="AI135" s="90"/>
    </row>
    <row r="136">
      <c r="A136" s="32"/>
      <c r="D136" s="187"/>
      <c r="E136" s="90"/>
      <c r="F136" s="90"/>
      <c r="AE136" s="90"/>
      <c r="AF136" s="90"/>
      <c r="AG136" s="90"/>
      <c r="AH136" s="90"/>
      <c r="AI136" s="90"/>
    </row>
    <row r="137">
      <c r="A137" s="32"/>
      <c r="D137" s="187"/>
      <c r="E137" s="90"/>
      <c r="F137" s="90"/>
      <c r="AE137" s="90"/>
      <c r="AF137" s="90"/>
      <c r="AG137" s="90"/>
      <c r="AH137" s="90"/>
      <c r="AI137" s="90"/>
    </row>
    <row r="138">
      <c r="A138" s="32"/>
      <c r="D138" s="187"/>
      <c r="E138" s="90"/>
      <c r="F138" s="90"/>
      <c r="AE138" s="90"/>
      <c r="AF138" s="90"/>
      <c r="AG138" s="90"/>
      <c r="AH138" s="90"/>
      <c r="AI138" s="90"/>
    </row>
    <row r="139">
      <c r="A139" s="32"/>
      <c r="D139" s="187"/>
      <c r="E139" s="90"/>
      <c r="F139" s="90"/>
      <c r="AE139" s="90"/>
      <c r="AF139" s="90"/>
      <c r="AG139" s="90"/>
      <c r="AH139" s="90"/>
      <c r="AI139" s="90"/>
    </row>
    <row r="140">
      <c r="A140" s="32"/>
      <c r="D140" s="187"/>
      <c r="E140" s="90"/>
      <c r="F140" s="90"/>
      <c r="AE140" s="90"/>
      <c r="AF140" s="90"/>
      <c r="AG140" s="90"/>
      <c r="AH140" s="90"/>
      <c r="AI140" s="90"/>
    </row>
    <row r="141">
      <c r="A141" s="32"/>
      <c r="D141" s="187"/>
      <c r="E141" s="90"/>
      <c r="F141" s="90"/>
      <c r="AE141" s="90"/>
      <c r="AF141" s="90"/>
      <c r="AG141" s="90"/>
      <c r="AH141" s="90"/>
      <c r="AI141" s="90"/>
    </row>
    <row r="142">
      <c r="A142" s="32"/>
      <c r="D142" s="187"/>
      <c r="E142" s="90"/>
      <c r="F142" s="90"/>
      <c r="AE142" s="90"/>
      <c r="AF142" s="90"/>
      <c r="AG142" s="90"/>
      <c r="AH142" s="90"/>
      <c r="AI142" s="90"/>
    </row>
    <row r="143">
      <c r="A143" s="32"/>
      <c r="D143" s="187"/>
      <c r="E143" s="90"/>
      <c r="F143" s="90"/>
      <c r="AE143" s="90"/>
      <c r="AF143" s="90"/>
      <c r="AG143" s="90"/>
      <c r="AH143" s="90"/>
      <c r="AI143" s="90"/>
    </row>
    <row r="144">
      <c r="A144" s="32"/>
      <c r="D144" s="187"/>
      <c r="E144" s="90"/>
      <c r="F144" s="90"/>
      <c r="AE144" s="90"/>
      <c r="AF144" s="90"/>
      <c r="AG144" s="90"/>
      <c r="AH144" s="90"/>
      <c r="AI144" s="90"/>
    </row>
    <row r="145">
      <c r="A145" s="32"/>
      <c r="D145" s="187"/>
      <c r="E145" s="90"/>
      <c r="F145" s="90"/>
      <c r="AE145" s="90"/>
      <c r="AF145" s="90"/>
      <c r="AG145" s="90"/>
      <c r="AH145" s="90"/>
      <c r="AI145" s="90"/>
    </row>
    <row r="146">
      <c r="A146" s="32"/>
      <c r="D146" s="187"/>
      <c r="E146" s="90"/>
      <c r="F146" s="90"/>
      <c r="AE146" s="90"/>
      <c r="AF146" s="90"/>
      <c r="AG146" s="90"/>
      <c r="AH146" s="90"/>
      <c r="AI146" s="90"/>
    </row>
    <row r="147">
      <c r="A147" s="32"/>
      <c r="D147" s="187"/>
      <c r="E147" s="90"/>
      <c r="F147" s="90"/>
      <c r="AE147" s="90"/>
      <c r="AF147" s="90"/>
      <c r="AG147" s="90"/>
      <c r="AH147" s="90"/>
      <c r="AI147" s="90"/>
    </row>
    <row r="148">
      <c r="A148" s="32"/>
      <c r="D148" s="187"/>
      <c r="E148" s="90"/>
      <c r="F148" s="90"/>
      <c r="AE148" s="90"/>
      <c r="AF148" s="90"/>
      <c r="AG148" s="90"/>
      <c r="AH148" s="90"/>
      <c r="AI148" s="90"/>
    </row>
    <row r="149">
      <c r="A149" s="32"/>
      <c r="D149" s="187"/>
      <c r="E149" s="90"/>
      <c r="F149" s="90"/>
      <c r="AE149" s="90"/>
      <c r="AF149" s="90"/>
      <c r="AG149" s="90"/>
      <c r="AH149" s="90"/>
      <c r="AI149" s="90"/>
    </row>
    <row r="150">
      <c r="A150" s="32"/>
      <c r="D150" s="187"/>
      <c r="E150" s="90"/>
      <c r="F150" s="90"/>
      <c r="AE150" s="90"/>
      <c r="AF150" s="90"/>
      <c r="AG150" s="90"/>
      <c r="AH150" s="90"/>
      <c r="AI150" s="90"/>
    </row>
    <row r="151">
      <c r="A151" s="32"/>
      <c r="D151" s="187"/>
      <c r="E151" s="90"/>
      <c r="F151" s="90"/>
      <c r="AE151" s="90"/>
      <c r="AF151" s="90"/>
      <c r="AG151" s="90"/>
      <c r="AH151" s="90"/>
      <c r="AI151" s="90"/>
    </row>
    <row r="152">
      <c r="A152" s="32"/>
      <c r="D152" s="187"/>
      <c r="E152" s="90"/>
      <c r="F152" s="90"/>
      <c r="AE152" s="90"/>
      <c r="AF152" s="90"/>
      <c r="AG152" s="90"/>
      <c r="AH152" s="90"/>
      <c r="AI152" s="90"/>
    </row>
    <row r="153">
      <c r="A153" s="32"/>
      <c r="D153" s="187"/>
      <c r="E153" s="90"/>
      <c r="F153" s="90"/>
      <c r="AE153" s="90"/>
      <c r="AF153" s="90"/>
      <c r="AG153" s="90"/>
      <c r="AH153" s="90"/>
      <c r="AI153" s="90"/>
    </row>
    <row r="154">
      <c r="A154" s="32"/>
      <c r="D154" s="187"/>
      <c r="E154" s="90"/>
      <c r="F154" s="90"/>
      <c r="AE154" s="90"/>
      <c r="AF154" s="90"/>
      <c r="AG154" s="90"/>
      <c r="AH154" s="90"/>
      <c r="AI154" s="90"/>
    </row>
    <row r="155">
      <c r="A155" s="32"/>
      <c r="D155" s="187"/>
      <c r="E155" s="90"/>
      <c r="F155" s="90"/>
      <c r="AE155" s="90"/>
      <c r="AF155" s="90"/>
      <c r="AG155" s="90"/>
      <c r="AH155" s="90"/>
      <c r="AI155" s="90"/>
    </row>
    <row r="156">
      <c r="A156" s="32"/>
      <c r="D156" s="187"/>
      <c r="E156" s="90"/>
      <c r="F156" s="90"/>
      <c r="AE156" s="90"/>
      <c r="AF156" s="90"/>
      <c r="AG156" s="90"/>
      <c r="AH156" s="90"/>
      <c r="AI156" s="90"/>
    </row>
    <row r="157">
      <c r="A157" s="32"/>
      <c r="D157" s="187"/>
      <c r="E157" s="90"/>
      <c r="F157" s="90"/>
      <c r="AE157" s="90"/>
      <c r="AF157" s="90"/>
      <c r="AG157" s="90"/>
      <c r="AH157" s="90"/>
      <c r="AI157" s="90"/>
    </row>
    <row r="158">
      <c r="A158" s="32"/>
      <c r="D158" s="187"/>
      <c r="E158" s="90"/>
      <c r="F158" s="90"/>
      <c r="AE158" s="90"/>
      <c r="AF158" s="90"/>
      <c r="AG158" s="90"/>
      <c r="AH158" s="90"/>
      <c r="AI158" s="90"/>
    </row>
    <row r="159">
      <c r="A159" s="32"/>
      <c r="D159" s="187"/>
      <c r="E159" s="90"/>
      <c r="F159" s="90"/>
      <c r="AE159" s="90"/>
      <c r="AF159" s="90"/>
      <c r="AG159" s="90"/>
      <c r="AH159" s="90"/>
      <c r="AI159" s="90"/>
    </row>
    <row r="160">
      <c r="A160" s="32"/>
      <c r="D160" s="187"/>
      <c r="E160" s="90"/>
      <c r="F160" s="90"/>
      <c r="AE160" s="90"/>
      <c r="AF160" s="90"/>
      <c r="AG160" s="90"/>
      <c r="AH160" s="90"/>
      <c r="AI160" s="90"/>
    </row>
    <row r="161">
      <c r="A161" s="32"/>
      <c r="D161" s="187"/>
      <c r="E161" s="90"/>
      <c r="F161" s="90"/>
      <c r="AE161" s="90"/>
      <c r="AF161" s="90"/>
      <c r="AG161" s="90"/>
      <c r="AH161" s="90"/>
      <c r="AI161" s="90"/>
    </row>
    <row r="162">
      <c r="A162" s="32"/>
      <c r="D162" s="187"/>
      <c r="E162" s="90"/>
      <c r="F162" s="90"/>
      <c r="AE162" s="90"/>
      <c r="AF162" s="90"/>
      <c r="AG162" s="90"/>
      <c r="AH162" s="90"/>
      <c r="AI162" s="90"/>
    </row>
    <row r="163">
      <c r="A163" s="32"/>
      <c r="D163" s="187"/>
      <c r="E163" s="90"/>
      <c r="F163" s="90"/>
      <c r="AE163" s="90"/>
      <c r="AF163" s="90"/>
      <c r="AG163" s="90"/>
      <c r="AH163" s="90"/>
      <c r="AI163" s="90"/>
    </row>
    <row r="164">
      <c r="A164" s="32"/>
      <c r="D164" s="187"/>
      <c r="E164" s="90"/>
      <c r="F164" s="90"/>
      <c r="AE164" s="90"/>
      <c r="AF164" s="90"/>
      <c r="AG164" s="90"/>
      <c r="AH164" s="90"/>
      <c r="AI164" s="90"/>
    </row>
    <row r="165">
      <c r="A165" s="32"/>
      <c r="D165" s="187"/>
      <c r="E165" s="90"/>
      <c r="F165" s="90"/>
      <c r="AE165" s="90"/>
      <c r="AF165" s="90"/>
      <c r="AG165" s="90"/>
      <c r="AH165" s="90"/>
      <c r="AI165" s="90"/>
    </row>
    <row r="166">
      <c r="A166" s="32"/>
      <c r="D166" s="187"/>
      <c r="E166" s="90"/>
      <c r="F166" s="90"/>
      <c r="AE166" s="90"/>
      <c r="AF166" s="90"/>
      <c r="AG166" s="90"/>
      <c r="AH166" s="90"/>
      <c r="AI166" s="90"/>
    </row>
    <row r="167">
      <c r="A167" s="32"/>
      <c r="D167" s="187"/>
      <c r="E167" s="90"/>
      <c r="F167" s="90"/>
      <c r="AE167" s="90"/>
      <c r="AF167" s="90"/>
      <c r="AG167" s="90"/>
      <c r="AH167" s="90"/>
      <c r="AI167" s="90"/>
    </row>
    <row r="168">
      <c r="A168" s="32"/>
      <c r="D168" s="187"/>
      <c r="E168" s="90"/>
      <c r="F168" s="90"/>
      <c r="AE168" s="90"/>
      <c r="AF168" s="90"/>
      <c r="AG168" s="90"/>
      <c r="AH168" s="90"/>
      <c r="AI168" s="90"/>
    </row>
    <row r="169">
      <c r="A169" s="32"/>
      <c r="D169" s="187"/>
      <c r="E169" s="90"/>
      <c r="F169" s="90"/>
      <c r="AE169" s="90"/>
      <c r="AF169" s="90"/>
      <c r="AG169" s="90"/>
      <c r="AH169" s="90"/>
      <c r="AI169" s="90"/>
    </row>
    <row r="170">
      <c r="A170" s="32"/>
      <c r="D170" s="187"/>
      <c r="E170" s="90"/>
      <c r="F170" s="90"/>
      <c r="AE170" s="90"/>
      <c r="AF170" s="90"/>
      <c r="AG170" s="90"/>
      <c r="AH170" s="90"/>
      <c r="AI170" s="90"/>
    </row>
    <row r="171">
      <c r="A171" s="32"/>
      <c r="D171" s="187"/>
      <c r="E171" s="90"/>
      <c r="F171" s="90"/>
      <c r="AE171" s="90"/>
      <c r="AF171" s="90"/>
      <c r="AG171" s="90"/>
      <c r="AH171" s="90"/>
      <c r="AI171" s="90"/>
    </row>
    <row r="172">
      <c r="A172" s="32"/>
      <c r="D172" s="187"/>
      <c r="E172" s="90"/>
      <c r="F172" s="90"/>
      <c r="AE172" s="90"/>
      <c r="AF172" s="90"/>
      <c r="AG172" s="90"/>
      <c r="AH172" s="90"/>
      <c r="AI172" s="90"/>
    </row>
    <row r="173">
      <c r="A173" s="32"/>
      <c r="D173" s="187"/>
      <c r="E173" s="90"/>
      <c r="F173" s="90"/>
      <c r="AE173" s="90"/>
      <c r="AF173" s="90"/>
      <c r="AG173" s="90"/>
      <c r="AH173" s="90"/>
      <c r="AI173" s="90"/>
    </row>
    <row r="174">
      <c r="A174" s="32"/>
      <c r="D174" s="187"/>
      <c r="E174" s="90"/>
      <c r="F174" s="90"/>
      <c r="AE174" s="90"/>
      <c r="AF174" s="90"/>
      <c r="AG174" s="90"/>
      <c r="AH174" s="90"/>
      <c r="AI174" s="90"/>
    </row>
    <row r="175">
      <c r="A175" s="32"/>
      <c r="D175" s="187"/>
      <c r="E175" s="90"/>
      <c r="F175" s="90"/>
      <c r="AE175" s="90"/>
      <c r="AF175" s="90"/>
      <c r="AG175" s="90"/>
      <c r="AH175" s="90"/>
      <c r="AI175" s="90"/>
    </row>
    <row r="176">
      <c r="A176" s="32"/>
      <c r="D176" s="187"/>
      <c r="E176" s="90"/>
      <c r="F176" s="90"/>
      <c r="AE176" s="90"/>
      <c r="AF176" s="90"/>
      <c r="AG176" s="90"/>
      <c r="AH176" s="90"/>
      <c r="AI176" s="90"/>
    </row>
    <row r="177">
      <c r="A177" s="32"/>
      <c r="D177" s="187"/>
      <c r="E177" s="90"/>
      <c r="F177" s="90"/>
      <c r="AE177" s="90"/>
      <c r="AF177" s="90"/>
      <c r="AG177" s="90"/>
      <c r="AH177" s="90"/>
      <c r="AI177" s="90"/>
    </row>
    <row r="178">
      <c r="A178" s="32"/>
      <c r="D178" s="187"/>
      <c r="E178" s="90"/>
      <c r="F178" s="90"/>
      <c r="AE178" s="90"/>
      <c r="AF178" s="90"/>
      <c r="AG178" s="90"/>
      <c r="AH178" s="90"/>
      <c r="AI178" s="90"/>
    </row>
    <row r="179">
      <c r="A179" s="32"/>
      <c r="D179" s="187"/>
      <c r="E179" s="90"/>
      <c r="F179" s="90"/>
      <c r="AE179" s="90"/>
      <c r="AF179" s="90"/>
      <c r="AG179" s="90"/>
      <c r="AH179" s="90"/>
      <c r="AI179" s="90"/>
    </row>
    <row r="180">
      <c r="A180" s="32"/>
      <c r="D180" s="187"/>
      <c r="E180" s="90"/>
      <c r="F180" s="90"/>
      <c r="AE180" s="90"/>
      <c r="AF180" s="90"/>
      <c r="AG180" s="90"/>
      <c r="AH180" s="90"/>
      <c r="AI180" s="90"/>
    </row>
    <row r="181">
      <c r="A181" s="32"/>
      <c r="D181" s="187"/>
      <c r="E181" s="90"/>
      <c r="F181" s="90"/>
      <c r="AE181" s="90"/>
      <c r="AF181" s="90"/>
      <c r="AG181" s="90"/>
      <c r="AH181" s="90"/>
      <c r="AI181" s="90"/>
    </row>
    <row r="182">
      <c r="A182" s="32"/>
      <c r="D182" s="187"/>
      <c r="E182" s="90"/>
      <c r="F182" s="90"/>
      <c r="AE182" s="90"/>
      <c r="AF182" s="90"/>
      <c r="AG182" s="90"/>
      <c r="AH182" s="90"/>
      <c r="AI182" s="90"/>
    </row>
    <row r="183">
      <c r="A183" s="32"/>
      <c r="D183" s="187"/>
      <c r="E183" s="90"/>
      <c r="F183" s="90"/>
      <c r="AE183" s="90"/>
      <c r="AF183" s="90"/>
      <c r="AG183" s="90"/>
      <c r="AH183" s="90"/>
      <c r="AI183" s="90"/>
    </row>
    <row r="184">
      <c r="A184" s="32"/>
      <c r="D184" s="187"/>
      <c r="E184" s="90"/>
      <c r="F184" s="90"/>
      <c r="AE184" s="90"/>
      <c r="AF184" s="90"/>
      <c r="AG184" s="90"/>
      <c r="AH184" s="90"/>
      <c r="AI184" s="90"/>
    </row>
    <row r="185">
      <c r="A185" s="32"/>
      <c r="D185" s="187"/>
      <c r="E185" s="90"/>
      <c r="F185" s="90"/>
      <c r="AE185" s="90"/>
      <c r="AF185" s="90"/>
      <c r="AG185" s="90"/>
      <c r="AH185" s="90"/>
      <c r="AI185" s="90"/>
    </row>
    <row r="186">
      <c r="A186" s="32"/>
      <c r="D186" s="187"/>
      <c r="E186" s="90"/>
      <c r="F186" s="90"/>
      <c r="AE186" s="90"/>
      <c r="AF186" s="90"/>
      <c r="AG186" s="90"/>
      <c r="AH186" s="90"/>
      <c r="AI186" s="90"/>
    </row>
    <row r="187">
      <c r="A187" s="32"/>
      <c r="D187" s="187"/>
      <c r="E187" s="90"/>
      <c r="F187" s="90"/>
      <c r="AE187" s="90"/>
      <c r="AF187" s="90"/>
      <c r="AG187" s="90"/>
      <c r="AH187" s="90"/>
      <c r="AI187" s="90"/>
    </row>
    <row r="188">
      <c r="A188" s="32"/>
      <c r="D188" s="187"/>
      <c r="E188" s="90"/>
      <c r="F188" s="90"/>
      <c r="AE188" s="90"/>
      <c r="AF188" s="90"/>
      <c r="AG188" s="90"/>
      <c r="AH188" s="90"/>
      <c r="AI188" s="90"/>
    </row>
    <row r="189">
      <c r="A189" s="32"/>
      <c r="D189" s="187"/>
      <c r="E189" s="90"/>
      <c r="F189" s="90"/>
      <c r="AE189" s="90"/>
      <c r="AF189" s="90"/>
      <c r="AG189" s="90"/>
      <c r="AH189" s="90"/>
      <c r="AI189" s="90"/>
    </row>
    <row r="190">
      <c r="A190" s="32"/>
      <c r="D190" s="187"/>
      <c r="E190" s="90"/>
      <c r="F190" s="90"/>
      <c r="AE190" s="90"/>
      <c r="AF190" s="90"/>
      <c r="AG190" s="90"/>
      <c r="AH190" s="90"/>
      <c r="AI190" s="90"/>
    </row>
    <row r="191">
      <c r="A191" s="32"/>
      <c r="D191" s="187"/>
      <c r="E191" s="90"/>
      <c r="F191" s="90"/>
      <c r="AE191" s="90"/>
      <c r="AF191" s="90"/>
      <c r="AG191" s="90"/>
      <c r="AH191" s="90"/>
      <c r="AI191" s="90"/>
    </row>
    <row r="192">
      <c r="A192" s="32"/>
      <c r="D192" s="187"/>
      <c r="E192" s="90"/>
      <c r="F192" s="90"/>
      <c r="AE192" s="90"/>
      <c r="AF192" s="90"/>
      <c r="AG192" s="90"/>
      <c r="AH192" s="90"/>
      <c r="AI192" s="90"/>
    </row>
    <row r="193">
      <c r="A193" s="32"/>
      <c r="D193" s="187"/>
      <c r="E193" s="90"/>
      <c r="F193" s="90"/>
      <c r="AE193" s="90"/>
      <c r="AF193" s="90"/>
      <c r="AG193" s="90"/>
      <c r="AH193" s="90"/>
      <c r="AI193" s="90"/>
    </row>
    <row r="194">
      <c r="A194" s="32"/>
      <c r="D194" s="187"/>
      <c r="E194" s="90"/>
      <c r="F194" s="90"/>
      <c r="AE194" s="90"/>
      <c r="AF194" s="90"/>
      <c r="AG194" s="90"/>
      <c r="AH194" s="90"/>
      <c r="AI194" s="90"/>
    </row>
    <row r="195">
      <c r="A195" s="32"/>
      <c r="D195" s="187"/>
      <c r="E195" s="90"/>
      <c r="F195" s="90"/>
      <c r="AE195" s="90"/>
      <c r="AF195" s="90"/>
      <c r="AG195" s="90"/>
      <c r="AH195" s="90"/>
      <c r="AI195" s="90"/>
    </row>
    <row r="196">
      <c r="A196" s="32"/>
      <c r="D196" s="187"/>
      <c r="E196" s="90"/>
      <c r="F196" s="90"/>
      <c r="AE196" s="90"/>
      <c r="AF196" s="90"/>
      <c r="AG196" s="90"/>
      <c r="AH196" s="90"/>
      <c r="AI196" s="90"/>
    </row>
    <row r="197">
      <c r="A197" s="32"/>
      <c r="D197" s="187"/>
      <c r="E197" s="90"/>
      <c r="F197" s="90"/>
      <c r="AE197" s="90"/>
      <c r="AF197" s="90"/>
      <c r="AG197" s="90"/>
      <c r="AH197" s="90"/>
      <c r="AI197" s="90"/>
    </row>
    <row r="198">
      <c r="A198" s="32"/>
      <c r="D198" s="187"/>
      <c r="E198" s="90"/>
      <c r="F198" s="90"/>
      <c r="AE198" s="90"/>
      <c r="AF198" s="90"/>
      <c r="AG198" s="90"/>
      <c r="AH198" s="90"/>
      <c r="AI198" s="90"/>
    </row>
    <row r="199">
      <c r="A199" s="32"/>
      <c r="D199" s="187"/>
      <c r="E199" s="90"/>
      <c r="F199" s="90"/>
      <c r="AE199" s="90"/>
      <c r="AF199" s="90"/>
      <c r="AG199" s="90"/>
      <c r="AH199" s="90"/>
      <c r="AI199" s="90"/>
    </row>
    <row r="200">
      <c r="A200" s="32"/>
      <c r="D200" s="187"/>
      <c r="E200" s="90"/>
      <c r="F200" s="90"/>
      <c r="AE200" s="90"/>
      <c r="AF200" s="90"/>
      <c r="AG200" s="90"/>
      <c r="AH200" s="90"/>
      <c r="AI200" s="90"/>
    </row>
    <row r="201">
      <c r="A201" s="32"/>
      <c r="D201" s="187"/>
      <c r="E201" s="90"/>
      <c r="F201" s="90"/>
      <c r="AE201" s="90"/>
      <c r="AF201" s="90"/>
      <c r="AG201" s="90"/>
      <c r="AH201" s="90"/>
      <c r="AI201" s="90"/>
    </row>
    <row r="202">
      <c r="A202" s="32"/>
      <c r="D202" s="187"/>
      <c r="E202" s="90"/>
      <c r="F202" s="90"/>
      <c r="AE202" s="90"/>
      <c r="AF202" s="90"/>
      <c r="AG202" s="90"/>
      <c r="AH202" s="90"/>
      <c r="AI202" s="90"/>
    </row>
    <row r="203">
      <c r="A203" s="32"/>
      <c r="D203" s="187"/>
      <c r="E203" s="90"/>
      <c r="F203" s="90"/>
      <c r="AE203" s="90"/>
      <c r="AF203" s="90"/>
      <c r="AG203" s="90"/>
      <c r="AH203" s="90"/>
      <c r="AI203" s="90"/>
    </row>
    <row r="204">
      <c r="A204" s="32"/>
      <c r="D204" s="187"/>
      <c r="E204" s="90"/>
      <c r="F204" s="90"/>
      <c r="AE204" s="90"/>
      <c r="AF204" s="90"/>
      <c r="AG204" s="90"/>
      <c r="AH204" s="90"/>
      <c r="AI204" s="90"/>
    </row>
    <row r="205">
      <c r="A205" s="32"/>
      <c r="D205" s="187"/>
      <c r="E205" s="90"/>
      <c r="F205" s="90"/>
      <c r="AE205" s="90"/>
      <c r="AF205" s="90"/>
      <c r="AG205" s="90"/>
      <c r="AH205" s="90"/>
      <c r="AI205" s="90"/>
    </row>
    <row r="206">
      <c r="A206" s="32"/>
      <c r="D206" s="187"/>
      <c r="E206" s="90"/>
      <c r="F206" s="90"/>
      <c r="AE206" s="90"/>
      <c r="AF206" s="90"/>
      <c r="AG206" s="90"/>
      <c r="AH206" s="90"/>
      <c r="AI206" s="90"/>
    </row>
    <row r="207">
      <c r="A207" s="32"/>
      <c r="D207" s="187"/>
      <c r="E207" s="90"/>
      <c r="F207" s="90"/>
      <c r="AE207" s="90"/>
      <c r="AF207" s="90"/>
      <c r="AG207" s="90"/>
      <c r="AH207" s="90"/>
      <c r="AI207" s="90"/>
    </row>
    <row r="208">
      <c r="A208" s="32"/>
      <c r="D208" s="187"/>
      <c r="E208" s="90"/>
      <c r="F208" s="90"/>
      <c r="AE208" s="90"/>
      <c r="AF208" s="90"/>
      <c r="AG208" s="90"/>
      <c r="AH208" s="90"/>
      <c r="AI208" s="90"/>
    </row>
    <row r="209">
      <c r="A209" s="32"/>
      <c r="D209" s="187"/>
      <c r="E209" s="90"/>
      <c r="F209" s="90"/>
      <c r="AE209" s="90"/>
      <c r="AF209" s="90"/>
      <c r="AG209" s="90"/>
      <c r="AH209" s="90"/>
      <c r="AI209" s="90"/>
    </row>
    <row r="210">
      <c r="A210" s="32"/>
      <c r="D210" s="187"/>
      <c r="E210" s="90"/>
      <c r="F210" s="90"/>
      <c r="AE210" s="90"/>
      <c r="AF210" s="90"/>
      <c r="AG210" s="90"/>
      <c r="AH210" s="90"/>
      <c r="AI210" s="90"/>
    </row>
    <row r="211">
      <c r="A211" s="32"/>
      <c r="D211" s="187"/>
      <c r="E211" s="90"/>
      <c r="F211" s="90"/>
      <c r="AE211" s="90"/>
      <c r="AF211" s="90"/>
      <c r="AG211" s="90"/>
      <c r="AH211" s="90"/>
      <c r="AI211" s="90"/>
    </row>
    <row r="212">
      <c r="A212" s="32"/>
      <c r="D212" s="187"/>
      <c r="E212" s="90"/>
      <c r="F212" s="90"/>
      <c r="AE212" s="90"/>
      <c r="AF212" s="90"/>
      <c r="AG212" s="90"/>
      <c r="AH212" s="90"/>
      <c r="AI212" s="90"/>
    </row>
    <row r="213">
      <c r="A213" s="32"/>
      <c r="D213" s="187"/>
      <c r="E213" s="90"/>
      <c r="F213" s="90"/>
      <c r="AE213" s="90"/>
      <c r="AF213" s="90"/>
      <c r="AG213" s="90"/>
      <c r="AH213" s="90"/>
      <c r="AI213" s="90"/>
    </row>
    <row r="214">
      <c r="A214" s="32"/>
      <c r="D214" s="187"/>
      <c r="E214" s="90"/>
      <c r="F214" s="90"/>
      <c r="AE214" s="90"/>
      <c r="AF214" s="90"/>
      <c r="AG214" s="90"/>
      <c r="AH214" s="90"/>
      <c r="AI214" s="90"/>
    </row>
    <row r="215">
      <c r="A215" s="32"/>
      <c r="D215" s="187"/>
      <c r="E215" s="90"/>
      <c r="F215" s="90"/>
      <c r="AE215" s="90"/>
      <c r="AF215" s="90"/>
      <c r="AG215" s="90"/>
      <c r="AH215" s="90"/>
      <c r="AI215" s="90"/>
    </row>
    <row r="216">
      <c r="A216" s="32"/>
      <c r="D216" s="187"/>
      <c r="E216" s="90"/>
      <c r="F216" s="90"/>
      <c r="AE216" s="90"/>
      <c r="AF216" s="90"/>
      <c r="AG216" s="90"/>
      <c r="AH216" s="90"/>
      <c r="AI216" s="90"/>
    </row>
    <row r="217">
      <c r="A217" s="32"/>
      <c r="D217" s="187"/>
      <c r="E217" s="90"/>
      <c r="F217" s="90"/>
      <c r="AE217" s="90"/>
      <c r="AF217" s="90"/>
      <c r="AG217" s="90"/>
      <c r="AH217" s="90"/>
      <c r="AI217" s="90"/>
    </row>
    <row r="218">
      <c r="A218" s="32"/>
      <c r="D218" s="187"/>
      <c r="E218" s="90"/>
      <c r="F218" s="90"/>
      <c r="AE218" s="90"/>
      <c r="AF218" s="90"/>
      <c r="AG218" s="90"/>
      <c r="AH218" s="90"/>
      <c r="AI218" s="90"/>
    </row>
    <row r="219">
      <c r="A219" s="32"/>
      <c r="D219" s="187"/>
      <c r="E219" s="90"/>
      <c r="F219" s="90"/>
      <c r="AE219" s="90"/>
      <c r="AF219" s="90"/>
      <c r="AG219" s="90"/>
      <c r="AH219" s="90"/>
      <c r="AI219" s="90"/>
    </row>
    <row r="220">
      <c r="A220" s="32"/>
      <c r="D220" s="187"/>
      <c r="E220" s="90"/>
      <c r="F220" s="90"/>
      <c r="AE220" s="90"/>
      <c r="AF220" s="90"/>
      <c r="AG220" s="90"/>
      <c r="AH220" s="90"/>
      <c r="AI220" s="90"/>
    </row>
    <row r="221">
      <c r="A221" s="32"/>
      <c r="D221" s="187"/>
      <c r="E221" s="90"/>
      <c r="F221" s="90"/>
      <c r="AE221" s="90"/>
      <c r="AF221" s="90"/>
      <c r="AG221" s="90"/>
      <c r="AH221" s="90"/>
      <c r="AI221" s="90"/>
    </row>
    <row r="222">
      <c r="A222" s="32"/>
      <c r="D222" s="187"/>
      <c r="E222" s="90"/>
      <c r="F222" s="90"/>
      <c r="AE222" s="90"/>
      <c r="AF222" s="90"/>
      <c r="AG222" s="90"/>
      <c r="AH222" s="90"/>
      <c r="AI222" s="90"/>
    </row>
    <row r="223">
      <c r="A223" s="32"/>
      <c r="D223" s="187"/>
      <c r="E223" s="90"/>
      <c r="F223" s="90"/>
      <c r="AE223" s="90"/>
      <c r="AF223" s="90"/>
      <c r="AG223" s="90"/>
      <c r="AH223" s="90"/>
      <c r="AI223" s="90"/>
    </row>
    <row r="224">
      <c r="A224" s="32"/>
      <c r="D224" s="187"/>
      <c r="E224" s="90"/>
      <c r="F224" s="90"/>
      <c r="AE224" s="90"/>
      <c r="AF224" s="90"/>
      <c r="AG224" s="90"/>
      <c r="AH224" s="90"/>
      <c r="AI224" s="90"/>
    </row>
    <row r="225">
      <c r="A225" s="32"/>
      <c r="D225" s="187"/>
      <c r="E225" s="90"/>
      <c r="F225" s="90"/>
      <c r="AE225" s="90"/>
      <c r="AF225" s="90"/>
      <c r="AG225" s="90"/>
      <c r="AH225" s="90"/>
      <c r="AI225" s="90"/>
    </row>
    <row r="226">
      <c r="A226" s="32"/>
      <c r="D226" s="187"/>
      <c r="E226" s="90"/>
      <c r="F226" s="90"/>
      <c r="AE226" s="90"/>
      <c r="AF226" s="90"/>
      <c r="AG226" s="90"/>
      <c r="AH226" s="90"/>
      <c r="AI226" s="90"/>
    </row>
    <row r="227">
      <c r="A227" s="32"/>
      <c r="D227" s="187"/>
      <c r="E227" s="90"/>
      <c r="F227" s="90"/>
      <c r="AE227" s="90"/>
      <c r="AF227" s="90"/>
      <c r="AG227" s="90"/>
      <c r="AH227" s="90"/>
      <c r="AI227" s="90"/>
    </row>
    <row r="228">
      <c r="A228" s="32"/>
      <c r="D228" s="187"/>
      <c r="E228" s="90"/>
      <c r="F228" s="90"/>
      <c r="AE228" s="90"/>
      <c r="AF228" s="90"/>
      <c r="AG228" s="90"/>
      <c r="AH228" s="90"/>
      <c r="AI228" s="90"/>
    </row>
    <row r="229">
      <c r="A229" s="32"/>
      <c r="D229" s="187"/>
      <c r="E229" s="90"/>
      <c r="F229" s="90"/>
      <c r="AE229" s="90"/>
      <c r="AF229" s="90"/>
      <c r="AG229" s="90"/>
      <c r="AH229" s="90"/>
      <c r="AI229" s="90"/>
    </row>
    <row r="230">
      <c r="A230" s="32"/>
      <c r="D230" s="187"/>
      <c r="E230" s="90"/>
      <c r="F230" s="90"/>
      <c r="AE230" s="90"/>
      <c r="AF230" s="90"/>
      <c r="AG230" s="90"/>
      <c r="AH230" s="90"/>
      <c r="AI230" s="90"/>
    </row>
    <row r="231">
      <c r="A231" s="32"/>
      <c r="D231" s="187"/>
      <c r="E231" s="90"/>
      <c r="F231" s="90"/>
      <c r="AE231" s="90"/>
      <c r="AF231" s="90"/>
      <c r="AG231" s="90"/>
      <c r="AH231" s="90"/>
      <c r="AI231" s="90"/>
    </row>
    <row r="232">
      <c r="A232" s="32"/>
      <c r="D232" s="187"/>
      <c r="E232" s="90"/>
      <c r="F232" s="90"/>
      <c r="AE232" s="90"/>
      <c r="AF232" s="90"/>
      <c r="AG232" s="90"/>
      <c r="AH232" s="90"/>
      <c r="AI232" s="90"/>
    </row>
    <row r="233">
      <c r="A233" s="32"/>
      <c r="D233" s="187"/>
      <c r="E233" s="90"/>
      <c r="F233" s="90"/>
      <c r="AE233" s="90"/>
      <c r="AF233" s="90"/>
      <c r="AG233" s="90"/>
      <c r="AH233" s="90"/>
      <c r="AI233" s="90"/>
    </row>
    <row r="234">
      <c r="A234" s="32"/>
      <c r="D234" s="187"/>
      <c r="E234" s="90"/>
      <c r="F234" s="90"/>
      <c r="AE234" s="90"/>
      <c r="AF234" s="90"/>
      <c r="AG234" s="90"/>
      <c r="AH234" s="90"/>
      <c r="AI234" s="90"/>
    </row>
    <row r="235">
      <c r="A235" s="32"/>
      <c r="D235" s="187"/>
      <c r="E235" s="90"/>
      <c r="F235" s="90"/>
      <c r="AE235" s="90"/>
      <c r="AF235" s="90"/>
      <c r="AG235" s="90"/>
      <c r="AH235" s="90"/>
      <c r="AI235" s="90"/>
    </row>
    <row r="236">
      <c r="A236" s="32"/>
      <c r="D236" s="187"/>
      <c r="E236" s="90"/>
      <c r="F236" s="90"/>
      <c r="AE236" s="90"/>
      <c r="AF236" s="90"/>
      <c r="AG236" s="90"/>
      <c r="AH236" s="90"/>
      <c r="AI236" s="90"/>
    </row>
    <row r="237">
      <c r="A237" s="32"/>
      <c r="D237" s="187"/>
      <c r="E237" s="90"/>
      <c r="F237" s="90"/>
      <c r="AE237" s="90"/>
      <c r="AF237" s="90"/>
      <c r="AG237" s="90"/>
      <c r="AH237" s="90"/>
      <c r="AI237" s="90"/>
    </row>
    <row r="238">
      <c r="A238" s="32"/>
      <c r="D238" s="187"/>
      <c r="E238" s="90"/>
      <c r="F238" s="90"/>
      <c r="AE238" s="90"/>
      <c r="AF238" s="90"/>
      <c r="AG238" s="90"/>
      <c r="AH238" s="90"/>
      <c r="AI238" s="90"/>
    </row>
    <row r="239">
      <c r="A239" s="32"/>
      <c r="D239" s="187"/>
      <c r="E239" s="90"/>
      <c r="F239" s="90"/>
      <c r="AE239" s="90"/>
      <c r="AF239" s="90"/>
      <c r="AG239" s="90"/>
      <c r="AH239" s="90"/>
      <c r="AI239" s="90"/>
    </row>
    <row r="240">
      <c r="A240" s="32"/>
      <c r="D240" s="187"/>
      <c r="E240" s="90"/>
      <c r="F240" s="90"/>
      <c r="AE240" s="90"/>
      <c r="AF240" s="90"/>
      <c r="AG240" s="90"/>
      <c r="AH240" s="90"/>
      <c r="AI240" s="90"/>
    </row>
    <row r="241">
      <c r="A241" s="32"/>
      <c r="D241" s="187"/>
      <c r="E241" s="90"/>
      <c r="F241" s="90"/>
      <c r="AE241" s="90"/>
      <c r="AF241" s="90"/>
      <c r="AG241" s="90"/>
      <c r="AH241" s="90"/>
      <c r="AI241" s="90"/>
    </row>
    <row r="242">
      <c r="A242" s="32"/>
      <c r="D242" s="187"/>
      <c r="E242" s="90"/>
      <c r="F242" s="90"/>
      <c r="AE242" s="90"/>
      <c r="AF242" s="90"/>
      <c r="AG242" s="90"/>
      <c r="AH242" s="90"/>
      <c r="AI242" s="90"/>
    </row>
    <row r="243">
      <c r="A243" s="32"/>
      <c r="D243" s="187"/>
      <c r="E243" s="90"/>
      <c r="F243" s="90"/>
      <c r="AE243" s="90"/>
      <c r="AF243" s="90"/>
      <c r="AG243" s="90"/>
      <c r="AH243" s="90"/>
      <c r="AI243" s="90"/>
    </row>
    <row r="244">
      <c r="A244" s="32"/>
      <c r="D244" s="187"/>
      <c r="E244" s="90"/>
      <c r="F244" s="90"/>
      <c r="AE244" s="90"/>
      <c r="AF244" s="90"/>
      <c r="AG244" s="90"/>
      <c r="AH244" s="90"/>
      <c r="AI244" s="90"/>
    </row>
    <row r="245">
      <c r="A245" s="32"/>
      <c r="D245" s="187"/>
      <c r="E245" s="90"/>
      <c r="F245" s="90"/>
      <c r="AE245" s="90"/>
      <c r="AF245" s="90"/>
      <c r="AG245" s="90"/>
      <c r="AH245" s="90"/>
      <c r="AI245" s="90"/>
    </row>
    <row r="246">
      <c r="A246" s="32"/>
      <c r="D246" s="187"/>
      <c r="E246" s="90"/>
      <c r="F246" s="90"/>
      <c r="AE246" s="90"/>
      <c r="AF246" s="90"/>
      <c r="AG246" s="90"/>
      <c r="AH246" s="90"/>
      <c r="AI246" s="90"/>
    </row>
    <row r="247">
      <c r="A247" s="32"/>
      <c r="D247" s="187"/>
      <c r="E247" s="90"/>
      <c r="F247" s="90"/>
      <c r="AE247" s="90"/>
      <c r="AF247" s="90"/>
      <c r="AG247" s="90"/>
      <c r="AH247" s="90"/>
      <c r="AI247" s="90"/>
    </row>
    <row r="248">
      <c r="A248" s="32"/>
      <c r="D248" s="187"/>
      <c r="E248" s="90"/>
      <c r="F248" s="90"/>
      <c r="AE248" s="90"/>
      <c r="AF248" s="90"/>
      <c r="AG248" s="90"/>
      <c r="AH248" s="90"/>
      <c r="AI248" s="90"/>
    </row>
    <row r="249">
      <c r="A249" s="32"/>
      <c r="D249" s="187"/>
      <c r="E249" s="90"/>
      <c r="F249" s="90"/>
      <c r="AE249" s="90"/>
      <c r="AF249" s="90"/>
      <c r="AG249" s="90"/>
      <c r="AH249" s="90"/>
      <c r="AI249" s="90"/>
    </row>
    <row r="250">
      <c r="A250" s="32"/>
      <c r="D250" s="187"/>
      <c r="E250" s="90"/>
      <c r="F250" s="90"/>
      <c r="AE250" s="90"/>
      <c r="AF250" s="90"/>
      <c r="AG250" s="90"/>
      <c r="AH250" s="90"/>
      <c r="AI250" s="90"/>
    </row>
    <row r="251">
      <c r="A251" s="32"/>
      <c r="D251" s="187"/>
      <c r="E251" s="90"/>
      <c r="F251" s="90"/>
      <c r="AE251" s="90"/>
      <c r="AF251" s="90"/>
      <c r="AG251" s="90"/>
      <c r="AH251" s="90"/>
      <c r="AI251" s="90"/>
    </row>
    <row r="252">
      <c r="A252" s="32"/>
      <c r="D252" s="187"/>
      <c r="E252" s="90"/>
      <c r="F252" s="90"/>
      <c r="AE252" s="90"/>
      <c r="AF252" s="90"/>
      <c r="AG252" s="90"/>
      <c r="AH252" s="90"/>
      <c r="AI252" s="90"/>
    </row>
    <row r="253">
      <c r="A253" s="32"/>
      <c r="D253" s="187"/>
      <c r="E253" s="90"/>
      <c r="F253" s="90"/>
      <c r="AE253" s="90"/>
      <c r="AF253" s="90"/>
      <c r="AG253" s="90"/>
      <c r="AH253" s="90"/>
      <c r="AI253" s="90"/>
    </row>
    <row r="254">
      <c r="A254" s="32"/>
      <c r="D254" s="187"/>
      <c r="E254" s="90"/>
      <c r="F254" s="90"/>
      <c r="AE254" s="90"/>
      <c r="AF254" s="90"/>
      <c r="AG254" s="90"/>
      <c r="AH254" s="90"/>
      <c r="AI254" s="90"/>
    </row>
    <row r="255">
      <c r="A255" s="32"/>
      <c r="D255" s="187"/>
      <c r="E255" s="90"/>
      <c r="F255" s="90"/>
      <c r="AE255" s="90"/>
      <c r="AF255" s="90"/>
      <c r="AG255" s="90"/>
      <c r="AH255" s="90"/>
      <c r="AI255" s="90"/>
    </row>
    <row r="256">
      <c r="A256" s="32"/>
      <c r="D256" s="187"/>
      <c r="E256" s="90"/>
      <c r="F256" s="90"/>
      <c r="AE256" s="90"/>
      <c r="AF256" s="90"/>
      <c r="AG256" s="90"/>
      <c r="AH256" s="90"/>
      <c r="AI256" s="90"/>
    </row>
    <row r="257">
      <c r="A257" s="32"/>
      <c r="D257" s="187"/>
      <c r="E257" s="90"/>
      <c r="F257" s="90"/>
      <c r="AE257" s="90"/>
      <c r="AF257" s="90"/>
      <c r="AG257" s="90"/>
      <c r="AH257" s="90"/>
      <c r="AI257" s="90"/>
    </row>
    <row r="258">
      <c r="A258" s="32"/>
      <c r="D258" s="187"/>
      <c r="E258" s="90"/>
      <c r="F258" s="90"/>
      <c r="AE258" s="90"/>
      <c r="AF258" s="90"/>
      <c r="AG258" s="90"/>
      <c r="AH258" s="90"/>
      <c r="AI258" s="90"/>
    </row>
    <row r="259">
      <c r="A259" s="32"/>
      <c r="D259" s="187"/>
      <c r="E259" s="90"/>
      <c r="F259" s="90"/>
      <c r="AE259" s="90"/>
      <c r="AF259" s="90"/>
      <c r="AG259" s="90"/>
      <c r="AH259" s="90"/>
      <c r="AI259" s="90"/>
    </row>
    <row r="260">
      <c r="A260" s="32"/>
      <c r="D260" s="187"/>
      <c r="E260" s="90"/>
      <c r="F260" s="90"/>
      <c r="AE260" s="90"/>
      <c r="AF260" s="90"/>
      <c r="AG260" s="90"/>
      <c r="AH260" s="90"/>
      <c r="AI260" s="90"/>
    </row>
    <row r="261">
      <c r="A261" s="32"/>
      <c r="D261" s="187"/>
      <c r="E261" s="90"/>
      <c r="F261" s="90"/>
      <c r="AE261" s="90"/>
      <c r="AF261" s="90"/>
      <c r="AG261" s="90"/>
      <c r="AH261" s="90"/>
      <c r="AI261" s="90"/>
    </row>
    <row r="262">
      <c r="A262" s="32"/>
      <c r="D262" s="187"/>
      <c r="E262" s="90"/>
      <c r="F262" s="90"/>
      <c r="AE262" s="90"/>
      <c r="AF262" s="90"/>
      <c r="AG262" s="90"/>
      <c r="AH262" s="90"/>
      <c r="AI262" s="90"/>
    </row>
    <row r="263">
      <c r="A263" s="32"/>
      <c r="D263" s="187"/>
      <c r="E263" s="90"/>
      <c r="F263" s="90"/>
      <c r="AE263" s="90"/>
      <c r="AF263" s="90"/>
      <c r="AG263" s="90"/>
      <c r="AH263" s="90"/>
      <c r="AI263" s="90"/>
    </row>
    <row r="264">
      <c r="A264" s="32"/>
      <c r="D264" s="187"/>
      <c r="E264" s="90"/>
      <c r="F264" s="90"/>
      <c r="AE264" s="90"/>
      <c r="AF264" s="90"/>
      <c r="AG264" s="90"/>
      <c r="AH264" s="90"/>
      <c r="AI264" s="90"/>
    </row>
    <row r="265">
      <c r="A265" s="32"/>
      <c r="D265" s="187"/>
      <c r="E265" s="90"/>
      <c r="F265" s="90"/>
      <c r="AE265" s="90"/>
      <c r="AF265" s="90"/>
      <c r="AG265" s="90"/>
      <c r="AH265" s="90"/>
      <c r="AI265" s="90"/>
    </row>
    <row r="266">
      <c r="A266" s="32"/>
      <c r="D266" s="187"/>
      <c r="E266" s="90"/>
      <c r="F266" s="90"/>
      <c r="AE266" s="90"/>
      <c r="AF266" s="90"/>
      <c r="AG266" s="90"/>
      <c r="AH266" s="90"/>
      <c r="AI266" s="90"/>
    </row>
    <row r="267">
      <c r="A267" s="32"/>
      <c r="D267" s="187"/>
      <c r="E267" s="90"/>
      <c r="F267" s="90"/>
      <c r="AE267" s="90"/>
      <c r="AF267" s="90"/>
      <c r="AG267" s="90"/>
      <c r="AH267" s="90"/>
      <c r="AI267" s="90"/>
    </row>
    <row r="268">
      <c r="A268" s="32"/>
      <c r="D268" s="187"/>
      <c r="E268" s="90"/>
      <c r="F268" s="90"/>
      <c r="AE268" s="90"/>
      <c r="AF268" s="90"/>
      <c r="AG268" s="90"/>
      <c r="AH268" s="90"/>
      <c r="AI268" s="90"/>
    </row>
    <row r="269">
      <c r="A269" s="32"/>
      <c r="D269" s="187"/>
      <c r="E269" s="90"/>
      <c r="F269" s="90"/>
      <c r="AE269" s="90"/>
      <c r="AF269" s="90"/>
      <c r="AG269" s="90"/>
      <c r="AH269" s="90"/>
      <c r="AI269" s="90"/>
    </row>
    <row r="270">
      <c r="A270" s="32"/>
      <c r="D270" s="187"/>
      <c r="E270" s="90"/>
      <c r="F270" s="90"/>
      <c r="AE270" s="90"/>
      <c r="AF270" s="90"/>
      <c r="AG270" s="90"/>
      <c r="AH270" s="90"/>
      <c r="AI270" s="90"/>
    </row>
    <row r="271">
      <c r="A271" s="32"/>
      <c r="D271" s="187"/>
      <c r="E271" s="90"/>
      <c r="F271" s="90"/>
      <c r="AE271" s="90"/>
      <c r="AF271" s="90"/>
      <c r="AG271" s="90"/>
      <c r="AH271" s="90"/>
      <c r="AI271" s="90"/>
    </row>
    <row r="272">
      <c r="A272" s="32"/>
      <c r="D272" s="187"/>
      <c r="E272" s="90"/>
      <c r="F272" s="90"/>
      <c r="AE272" s="90"/>
      <c r="AF272" s="90"/>
      <c r="AG272" s="90"/>
      <c r="AH272" s="90"/>
      <c r="AI272" s="90"/>
    </row>
    <row r="273">
      <c r="A273" s="32"/>
      <c r="D273" s="187"/>
      <c r="E273" s="90"/>
      <c r="F273" s="90"/>
      <c r="AE273" s="90"/>
      <c r="AF273" s="90"/>
      <c r="AG273" s="90"/>
      <c r="AH273" s="90"/>
      <c r="AI273" s="90"/>
    </row>
    <row r="274">
      <c r="A274" s="32"/>
      <c r="D274" s="187"/>
      <c r="E274" s="90"/>
      <c r="F274" s="90"/>
      <c r="AE274" s="90"/>
      <c r="AF274" s="90"/>
      <c r="AG274" s="90"/>
      <c r="AH274" s="90"/>
      <c r="AI274" s="90"/>
    </row>
    <row r="275">
      <c r="A275" s="32"/>
      <c r="D275" s="187"/>
      <c r="E275" s="90"/>
      <c r="F275" s="90"/>
      <c r="AE275" s="90"/>
      <c r="AF275" s="90"/>
      <c r="AG275" s="90"/>
      <c r="AH275" s="90"/>
      <c r="AI275" s="90"/>
    </row>
    <row r="276">
      <c r="A276" s="32"/>
      <c r="D276" s="187"/>
      <c r="E276" s="90"/>
      <c r="F276" s="90"/>
      <c r="AE276" s="90"/>
      <c r="AF276" s="90"/>
      <c r="AG276" s="90"/>
      <c r="AH276" s="90"/>
      <c r="AI276" s="90"/>
    </row>
    <row r="277">
      <c r="A277" s="32"/>
      <c r="D277" s="187"/>
      <c r="E277" s="90"/>
      <c r="F277" s="90"/>
      <c r="AE277" s="90"/>
      <c r="AF277" s="90"/>
      <c r="AG277" s="90"/>
      <c r="AH277" s="90"/>
      <c r="AI277" s="90"/>
    </row>
    <row r="278">
      <c r="A278" s="32"/>
      <c r="D278" s="187"/>
      <c r="E278" s="90"/>
      <c r="F278" s="90"/>
      <c r="AE278" s="90"/>
      <c r="AF278" s="90"/>
      <c r="AG278" s="90"/>
      <c r="AH278" s="90"/>
      <c r="AI278" s="90"/>
    </row>
    <row r="279">
      <c r="A279" s="32"/>
      <c r="D279" s="187"/>
      <c r="E279" s="90"/>
      <c r="F279" s="90"/>
      <c r="AE279" s="90"/>
      <c r="AF279" s="90"/>
      <c r="AG279" s="90"/>
      <c r="AH279" s="90"/>
      <c r="AI279" s="90"/>
    </row>
    <row r="280">
      <c r="A280" s="32"/>
      <c r="D280" s="187"/>
      <c r="E280" s="90"/>
      <c r="F280" s="90"/>
      <c r="AE280" s="90"/>
      <c r="AF280" s="90"/>
      <c r="AG280" s="90"/>
      <c r="AH280" s="90"/>
      <c r="AI280" s="90"/>
    </row>
    <row r="281">
      <c r="A281" s="32"/>
      <c r="D281" s="187"/>
      <c r="E281" s="90"/>
      <c r="F281" s="90"/>
      <c r="AE281" s="90"/>
      <c r="AF281" s="90"/>
      <c r="AG281" s="90"/>
      <c r="AH281" s="90"/>
      <c r="AI281" s="90"/>
    </row>
    <row r="282">
      <c r="A282" s="32"/>
      <c r="D282" s="187"/>
      <c r="E282" s="90"/>
      <c r="F282" s="90"/>
      <c r="AE282" s="90"/>
      <c r="AF282" s="90"/>
      <c r="AG282" s="90"/>
      <c r="AH282" s="90"/>
      <c r="AI282" s="90"/>
    </row>
    <row r="283">
      <c r="A283" s="32"/>
      <c r="D283" s="187"/>
      <c r="E283" s="90"/>
      <c r="F283" s="90"/>
      <c r="AE283" s="90"/>
      <c r="AF283" s="90"/>
      <c r="AG283" s="90"/>
      <c r="AH283" s="90"/>
      <c r="AI283" s="90"/>
    </row>
    <row r="284">
      <c r="A284" s="32"/>
      <c r="D284" s="187"/>
      <c r="E284" s="90"/>
      <c r="F284" s="90"/>
      <c r="AE284" s="90"/>
      <c r="AF284" s="90"/>
      <c r="AG284" s="90"/>
      <c r="AH284" s="90"/>
      <c r="AI284" s="90"/>
    </row>
    <row r="285">
      <c r="A285" s="32"/>
      <c r="D285" s="187"/>
      <c r="E285" s="90"/>
      <c r="F285" s="90"/>
      <c r="AE285" s="90"/>
      <c r="AF285" s="90"/>
      <c r="AG285" s="90"/>
      <c r="AH285" s="90"/>
      <c r="AI285" s="90"/>
    </row>
    <row r="286">
      <c r="A286" s="32"/>
      <c r="D286" s="187"/>
      <c r="E286" s="90"/>
      <c r="F286" s="90"/>
      <c r="AE286" s="90"/>
      <c r="AF286" s="90"/>
      <c r="AG286" s="90"/>
      <c r="AH286" s="90"/>
      <c r="AI286" s="90"/>
    </row>
    <row r="287">
      <c r="A287" s="32"/>
      <c r="D287" s="187"/>
      <c r="E287" s="90"/>
      <c r="F287" s="90"/>
      <c r="AE287" s="90"/>
      <c r="AF287" s="90"/>
      <c r="AG287" s="90"/>
      <c r="AH287" s="90"/>
      <c r="AI287" s="90"/>
    </row>
    <row r="288">
      <c r="A288" s="32"/>
      <c r="D288" s="187"/>
      <c r="E288" s="90"/>
      <c r="F288" s="90"/>
      <c r="AE288" s="90"/>
      <c r="AF288" s="90"/>
      <c r="AG288" s="90"/>
      <c r="AH288" s="90"/>
      <c r="AI288" s="90"/>
    </row>
    <row r="289">
      <c r="A289" s="32"/>
      <c r="D289" s="187"/>
      <c r="E289" s="90"/>
      <c r="F289" s="90"/>
      <c r="AE289" s="90"/>
      <c r="AF289" s="90"/>
      <c r="AG289" s="90"/>
      <c r="AH289" s="90"/>
      <c r="AI289" s="90"/>
    </row>
    <row r="290">
      <c r="A290" s="32"/>
      <c r="D290" s="187"/>
      <c r="E290" s="90"/>
      <c r="F290" s="90"/>
      <c r="AE290" s="90"/>
      <c r="AF290" s="90"/>
      <c r="AG290" s="90"/>
      <c r="AH290" s="90"/>
      <c r="AI290" s="90"/>
    </row>
    <row r="291">
      <c r="A291" s="32"/>
      <c r="D291" s="187"/>
      <c r="E291" s="90"/>
      <c r="F291" s="90"/>
      <c r="AE291" s="90"/>
      <c r="AF291" s="90"/>
      <c r="AG291" s="90"/>
      <c r="AH291" s="90"/>
      <c r="AI291" s="90"/>
    </row>
    <row r="292">
      <c r="A292" s="32"/>
      <c r="D292" s="187"/>
      <c r="E292" s="90"/>
      <c r="F292" s="90"/>
      <c r="AE292" s="90"/>
      <c r="AF292" s="90"/>
      <c r="AG292" s="90"/>
      <c r="AH292" s="90"/>
      <c r="AI292" s="90"/>
    </row>
    <row r="293">
      <c r="A293" s="32"/>
      <c r="D293" s="187"/>
      <c r="E293" s="90"/>
      <c r="F293" s="90"/>
      <c r="AE293" s="90"/>
      <c r="AF293" s="90"/>
      <c r="AG293" s="90"/>
      <c r="AH293" s="90"/>
      <c r="AI293" s="90"/>
    </row>
    <row r="294">
      <c r="A294" s="32"/>
      <c r="D294" s="187"/>
      <c r="E294" s="90"/>
      <c r="F294" s="90"/>
      <c r="AE294" s="90"/>
      <c r="AF294" s="90"/>
      <c r="AG294" s="90"/>
      <c r="AH294" s="90"/>
      <c r="AI294" s="90"/>
    </row>
    <row r="295">
      <c r="A295" s="32"/>
      <c r="D295" s="187"/>
      <c r="E295" s="90"/>
      <c r="F295" s="90"/>
      <c r="AE295" s="90"/>
      <c r="AF295" s="90"/>
      <c r="AG295" s="90"/>
      <c r="AH295" s="90"/>
      <c r="AI295" s="90"/>
    </row>
    <row r="296">
      <c r="A296" s="32"/>
      <c r="D296" s="187"/>
      <c r="E296" s="90"/>
      <c r="F296" s="90"/>
      <c r="AE296" s="90"/>
      <c r="AF296" s="90"/>
      <c r="AG296" s="90"/>
      <c r="AH296" s="90"/>
      <c r="AI296" s="90"/>
    </row>
    <row r="297">
      <c r="A297" s="32"/>
      <c r="D297" s="187"/>
      <c r="E297" s="90"/>
      <c r="F297" s="90"/>
      <c r="AE297" s="90"/>
      <c r="AF297" s="90"/>
      <c r="AG297" s="90"/>
      <c r="AH297" s="90"/>
      <c r="AI297" s="90"/>
    </row>
    <row r="298">
      <c r="A298" s="32"/>
      <c r="D298" s="187"/>
      <c r="E298" s="90"/>
      <c r="F298" s="90"/>
      <c r="AE298" s="90"/>
      <c r="AF298" s="90"/>
      <c r="AG298" s="90"/>
      <c r="AH298" s="90"/>
      <c r="AI298" s="90"/>
    </row>
    <row r="299">
      <c r="A299" s="32"/>
      <c r="D299" s="187"/>
      <c r="E299" s="90"/>
      <c r="F299" s="90"/>
      <c r="AE299" s="90"/>
      <c r="AF299" s="90"/>
      <c r="AG299" s="90"/>
      <c r="AH299" s="90"/>
      <c r="AI299" s="90"/>
    </row>
    <row r="300">
      <c r="A300" s="32"/>
      <c r="D300" s="187"/>
      <c r="E300" s="90"/>
      <c r="F300" s="90"/>
      <c r="AE300" s="90"/>
      <c r="AF300" s="90"/>
      <c r="AG300" s="90"/>
      <c r="AH300" s="90"/>
      <c r="AI300" s="90"/>
    </row>
    <row r="301">
      <c r="A301" s="32"/>
      <c r="D301" s="187"/>
      <c r="E301" s="90"/>
      <c r="F301" s="90"/>
      <c r="AE301" s="90"/>
      <c r="AF301" s="90"/>
      <c r="AG301" s="90"/>
      <c r="AH301" s="90"/>
      <c r="AI301" s="90"/>
    </row>
    <row r="302">
      <c r="A302" s="32"/>
      <c r="D302" s="187"/>
      <c r="E302" s="90"/>
      <c r="F302" s="90"/>
      <c r="AE302" s="90"/>
      <c r="AF302" s="90"/>
      <c r="AG302" s="90"/>
      <c r="AH302" s="90"/>
      <c r="AI302" s="90"/>
    </row>
    <row r="303">
      <c r="A303" s="32"/>
      <c r="D303" s="187"/>
      <c r="E303" s="90"/>
      <c r="F303" s="90"/>
      <c r="AE303" s="90"/>
      <c r="AF303" s="90"/>
      <c r="AG303" s="90"/>
      <c r="AH303" s="90"/>
      <c r="AI303" s="90"/>
    </row>
    <row r="304">
      <c r="A304" s="32"/>
      <c r="D304" s="187"/>
      <c r="E304" s="90"/>
      <c r="F304" s="90"/>
      <c r="AE304" s="90"/>
      <c r="AF304" s="90"/>
      <c r="AG304" s="90"/>
      <c r="AH304" s="90"/>
      <c r="AI304" s="90"/>
    </row>
    <row r="305">
      <c r="A305" s="32"/>
      <c r="D305" s="187"/>
      <c r="E305" s="90"/>
      <c r="F305" s="90"/>
      <c r="AE305" s="90"/>
      <c r="AF305" s="90"/>
      <c r="AG305" s="90"/>
      <c r="AH305" s="90"/>
      <c r="AI305" s="90"/>
    </row>
    <row r="306">
      <c r="A306" s="32"/>
      <c r="D306" s="187"/>
      <c r="E306" s="90"/>
      <c r="F306" s="90"/>
      <c r="AE306" s="90"/>
      <c r="AF306" s="90"/>
      <c r="AG306" s="90"/>
      <c r="AH306" s="90"/>
      <c r="AI306" s="90"/>
    </row>
    <row r="307">
      <c r="A307" s="32"/>
      <c r="D307" s="187"/>
      <c r="E307" s="90"/>
      <c r="F307" s="90"/>
      <c r="AE307" s="90"/>
      <c r="AF307" s="90"/>
      <c r="AG307" s="90"/>
      <c r="AH307" s="90"/>
      <c r="AI307" s="90"/>
    </row>
    <row r="308">
      <c r="A308" s="32"/>
      <c r="D308" s="187"/>
      <c r="E308" s="90"/>
      <c r="F308" s="90"/>
      <c r="AE308" s="90"/>
      <c r="AF308" s="90"/>
      <c r="AG308" s="90"/>
      <c r="AH308" s="90"/>
      <c r="AI308" s="90"/>
    </row>
    <row r="309">
      <c r="A309" s="32"/>
      <c r="D309" s="187"/>
      <c r="E309" s="90"/>
      <c r="F309" s="90"/>
      <c r="AE309" s="90"/>
      <c r="AF309" s="90"/>
      <c r="AG309" s="90"/>
      <c r="AH309" s="90"/>
      <c r="AI309" s="90"/>
    </row>
    <row r="310">
      <c r="A310" s="32"/>
      <c r="D310" s="187"/>
      <c r="E310" s="90"/>
      <c r="F310" s="90"/>
      <c r="AE310" s="90"/>
      <c r="AF310" s="90"/>
      <c r="AG310" s="90"/>
      <c r="AH310" s="90"/>
      <c r="AI310" s="90"/>
    </row>
    <row r="311">
      <c r="A311" s="32"/>
      <c r="D311" s="187"/>
      <c r="E311" s="90"/>
      <c r="F311" s="90"/>
      <c r="AE311" s="90"/>
      <c r="AF311" s="90"/>
      <c r="AG311" s="90"/>
      <c r="AH311" s="90"/>
      <c r="AI311" s="90"/>
    </row>
    <row r="312">
      <c r="A312" s="32"/>
      <c r="D312" s="187"/>
      <c r="E312" s="90"/>
      <c r="F312" s="90"/>
      <c r="AE312" s="90"/>
      <c r="AF312" s="90"/>
      <c r="AG312" s="90"/>
      <c r="AH312" s="90"/>
      <c r="AI312" s="90"/>
    </row>
    <row r="313">
      <c r="A313" s="32"/>
      <c r="D313" s="187"/>
      <c r="E313" s="90"/>
      <c r="F313" s="90"/>
      <c r="AE313" s="90"/>
      <c r="AF313" s="90"/>
      <c r="AG313" s="90"/>
      <c r="AH313" s="90"/>
      <c r="AI313" s="90"/>
    </row>
    <row r="314">
      <c r="A314" s="32"/>
      <c r="D314" s="187"/>
      <c r="E314" s="90"/>
      <c r="F314" s="90"/>
      <c r="AE314" s="90"/>
      <c r="AF314" s="90"/>
      <c r="AG314" s="90"/>
      <c r="AH314" s="90"/>
      <c r="AI314" s="90"/>
    </row>
    <row r="315">
      <c r="A315" s="32"/>
      <c r="D315" s="187"/>
      <c r="E315" s="90"/>
      <c r="F315" s="90"/>
      <c r="AE315" s="90"/>
      <c r="AF315" s="90"/>
      <c r="AG315" s="90"/>
      <c r="AH315" s="90"/>
      <c r="AI315" s="90"/>
    </row>
    <row r="316">
      <c r="A316" s="32"/>
      <c r="D316" s="187"/>
      <c r="E316" s="90"/>
      <c r="F316" s="90"/>
      <c r="AE316" s="90"/>
      <c r="AF316" s="90"/>
      <c r="AG316" s="90"/>
      <c r="AH316" s="90"/>
      <c r="AI316" s="90"/>
    </row>
    <row r="317">
      <c r="A317" s="32"/>
      <c r="D317" s="187"/>
      <c r="E317" s="90"/>
      <c r="F317" s="90"/>
      <c r="AE317" s="90"/>
      <c r="AF317" s="90"/>
      <c r="AG317" s="90"/>
      <c r="AH317" s="90"/>
      <c r="AI317" s="90"/>
    </row>
    <row r="318">
      <c r="A318" s="32"/>
      <c r="D318" s="187"/>
      <c r="E318" s="90"/>
      <c r="F318" s="90"/>
      <c r="AE318" s="90"/>
      <c r="AF318" s="90"/>
      <c r="AG318" s="90"/>
      <c r="AH318" s="90"/>
      <c r="AI318" s="90"/>
    </row>
    <row r="319">
      <c r="A319" s="32"/>
      <c r="D319" s="187"/>
      <c r="E319" s="90"/>
      <c r="F319" s="90"/>
      <c r="AE319" s="90"/>
      <c r="AF319" s="90"/>
      <c r="AG319" s="90"/>
      <c r="AH319" s="90"/>
      <c r="AI319" s="90"/>
    </row>
    <row r="320">
      <c r="A320" s="32"/>
      <c r="D320" s="187"/>
      <c r="E320" s="90"/>
      <c r="F320" s="90"/>
      <c r="AE320" s="90"/>
      <c r="AF320" s="90"/>
      <c r="AG320" s="90"/>
      <c r="AH320" s="90"/>
      <c r="AI320" s="90"/>
    </row>
    <row r="321">
      <c r="A321" s="32"/>
      <c r="D321" s="187"/>
      <c r="E321" s="90"/>
      <c r="F321" s="90"/>
      <c r="AE321" s="90"/>
      <c r="AF321" s="90"/>
      <c r="AG321" s="90"/>
      <c r="AH321" s="90"/>
      <c r="AI321" s="90"/>
    </row>
    <row r="322">
      <c r="A322" s="32"/>
      <c r="D322" s="187"/>
      <c r="E322" s="90"/>
      <c r="F322" s="90"/>
      <c r="AE322" s="90"/>
      <c r="AF322" s="90"/>
      <c r="AG322" s="90"/>
      <c r="AH322" s="90"/>
      <c r="AI322" s="90"/>
    </row>
    <row r="323">
      <c r="A323" s="32"/>
      <c r="D323" s="187"/>
      <c r="E323" s="90"/>
      <c r="F323" s="90"/>
      <c r="AE323" s="90"/>
      <c r="AF323" s="90"/>
      <c r="AG323" s="90"/>
      <c r="AH323" s="90"/>
      <c r="AI323" s="90"/>
    </row>
    <row r="324">
      <c r="A324" s="32"/>
      <c r="D324" s="187"/>
      <c r="E324" s="90"/>
      <c r="F324" s="90"/>
      <c r="AE324" s="90"/>
      <c r="AF324" s="90"/>
      <c r="AG324" s="90"/>
      <c r="AH324" s="90"/>
      <c r="AI324" s="90"/>
    </row>
    <row r="325">
      <c r="A325" s="32"/>
      <c r="D325" s="187"/>
      <c r="E325" s="90"/>
      <c r="F325" s="90"/>
      <c r="AE325" s="90"/>
      <c r="AF325" s="90"/>
      <c r="AG325" s="90"/>
      <c r="AH325" s="90"/>
      <c r="AI325" s="90"/>
    </row>
    <row r="326">
      <c r="A326" s="32"/>
      <c r="D326" s="187"/>
      <c r="E326" s="90"/>
      <c r="F326" s="90"/>
      <c r="AE326" s="90"/>
      <c r="AF326" s="90"/>
      <c r="AG326" s="90"/>
      <c r="AH326" s="90"/>
      <c r="AI326" s="90"/>
    </row>
    <row r="327">
      <c r="A327" s="32"/>
      <c r="D327" s="187"/>
      <c r="E327" s="90"/>
      <c r="F327" s="90"/>
      <c r="AE327" s="90"/>
      <c r="AF327" s="90"/>
      <c r="AG327" s="90"/>
      <c r="AH327" s="90"/>
      <c r="AI327" s="90"/>
    </row>
    <row r="328">
      <c r="A328" s="32"/>
      <c r="D328" s="187"/>
      <c r="E328" s="90"/>
      <c r="F328" s="90"/>
      <c r="AE328" s="90"/>
      <c r="AF328" s="90"/>
      <c r="AG328" s="90"/>
      <c r="AH328" s="90"/>
      <c r="AI328" s="90"/>
    </row>
    <row r="329">
      <c r="A329" s="32"/>
      <c r="D329" s="187"/>
      <c r="E329" s="90"/>
      <c r="F329" s="90"/>
      <c r="AE329" s="90"/>
      <c r="AF329" s="90"/>
      <c r="AG329" s="90"/>
      <c r="AH329" s="90"/>
      <c r="AI329" s="90"/>
    </row>
    <row r="330">
      <c r="A330" s="32"/>
      <c r="D330" s="187"/>
      <c r="E330" s="90"/>
      <c r="F330" s="90"/>
      <c r="AE330" s="90"/>
      <c r="AF330" s="90"/>
      <c r="AG330" s="90"/>
      <c r="AH330" s="90"/>
      <c r="AI330" s="90"/>
    </row>
    <row r="331">
      <c r="A331" s="32"/>
      <c r="D331" s="187"/>
      <c r="E331" s="90"/>
      <c r="F331" s="90"/>
      <c r="AE331" s="90"/>
      <c r="AF331" s="90"/>
      <c r="AG331" s="90"/>
      <c r="AH331" s="90"/>
      <c r="AI331" s="90"/>
    </row>
    <row r="332">
      <c r="A332" s="32"/>
      <c r="D332" s="187"/>
      <c r="E332" s="90"/>
      <c r="F332" s="90"/>
      <c r="AE332" s="90"/>
      <c r="AF332" s="90"/>
      <c r="AG332" s="90"/>
      <c r="AH332" s="90"/>
      <c r="AI332" s="90"/>
    </row>
    <row r="333">
      <c r="A333" s="32"/>
      <c r="D333" s="187"/>
      <c r="E333" s="90"/>
      <c r="F333" s="90"/>
      <c r="AE333" s="90"/>
      <c r="AF333" s="90"/>
      <c r="AG333" s="90"/>
      <c r="AH333" s="90"/>
      <c r="AI333" s="90"/>
    </row>
    <row r="334">
      <c r="A334" s="32"/>
      <c r="D334" s="187"/>
      <c r="E334" s="90"/>
      <c r="F334" s="90"/>
      <c r="AE334" s="90"/>
      <c r="AF334" s="90"/>
      <c r="AG334" s="90"/>
      <c r="AH334" s="90"/>
      <c r="AI334" s="90"/>
    </row>
    <row r="335">
      <c r="A335" s="32"/>
      <c r="D335" s="187"/>
      <c r="E335" s="90"/>
      <c r="F335" s="90"/>
      <c r="AE335" s="90"/>
      <c r="AF335" s="90"/>
      <c r="AG335" s="90"/>
      <c r="AH335" s="90"/>
      <c r="AI335" s="90"/>
    </row>
    <row r="336">
      <c r="A336" s="32"/>
      <c r="D336" s="187"/>
      <c r="E336" s="90"/>
      <c r="F336" s="90"/>
      <c r="AE336" s="90"/>
      <c r="AF336" s="90"/>
      <c r="AG336" s="90"/>
      <c r="AH336" s="90"/>
      <c r="AI336" s="90"/>
    </row>
    <row r="337">
      <c r="A337" s="32"/>
      <c r="D337" s="187"/>
      <c r="E337" s="90"/>
      <c r="F337" s="90"/>
      <c r="AE337" s="90"/>
      <c r="AF337" s="90"/>
      <c r="AG337" s="90"/>
      <c r="AH337" s="90"/>
      <c r="AI337" s="90"/>
    </row>
    <row r="338">
      <c r="A338" s="32"/>
      <c r="D338" s="187"/>
      <c r="E338" s="90"/>
      <c r="F338" s="90"/>
      <c r="AE338" s="90"/>
      <c r="AF338" s="90"/>
      <c r="AG338" s="90"/>
      <c r="AH338" s="90"/>
      <c r="AI338" s="90"/>
    </row>
    <row r="339">
      <c r="A339" s="32"/>
      <c r="D339" s="187"/>
      <c r="E339" s="90"/>
      <c r="F339" s="90"/>
      <c r="AE339" s="90"/>
      <c r="AF339" s="90"/>
      <c r="AG339" s="90"/>
      <c r="AH339" s="90"/>
      <c r="AI339" s="90"/>
    </row>
    <row r="340">
      <c r="A340" s="32"/>
      <c r="D340" s="187"/>
      <c r="E340" s="90"/>
      <c r="F340" s="90"/>
      <c r="AE340" s="90"/>
      <c r="AF340" s="90"/>
      <c r="AG340" s="90"/>
      <c r="AH340" s="90"/>
      <c r="AI340" s="90"/>
    </row>
    <row r="341">
      <c r="A341" s="32"/>
      <c r="D341" s="187"/>
      <c r="E341" s="90"/>
      <c r="F341" s="90"/>
      <c r="AE341" s="90"/>
      <c r="AF341" s="90"/>
      <c r="AG341" s="90"/>
      <c r="AH341" s="90"/>
      <c r="AI341" s="90"/>
    </row>
    <row r="342">
      <c r="A342" s="32"/>
      <c r="D342" s="187"/>
      <c r="E342" s="90"/>
      <c r="F342" s="90"/>
      <c r="AE342" s="90"/>
      <c r="AF342" s="90"/>
      <c r="AG342" s="90"/>
      <c r="AH342" s="90"/>
      <c r="AI342" s="90"/>
    </row>
    <row r="343">
      <c r="A343" s="32"/>
      <c r="D343" s="187"/>
      <c r="E343" s="90"/>
      <c r="F343" s="90"/>
      <c r="AE343" s="90"/>
      <c r="AF343" s="90"/>
      <c r="AG343" s="90"/>
      <c r="AH343" s="90"/>
      <c r="AI343" s="90"/>
    </row>
    <row r="344">
      <c r="A344" s="32"/>
      <c r="D344" s="187"/>
      <c r="E344" s="90"/>
      <c r="F344" s="90"/>
      <c r="AE344" s="90"/>
      <c r="AF344" s="90"/>
      <c r="AG344" s="90"/>
      <c r="AH344" s="90"/>
      <c r="AI344" s="90"/>
    </row>
    <row r="345">
      <c r="A345" s="32"/>
      <c r="D345" s="187"/>
      <c r="E345" s="90"/>
      <c r="F345" s="90"/>
      <c r="AE345" s="90"/>
      <c r="AF345" s="90"/>
      <c r="AG345" s="90"/>
      <c r="AH345" s="90"/>
      <c r="AI345" s="90"/>
    </row>
    <row r="346">
      <c r="A346" s="32"/>
      <c r="D346" s="187"/>
      <c r="E346" s="90"/>
      <c r="F346" s="90"/>
      <c r="AE346" s="90"/>
      <c r="AF346" s="90"/>
      <c r="AG346" s="90"/>
      <c r="AH346" s="90"/>
      <c r="AI346" s="90"/>
    </row>
    <row r="347">
      <c r="A347" s="32"/>
      <c r="D347" s="187"/>
      <c r="E347" s="90"/>
      <c r="F347" s="90"/>
      <c r="AE347" s="90"/>
      <c r="AF347" s="90"/>
      <c r="AG347" s="90"/>
      <c r="AH347" s="90"/>
      <c r="AI347" s="90"/>
    </row>
    <row r="348">
      <c r="A348" s="32"/>
      <c r="D348" s="187"/>
      <c r="E348" s="90"/>
      <c r="F348" s="90"/>
      <c r="AE348" s="90"/>
      <c r="AF348" s="90"/>
      <c r="AG348" s="90"/>
      <c r="AH348" s="90"/>
      <c r="AI348" s="90"/>
    </row>
    <row r="349">
      <c r="A349" s="32"/>
      <c r="D349" s="187"/>
      <c r="E349" s="90"/>
      <c r="F349" s="90"/>
      <c r="AE349" s="90"/>
      <c r="AF349" s="90"/>
      <c r="AG349" s="90"/>
      <c r="AH349" s="90"/>
      <c r="AI349" s="90"/>
    </row>
    <row r="350">
      <c r="A350" s="32"/>
      <c r="D350" s="187"/>
      <c r="E350" s="90"/>
      <c r="F350" s="90"/>
      <c r="AE350" s="90"/>
      <c r="AF350" s="90"/>
      <c r="AG350" s="90"/>
      <c r="AH350" s="90"/>
      <c r="AI350" s="90"/>
    </row>
    <row r="351">
      <c r="A351" s="32"/>
      <c r="D351" s="187"/>
      <c r="E351" s="90"/>
      <c r="F351" s="90"/>
      <c r="AE351" s="90"/>
      <c r="AF351" s="90"/>
      <c r="AG351" s="90"/>
      <c r="AH351" s="90"/>
      <c r="AI351" s="90"/>
    </row>
    <row r="352">
      <c r="A352" s="32"/>
      <c r="D352" s="187"/>
      <c r="E352" s="90"/>
      <c r="F352" s="90"/>
      <c r="AE352" s="90"/>
      <c r="AF352" s="90"/>
      <c r="AG352" s="90"/>
      <c r="AH352" s="90"/>
      <c r="AI352" s="90"/>
    </row>
    <row r="353">
      <c r="A353" s="32"/>
      <c r="D353" s="187"/>
      <c r="E353" s="90"/>
      <c r="F353" s="90"/>
      <c r="AE353" s="90"/>
      <c r="AF353" s="90"/>
      <c r="AG353" s="90"/>
      <c r="AH353" s="90"/>
      <c r="AI353" s="90"/>
    </row>
    <row r="354">
      <c r="A354" s="32"/>
      <c r="D354" s="187"/>
      <c r="E354" s="90"/>
      <c r="F354" s="90"/>
      <c r="AE354" s="90"/>
      <c r="AF354" s="90"/>
      <c r="AG354" s="90"/>
      <c r="AH354" s="90"/>
      <c r="AI354" s="90"/>
    </row>
    <row r="355">
      <c r="A355" s="32"/>
      <c r="D355" s="187"/>
      <c r="E355" s="90"/>
      <c r="F355" s="90"/>
      <c r="AE355" s="90"/>
      <c r="AF355" s="90"/>
      <c r="AG355" s="90"/>
      <c r="AH355" s="90"/>
      <c r="AI355" s="90"/>
    </row>
    <row r="356">
      <c r="A356" s="32"/>
      <c r="D356" s="187"/>
      <c r="E356" s="90"/>
      <c r="F356" s="90"/>
      <c r="AE356" s="90"/>
      <c r="AF356" s="90"/>
      <c r="AG356" s="90"/>
      <c r="AH356" s="90"/>
      <c r="AI356" s="90"/>
    </row>
    <row r="357">
      <c r="A357" s="32"/>
      <c r="D357" s="187"/>
      <c r="E357" s="90"/>
      <c r="F357" s="90"/>
      <c r="AE357" s="90"/>
      <c r="AF357" s="90"/>
      <c r="AG357" s="90"/>
      <c r="AH357" s="90"/>
      <c r="AI357" s="90"/>
    </row>
    <row r="358">
      <c r="A358" s="32"/>
      <c r="D358" s="187"/>
      <c r="E358" s="90"/>
      <c r="F358" s="90"/>
      <c r="AE358" s="90"/>
      <c r="AF358" s="90"/>
      <c r="AG358" s="90"/>
      <c r="AH358" s="90"/>
      <c r="AI358" s="90"/>
    </row>
    <row r="359">
      <c r="A359" s="32"/>
      <c r="D359" s="187"/>
      <c r="E359" s="90"/>
      <c r="F359" s="90"/>
      <c r="AE359" s="90"/>
      <c r="AF359" s="90"/>
      <c r="AG359" s="90"/>
      <c r="AH359" s="90"/>
      <c r="AI359" s="90"/>
    </row>
    <row r="360">
      <c r="A360" s="32"/>
      <c r="D360" s="187"/>
      <c r="E360" s="90"/>
      <c r="F360" s="90"/>
      <c r="AE360" s="90"/>
      <c r="AF360" s="90"/>
      <c r="AG360" s="90"/>
      <c r="AH360" s="90"/>
      <c r="AI360" s="90"/>
    </row>
    <row r="361">
      <c r="A361" s="32"/>
      <c r="D361" s="187"/>
      <c r="E361" s="90"/>
      <c r="F361" s="90"/>
      <c r="AE361" s="90"/>
      <c r="AF361" s="90"/>
      <c r="AG361" s="90"/>
      <c r="AH361" s="90"/>
      <c r="AI361" s="90"/>
    </row>
    <row r="362">
      <c r="A362" s="32"/>
      <c r="D362" s="187"/>
      <c r="E362" s="90"/>
      <c r="F362" s="90"/>
      <c r="AE362" s="90"/>
      <c r="AF362" s="90"/>
      <c r="AG362" s="90"/>
      <c r="AH362" s="90"/>
      <c r="AI362" s="90"/>
    </row>
    <row r="363">
      <c r="A363" s="32"/>
      <c r="D363" s="187"/>
      <c r="E363" s="90"/>
      <c r="F363" s="90"/>
      <c r="AE363" s="90"/>
      <c r="AF363" s="90"/>
      <c r="AG363" s="90"/>
      <c r="AH363" s="90"/>
      <c r="AI363" s="90"/>
    </row>
    <row r="364">
      <c r="A364" s="32"/>
      <c r="D364" s="187"/>
      <c r="E364" s="90"/>
      <c r="F364" s="90"/>
      <c r="AE364" s="90"/>
      <c r="AF364" s="90"/>
      <c r="AG364" s="90"/>
      <c r="AH364" s="90"/>
      <c r="AI364" s="90"/>
    </row>
    <row r="365">
      <c r="A365" s="32"/>
      <c r="D365" s="187"/>
      <c r="E365" s="90"/>
      <c r="F365" s="90"/>
      <c r="AE365" s="90"/>
      <c r="AF365" s="90"/>
      <c r="AG365" s="90"/>
      <c r="AH365" s="90"/>
      <c r="AI365" s="90"/>
    </row>
    <row r="366">
      <c r="A366" s="32"/>
      <c r="D366" s="187"/>
      <c r="E366" s="90"/>
      <c r="F366" s="90"/>
      <c r="AE366" s="90"/>
      <c r="AF366" s="90"/>
      <c r="AG366" s="90"/>
      <c r="AH366" s="90"/>
      <c r="AI366" s="90"/>
    </row>
    <row r="367">
      <c r="A367" s="32"/>
      <c r="D367" s="187"/>
      <c r="E367" s="90"/>
      <c r="F367" s="90"/>
      <c r="AE367" s="90"/>
      <c r="AF367" s="90"/>
      <c r="AG367" s="90"/>
      <c r="AH367" s="90"/>
      <c r="AI367" s="90"/>
    </row>
    <row r="368">
      <c r="A368" s="32"/>
      <c r="D368" s="187"/>
      <c r="E368" s="90"/>
      <c r="F368" s="90"/>
      <c r="AE368" s="90"/>
      <c r="AF368" s="90"/>
      <c r="AG368" s="90"/>
      <c r="AH368" s="90"/>
      <c r="AI368" s="90"/>
    </row>
    <row r="369">
      <c r="A369" s="32"/>
      <c r="D369" s="187"/>
      <c r="E369" s="90"/>
      <c r="F369" s="90"/>
      <c r="AE369" s="90"/>
      <c r="AF369" s="90"/>
      <c r="AG369" s="90"/>
      <c r="AH369" s="90"/>
      <c r="AI369" s="90"/>
    </row>
    <row r="370">
      <c r="A370" s="32"/>
      <c r="D370" s="187"/>
      <c r="E370" s="90"/>
      <c r="F370" s="90"/>
      <c r="AE370" s="90"/>
      <c r="AF370" s="90"/>
      <c r="AG370" s="90"/>
      <c r="AH370" s="90"/>
      <c r="AI370" s="90"/>
    </row>
    <row r="371">
      <c r="A371" s="32"/>
      <c r="D371" s="187"/>
      <c r="E371" s="90"/>
      <c r="F371" s="90"/>
      <c r="AE371" s="90"/>
      <c r="AF371" s="90"/>
      <c r="AG371" s="90"/>
      <c r="AH371" s="90"/>
      <c r="AI371" s="90"/>
    </row>
    <row r="372">
      <c r="A372" s="32"/>
      <c r="D372" s="187"/>
      <c r="E372" s="90"/>
      <c r="F372" s="90"/>
      <c r="AE372" s="90"/>
      <c r="AF372" s="90"/>
      <c r="AG372" s="90"/>
      <c r="AH372" s="90"/>
      <c r="AI372" s="90"/>
    </row>
    <row r="373">
      <c r="A373" s="32"/>
      <c r="D373" s="187"/>
      <c r="E373" s="90"/>
      <c r="F373" s="90"/>
      <c r="AE373" s="90"/>
      <c r="AF373" s="90"/>
      <c r="AG373" s="90"/>
      <c r="AH373" s="90"/>
      <c r="AI373" s="90"/>
    </row>
    <row r="374">
      <c r="A374" s="32"/>
      <c r="D374" s="187"/>
      <c r="E374" s="90"/>
      <c r="F374" s="90"/>
      <c r="AE374" s="90"/>
      <c r="AF374" s="90"/>
      <c r="AG374" s="90"/>
      <c r="AH374" s="90"/>
      <c r="AI374" s="90"/>
    </row>
    <row r="375">
      <c r="A375" s="32"/>
      <c r="D375" s="187"/>
      <c r="E375" s="90"/>
      <c r="F375" s="90"/>
      <c r="AE375" s="90"/>
      <c r="AF375" s="90"/>
      <c r="AG375" s="90"/>
      <c r="AH375" s="90"/>
      <c r="AI375" s="90"/>
    </row>
    <row r="376">
      <c r="A376" s="32"/>
      <c r="D376" s="187"/>
      <c r="E376" s="90"/>
      <c r="F376" s="90"/>
      <c r="AE376" s="90"/>
      <c r="AF376" s="90"/>
      <c r="AG376" s="90"/>
      <c r="AH376" s="90"/>
      <c r="AI376" s="90"/>
    </row>
    <row r="377">
      <c r="A377" s="32"/>
      <c r="D377" s="187"/>
      <c r="E377" s="90"/>
      <c r="F377" s="90"/>
      <c r="AE377" s="90"/>
      <c r="AF377" s="90"/>
      <c r="AG377" s="90"/>
      <c r="AH377" s="90"/>
      <c r="AI377" s="90"/>
    </row>
    <row r="378">
      <c r="A378" s="32"/>
      <c r="D378" s="187"/>
      <c r="E378" s="90"/>
      <c r="F378" s="90"/>
      <c r="AE378" s="90"/>
      <c r="AF378" s="90"/>
      <c r="AG378" s="90"/>
      <c r="AH378" s="90"/>
      <c r="AI378" s="90"/>
    </row>
    <row r="379">
      <c r="A379" s="32"/>
      <c r="D379" s="187"/>
      <c r="E379" s="90"/>
      <c r="F379" s="90"/>
      <c r="AE379" s="90"/>
      <c r="AF379" s="90"/>
      <c r="AG379" s="90"/>
      <c r="AH379" s="90"/>
      <c r="AI379" s="90"/>
    </row>
    <row r="380">
      <c r="A380" s="32"/>
      <c r="D380" s="187"/>
      <c r="E380" s="90"/>
      <c r="F380" s="90"/>
      <c r="AE380" s="90"/>
      <c r="AF380" s="90"/>
      <c r="AG380" s="90"/>
      <c r="AH380" s="90"/>
      <c r="AI380" s="90"/>
    </row>
    <row r="381">
      <c r="A381" s="32"/>
      <c r="D381" s="187"/>
      <c r="E381" s="90"/>
      <c r="F381" s="90"/>
      <c r="AE381" s="90"/>
      <c r="AF381" s="90"/>
      <c r="AG381" s="90"/>
      <c r="AH381" s="90"/>
      <c r="AI381" s="90"/>
    </row>
    <row r="382">
      <c r="A382" s="32"/>
      <c r="D382" s="187"/>
      <c r="E382" s="90"/>
      <c r="F382" s="90"/>
      <c r="AE382" s="90"/>
      <c r="AF382" s="90"/>
      <c r="AG382" s="90"/>
      <c r="AH382" s="90"/>
      <c r="AI382" s="90"/>
    </row>
    <row r="383">
      <c r="A383" s="32"/>
      <c r="D383" s="187"/>
      <c r="E383" s="90"/>
      <c r="F383" s="90"/>
      <c r="AE383" s="90"/>
      <c r="AF383" s="90"/>
      <c r="AG383" s="90"/>
      <c r="AH383" s="90"/>
      <c r="AI383" s="90"/>
    </row>
    <row r="384">
      <c r="A384" s="32"/>
      <c r="D384" s="187"/>
      <c r="E384" s="90"/>
      <c r="F384" s="90"/>
      <c r="AE384" s="90"/>
      <c r="AF384" s="90"/>
      <c r="AG384" s="90"/>
      <c r="AH384" s="90"/>
      <c r="AI384" s="90"/>
    </row>
    <row r="385">
      <c r="A385" s="32"/>
      <c r="D385" s="187"/>
      <c r="E385" s="90"/>
      <c r="F385" s="90"/>
      <c r="AE385" s="90"/>
      <c r="AF385" s="90"/>
      <c r="AG385" s="90"/>
      <c r="AH385" s="90"/>
      <c r="AI385" s="90"/>
    </row>
    <row r="386">
      <c r="A386" s="32"/>
      <c r="D386" s="187"/>
      <c r="E386" s="90"/>
      <c r="F386" s="90"/>
      <c r="AE386" s="90"/>
      <c r="AF386" s="90"/>
      <c r="AG386" s="90"/>
      <c r="AH386" s="90"/>
      <c r="AI386" s="90"/>
    </row>
    <row r="387">
      <c r="A387" s="32"/>
      <c r="D387" s="187"/>
      <c r="E387" s="90"/>
      <c r="F387" s="90"/>
      <c r="AE387" s="90"/>
      <c r="AF387" s="90"/>
      <c r="AG387" s="90"/>
      <c r="AH387" s="90"/>
      <c r="AI387" s="90"/>
    </row>
    <row r="388">
      <c r="A388" s="32"/>
      <c r="D388" s="187"/>
      <c r="E388" s="90"/>
      <c r="F388" s="90"/>
      <c r="AE388" s="90"/>
      <c r="AF388" s="90"/>
      <c r="AG388" s="90"/>
      <c r="AH388" s="90"/>
      <c r="AI388" s="90"/>
    </row>
    <row r="389">
      <c r="A389" s="32"/>
      <c r="D389" s="187"/>
      <c r="E389" s="90"/>
      <c r="F389" s="90"/>
      <c r="AE389" s="90"/>
      <c r="AF389" s="90"/>
      <c r="AG389" s="90"/>
      <c r="AH389" s="90"/>
      <c r="AI389" s="90"/>
    </row>
    <row r="390">
      <c r="A390" s="32"/>
      <c r="D390" s="187"/>
      <c r="E390" s="90"/>
      <c r="F390" s="90"/>
      <c r="AE390" s="90"/>
      <c r="AF390" s="90"/>
      <c r="AG390" s="90"/>
      <c r="AH390" s="90"/>
      <c r="AI390" s="90"/>
    </row>
    <row r="391">
      <c r="A391" s="32"/>
      <c r="D391" s="187"/>
      <c r="E391" s="90"/>
      <c r="F391" s="90"/>
      <c r="AE391" s="90"/>
      <c r="AF391" s="90"/>
      <c r="AG391" s="90"/>
      <c r="AH391" s="90"/>
      <c r="AI391" s="90"/>
    </row>
    <row r="392">
      <c r="A392" s="32"/>
      <c r="D392" s="187"/>
      <c r="E392" s="90"/>
      <c r="F392" s="90"/>
      <c r="AE392" s="90"/>
      <c r="AF392" s="90"/>
      <c r="AG392" s="90"/>
      <c r="AH392" s="90"/>
      <c r="AI392" s="90"/>
    </row>
    <row r="393">
      <c r="A393" s="32"/>
      <c r="D393" s="187"/>
      <c r="E393" s="90"/>
      <c r="F393" s="90"/>
      <c r="AE393" s="90"/>
      <c r="AF393" s="90"/>
      <c r="AG393" s="90"/>
      <c r="AH393" s="90"/>
      <c r="AI393" s="90"/>
    </row>
    <row r="394">
      <c r="A394" s="32"/>
      <c r="D394" s="187"/>
      <c r="E394" s="90"/>
      <c r="F394" s="90"/>
      <c r="AE394" s="90"/>
      <c r="AF394" s="90"/>
      <c r="AG394" s="90"/>
      <c r="AH394" s="90"/>
      <c r="AI394" s="90"/>
    </row>
    <row r="395">
      <c r="A395" s="32"/>
      <c r="D395" s="187"/>
      <c r="E395" s="90"/>
      <c r="F395" s="90"/>
      <c r="AE395" s="90"/>
      <c r="AF395" s="90"/>
      <c r="AG395" s="90"/>
      <c r="AH395" s="90"/>
      <c r="AI395" s="90"/>
    </row>
    <row r="396">
      <c r="A396" s="32"/>
      <c r="D396" s="187"/>
      <c r="E396" s="90"/>
      <c r="F396" s="90"/>
      <c r="AE396" s="90"/>
      <c r="AF396" s="90"/>
      <c r="AG396" s="90"/>
      <c r="AH396" s="90"/>
      <c r="AI396" s="90"/>
    </row>
    <row r="397">
      <c r="A397" s="32"/>
      <c r="D397" s="187"/>
      <c r="E397" s="90"/>
      <c r="F397" s="90"/>
      <c r="AE397" s="90"/>
      <c r="AF397" s="90"/>
      <c r="AG397" s="90"/>
      <c r="AH397" s="90"/>
      <c r="AI397" s="90"/>
    </row>
    <row r="398">
      <c r="A398" s="32"/>
      <c r="D398" s="187"/>
      <c r="E398" s="90"/>
      <c r="F398" s="90"/>
      <c r="AE398" s="90"/>
      <c r="AF398" s="90"/>
      <c r="AG398" s="90"/>
      <c r="AH398" s="90"/>
      <c r="AI398" s="90"/>
    </row>
    <row r="399">
      <c r="A399" s="32"/>
      <c r="D399" s="187"/>
      <c r="E399" s="90"/>
      <c r="F399" s="90"/>
      <c r="AE399" s="90"/>
      <c r="AF399" s="90"/>
      <c r="AG399" s="90"/>
      <c r="AH399" s="90"/>
      <c r="AI399" s="90"/>
    </row>
    <row r="400">
      <c r="A400" s="32"/>
      <c r="D400" s="187"/>
      <c r="E400" s="90"/>
      <c r="F400" s="90"/>
      <c r="AE400" s="90"/>
      <c r="AF400" s="90"/>
      <c r="AG400" s="90"/>
      <c r="AH400" s="90"/>
      <c r="AI400" s="90"/>
    </row>
    <row r="401">
      <c r="A401" s="32"/>
      <c r="D401" s="187"/>
      <c r="E401" s="90"/>
      <c r="F401" s="90"/>
      <c r="AE401" s="90"/>
      <c r="AF401" s="90"/>
      <c r="AG401" s="90"/>
      <c r="AH401" s="90"/>
      <c r="AI401" s="90"/>
    </row>
    <row r="402">
      <c r="A402" s="32"/>
      <c r="D402" s="187"/>
      <c r="E402" s="90"/>
      <c r="F402" s="90"/>
      <c r="AE402" s="90"/>
      <c r="AF402" s="90"/>
      <c r="AG402" s="90"/>
      <c r="AH402" s="90"/>
      <c r="AI402" s="90"/>
    </row>
    <row r="403">
      <c r="A403" s="32"/>
      <c r="D403" s="187"/>
      <c r="E403" s="90"/>
      <c r="F403" s="90"/>
      <c r="AE403" s="90"/>
      <c r="AF403" s="90"/>
      <c r="AG403" s="90"/>
      <c r="AH403" s="90"/>
      <c r="AI403" s="90"/>
    </row>
    <row r="404">
      <c r="A404" s="32"/>
      <c r="D404" s="187"/>
      <c r="E404" s="90"/>
      <c r="F404" s="90"/>
      <c r="AE404" s="90"/>
      <c r="AF404" s="90"/>
      <c r="AG404" s="90"/>
      <c r="AH404" s="90"/>
      <c r="AI404" s="90"/>
    </row>
    <row r="405">
      <c r="A405" s="32"/>
      <c r="D405" s="187"/>
      <c r="E405" s="90"/>
      <c r="F405" s="90"/>
      <c r="AE405" s="90"/>
      <c r="AF405" s="90"/>
      <c r="AG405" s="90"/>
      <c r="AH405" s="90"/>
      <c r="AI405" s="90"/>
    </row>
    <row r="406">
      <c r="A406" s="32"/>
      <c r="D406" s="187"/>
      <c r="E406" s="90"/>
      <c r="F406" s="90"/>
      <c r="AE406" s="90"/>
      <c r="AF406" s="90"/>
      <c r="AG406" s="90"/>
      <c r="AH406" s="90"/>
      <c r="AI406" s="90"/>
    </row>
    <row r="407">
      <c r="A407" s="32"/>
      <c r="D407" s="187"/>
      <c r="E407" s="90"/>
      <c r="F407" s="90"/>
      <c r="AE407" s="90"/>
      <c r="AF407" s="90"/>
      <c r="AG407" s="90"/>
      <c r="AH407" s="90"/>
      <c r="AI407" s="90"/>
    </row>
    <row r="408">
      <c r="A408" s="32"/>
      <c r="D408" s="187"/>
      <c r="E408" s="90"/>
      <c r="F408" s="90"/>
      <c r="AE408" s="90"/>
      <c r="AF408" s="90"/>
      <c r="AG408" s="90"/>
      <c r="AH408" s="90"/>
      <c r="AI408" s="90"/>
    </row>
    <row r="409">
      <c r="A409" s="32"/>
      <c r="D409" s="187"/>
      <c r="E409" s="90"/>
      <c r="F409" s="90"/>
      <c r="AE409" s="90"/>
      <c r="AF409" s="90"/>
      <c r="AG409" s="90"/>
      <c r="AH409" s="90"/>
      <c r="AI409" s="90"/>
    </row>
    <row r="410">
      <c r="A410" s="32"/>
      <c r="D410" s="187"/>
      <c r="E410" s="90"/>
      <c r="F410" s="90"/>
      <c r="AE410" s="90"/>
      <c r="AF410" s="90"/>
      <c r="AG410" s="90"/>
      <c r="AH410" s="90"/>
      <c r="AI410" s="90"/>
    </row>
    <row r="411">
      <c r="A411" s="32"/>
      <c r="D411" s="187"/>
      <c r="E411" s="90"/>
      <c r="F411" s="90"/>
      <c r="AE411" s="90"/>
      <c r="AF411" s="90"/>
      <c r="AG411" s="90"/>
      <c r="AH411" s="90"/>
      <c r="AI411" s="90"/>
    </row>
    <row r="412">
      <c r="A412" s="32"/>
      <c r="D412" s="187"/>
      <c r="E412" s="90"/>
      <c r="F412" s="90"/>
      <c r="AE412" s="90"/>
      <c r="AF412" s="90"/>
      <c r="AG412" s="90"/>
      <c r="AH412" s="90"/>
      <c r="AI412" s="90"/>
    </row>
    <row r="413">
      <c r="A413" s="32"/>
      <c r="D413" s="187"/>
      <c r="E413" s="90"/>
      <c r="F413" s="90"/>
      <c r="AE413" s="90"/>
      <c r="AF413" s="90"/>
      <c r="AG413" s="90"/>
      <c r="AH413" s="90"/>
      <c r="AI413" s="90"/>
    </row>
    <row r="414">
      <c r="A414" s="32"/>
      <c r="D414" s="187"/>
      <c r="E414" s="90"/>
      <c r="F414" s="90"/>
      <c r="AE414" s="90"/>
      <c r="AF414" s="90"/>
      <c r="AG414" s="90"/>
      <c r="AH414" s="90"/>
      <c r="AI414" s="90"/>
    </row>
    <row r="415">
      <c r="A415" s="32"/>
      <c r="D415" s="187"/>
      <c r="E415" s="90"/>
      <c r="F415" s="90"/>
      <c r="AE415" s="90"/>
      <c r="AF415" s="90"/>
      <c r="AG415" s="90"/>
      <c r="AH415" s="90"/>
      <c r="AI415" s="90"/>
    </row>
    <row r="416">
      <c r="A416" s="32"/>
      <c r="D416" s="187"/>
      <c r="E416" s="90"/>
      <c r="F416" s="90"/>
      <c r="AE416" s="90"/>
      <c r="AF416" s="90"/>
      <c r="AG416" s="90"/>
      <c r="AH416" s="90"/>
      <c r="AI416" s="90"/>
    </row>
    <row r="417">
      <c r="A417" s="32"/>
      <c r="D417" s="187"/>
      <c r="E417" s="90"/>
      <c r="F417" s="90"/>
      <c r="AE417" s="90"/>
      <c r="AF417" s="90"/>
      <c r="AG417" s="90"/>
      <c r="AH417" s="90"/>
      <c r="AI417" s="90"/>
    </row>
    <row r="418">
      <c r="A418" s="32"/>
      <c r="D418" s="187"/>
      <c r="E418" s="90"/>
      <c r="F418" s="90"/>
      <c r="AE418" s="90"/>
      <c r="AF418" s="90"/>
      <c r="AG418" s="90"/>
      <c r="AH418" s="90"/>
      <c r="AI418" s="90"/>
    </row>
    <row r="419">
      <c r="A419" s="32"/>
      <c r="D419" s="187"/>
      <c r="E419" s="90"/>
      <c r="F419" s="90"/>
      <c r="AE419" s="90"/>
      <c r="AF419" s="90"/>
      <c r="AG419" s="90"/>
      <c r="AH419" s="90"/>
      <c r="AI419" s="90"/>
    </row>
    <row r="420">
      <c r="A420" s="32"/>
      <c r="D420" s="187"/>
      <c r="E420" s="90"/>
      <c r="F420" s="90"/>
      <c r="AE420" s="90"/>
      <c r="AF420" s="90"/>
      <c r="AG420" s="90"/>
      <c r="AH420" s="90"/>
      <c r="AI420" s="90"/>
    </row>
    <row r="421">
      <c r="A421" s="32"/>
      <c r="D421" s="187"/>
      <c r="E421" s="90"/>
      <c r="F421" s="90"/>
      <c r="AE421" s="90"/>
      <c r="AF421" s="90"/>
      <c r="AG421" s="90"/>
      <c r="AH421" s="90"/>
      <c r="AI421" s="90"/>
    </row>
    <row r="422">
      <c r="A422" s="32"/>
      <c r="D422" s="187"/>
      <c r="E422" s="90"/>
      <c r="F422" s="90"/>
      <c r="AE422" s="90"/>
      <c r="AF422" s="90"/>
      <c r="AG422" s="90"/>
      <c r="AH422" s="90"/>
      <c r="AI422" s="90"/>
    </row>
    <row r="423">
      <c r="A423" s="32"/>
      <c r="D423" s="187"/>
      <c r="E423" s="90"/>
      <c r="F423" s="90"/>
      <c r="AE423" s="90"/>
      <c r="AF423" s="90"/>
      <c r="AG423" s="90"/>
      <c r="AH423" s="90"/>
      <c r="AI423" s="90"/>
    </row>
    <row r="424">
      <c r="A424" s="32"/>
      <c r="D424" s="187"/>
      <c r="E424" s="90"/>
      <c r="F424" s="90"/>
      <c r="AE424" s="90"/>
      <c r="AF424" s="90"/>
      <c r="AG424" s="90"/>
      <c r="AH424" s="90"/>
      <c r="AI424" s="90"/>
    </row>
    <row r="425">
      <c r="A425" s="32"/>
      <c r="D425" s="187"/>
      <c r="E425" s="90"/>
      <c r="F425" s="90"/>
      <c r="AE425" s="90"/>
      <c r="AF425" s="90"/>
      <c r="AG425" s="90"/>
      <c r="AH425" s="90"/>
      <c r="AI425" s="90"/>
    </row>
    <row r="426">
      <c r="A426" s="32"/>
      <c r="D426" s="187"/>
      <c r="E426" s="90"/>
      <c r="F426" s="90"/>
      <c r="AE426" s="90"/>
      <c r="AF426" s="90"/>
      <c r="AG426" s="90"/>
      <c r="AH426" s="90"/>
      <c r="AI426" s="90"/>
    </row>
    <row r="427">
      <c r="A427" s="32"/>
      <c r="D427" s="187"/>
      <c r="E427" s="90"/>
      <c r="F427" s="90"/>
      <c r="AE427" s="90"/>
      <c r="AF427" s="90"/>
      <c r="AG427" s="90"/>
      <c r="AH427" s="90"/>
      <c r="AI427" s="90"/>
    </row>
    <row r="428">
      <c r="A428" s="32"/>
      <c r="D428" s="187"/>
      <c r="E428" s="90"/>
      <c r="F428" s="90"/>
      <c r="AE428" s="90"/>
      <c r="AF428" s="90"/>
      <c r="AG428" s="90"/>
      <c r="AH428" s="90"/>
      <c r="AI428" s="90"/>
    </row>
    <row r="429">
      <c r="A429" s="32"/>
      <c r="D429" s="187"/>
      <c r="E429" s="90"/>
      <c r="F429" s="90"/>
      <c r="AE429" s="90"/>
      <c r="AF429" s="90"/>
      <c r="AG429" s="90"/>
      <c r="AH429" s="90"/>
      <c r="AI429" s="90"/>
    </row>
    <row r="430">
      <c r="A430" s="32"/>
      <c r="D430" s="187"/>
      <c r="E430" s="90"/>
      <c r="F430" s="90"/>
      <c r="AE430" s="90"/>
      <c r="AF430" s="90"/>
      <c r="AG430" s="90"/>
      <c r="AH430" s="90"/>
      <c r="AI430" s="90"/>
    </row>
    <row r="431">
      <c r="A431" s="32"/>
      <c r="D431" s="187"/>
      <c r="E431" s="90"/>
      <c r="F431" s="90"/>
      <c r="AE431" s="90"/>
      <c r="AF431" s="90"/>
      <c r="AG431" s="90"/>
      <c r="AH431" s="90"/>
      <c r="AI431" s="90"/>
    </row>
    <row r="432">
      <c r="A432" s="32"/>
      <c r="D432" s="187"/>
      <c r="E432" s="90"/>
      <c r="F432" s="90"/>
      <c r="AE432" s="90"/>
      <c r="AF432" s="90"/>
      <c r="AG432" s="90"/>
      <c r="AH432" s="90"/>
      <c r="AI432" s="90"/>
    </row>
    <row r="433">
      <c r="A433" s="32"/>
      <c r="D433" s="187"/>
      <c r="E433" s="90"/>
      <c r="F433" s="90"/>
      <c r="AE433" s="90"/>
      <c r="AF433" s="90"/>
      <c r="AG433" s="90"/>
      <c r="AH433" s="90"/>
      <c r="AI433" s="90"/>
    </row>
    <row r="434">
      <c r="A434" s="32"/>
      <c r="D434" s="187"/>
      <c r="E434" s="90"/>
      <c r="F434" s="90"/>
      <c r="AE434" s="90"/>
      <c r="AF434" s="90"/>
      <c r="AG434" s="90"/>
      <c r="AH434" s="90"/>
      <c r="AI434" s="90"/>
    </row>
    <row r="435">
      <c r="A435" s="32"/>
      <c r="D435" s="187"/>
      <c r="E435" s="90"/>
      <c r="F435" s="90"/>
      <c r="AE435" s="90"/>
      <c r="AF435" s="90"/>
      <c r="AG435" s="90"/>
      <c r="AH435" s="90"/>
      <c r="AI435" s="90"/>
    </row>
    <row r="436">
      <c r="A436" s="32"/>
      <c r="D436" s="187"/>
      <c r="E436" s="90"/>
      <c r="F436" s="90"/>
      <c r="AE436" s="90"/>
      <c r="AF436" s="90"/>
      <c r="AG436" s="90"/>
      <c r="AH436" s="90"/>
      <c r="AI436" s="90"/>
    </row>
    <row r="437">
      <c r="A437" s="32"/>
      <c r="D437" s="187"/>
      <c r="E437" s="90"/>
      <c r="F437" s="90"/>
      <c r="AE437" s="90"/>
      <c r="AF437" s="90"/>
      <c r="AG437" s="90"/>
      <c r="AH437" s="90"/>
      <c r="AI437" s="90"/>
    </row>
    <row r="438">
      <c r="A438" s="32"/>
      <c r="D438" s="187"/>
      <c r="E438" s="90"/>
      <c r="F438" s="90"/>
      <c r="AE438" s="90"/>
      <c r="AF438" s="90"/>
      <c r="AG438" s="90"/>
      <c r="AH438" s="90"/>
      <c r="AI438" s="90"/>
    </row>
    <row r="439">
      <c r="A439" s="32"/>
      <c r="D439" s="187"/>
      <c r="E439" s="90"/>
      <c r="F439" s="90"/>
      <c r="AE439" s="90"/>
      <c r="AF439" s="90"/>
      <c r="AG439" s="90"/>
      <c r="AH439" s="90"/>
      <c r="AI439" s="90"/>
    </row>
    <row r="440">
      <c r="A440" s="32"/>
      <c r="D440" s="187"/>
      <c r="E440" s="90"/>
      <c r="F440" s="90"/>
      <c r="AE440" s="90"/>
      <c r="AF440" s="90"/>
      <c r="AG440" s="90"/>
      <c r="AH440" s="90"/>
      <c r="AI440" s="90"/>
    </row>
    <row r="441">
      <c r="A441" s="32"/>
      <c r="D441" s="187"/>
      <c r="E441" s="90"/>
      <c r="F441" s="90"/>
      <c r="AE441" s="90"/>
      <c r="AF441" s="90"/>
      <c r="AG441" s="90"/>
      <c r="AH441" s="90"/>
      <c r="AI441" s="90"/>
    </row>
    <row r="442">
      <c r="A442" s="32"/>
      <c r="D442" s="187"/>
      <c r="E442" s="90"/>
      <c r="F442" s="90"/>
      <c r="AE442" s="90"/>
      <c r="AF442" s="90"/>
      <c r="AG442" s="90"/>
      <c r="AH442" s="90"/>
      <c r="AI442" s="90"/>
    </row>
    <row r="443">
      <c r="A443" s="32"/>
      <c r="D443" s="187"/>
      <c r="E443" s="90"/>
      <c r="F443" s="90"/>
      <c r="AE443" s="90"/>
      <c r="AF443" s="90"/>
      <c r="AG443" s="90"/>
      <c r="AH443" s="90"/>
      <c r="AI443" s="90"/>
    </row>
    <row r="444">
      <c r="A444" s="32"/>
      <c r="D444" s="187"/>
      <c r="E444" s="90"/>
      <c r="F444" s="90"/>
      <c r="AE444" s="90"/>
      <c r="AF444" s="90"/>
      <c r="AG444" s="90"/>
      <c r="AH444" s="90"/>
      <c r="AI444" s="90"/>
    </row>
    <row r="445">
      <c r="A445" s="32"/>
      <c r="D445" s="187"/>
      <c r="E445" s="90"/>
      <c r="F445" s="90"/>
      <c r="AE445" s="90"/>
      <c r="AF445" s="90"/>
      <c r="AG445" s="90"/>
      <c r="AH445" s="90"/>
      <c r="AI445" s="90"/>
    </row>
    <row r="446">
      <c r="A446" s="32"/>
      <c r="D446" s="187"/>
      <c r="E446" s="90"/>
      <c r="F446" s="90"/>
      <c r="AE446" s="90"/>
      <c r="AF446" s="90"/>
      <c r="AG446" s="90"/>
      <c r="AH446" s="90"/>
      <c r="AI446" s="90"/>
    </row>
    <row r="447">
      <c r="A447" s="32"/>
      <c r="D447" s="187"/>
      <c r="E447" s="90"/>
      <c r="F447" s="90"/>
      <c r="AE447" s="90"/>
      <c r="AF447" s="90"/>
      <c r="AG447" s="90"/>
      <c r="AH447" s="90"/>
      <c r="AI447" s="90"/>
    </row>
    <row r="448">
      <c r="A448" s="32"/>
      <c r="D448" s="187"/>
      <c r="E448" s="90"/>
      <c r="F448" s="90"/>
      <c r="AE448" s="90"/>
      <c r="AF448" s="90"/>
      <c r="AG448" s="90"/>
      <c r="AH448" s="90"/>
      <c r="AI448" s="90"/>
    </row>
    <row r="449">
      <c r="A449" s="32"/>
      <c r="D449" s="187"/>
      <c r="E449" s="90"/>
      <c r="F449" s="90"/>
      <c r="AE449" s="90"/>
      <c r="AF449" s="90"/>
      <c r="AG449" s="90"/>
      <c r="AH449" s="90"/>
      <c r="AI449" s="90"/>
    </row>
    <row r="450">
      <c r="A450" s="32"/>
      <c r="D450" s="187"/>
      <c r="E450" s="90"/>
      <c r="F450" s="90"/>
      <c r="AE450" s="90"/>
      <c r="AF450" s="90"/>
      <c r="AG450" s="90"/>
      <c r="AH450" s="90"/>
      <c r="AI450" s="90"/>
    </row>
    <row r="451">
      <c r="A451" s="32"/>
      <c r="D451" s="187"/>
      <c r="E451" s="90"/>
      <c r="F451" s="90"/>
      <c r="AE451" s="90"/>
      <c r="AF451" s="90"/>
      <c r="AG451" s="90"/>
      <c r="AH451" s="90"/>
      <c r="AI451" s="90"/>
    </row>
    <row r="452">
      <c r="A452" s="32"/>
      <c r="D452" s="187"/>
      <c r="E452" s="90"/>
      <c r="F452" s="90"/>
      <c r="AE452" s="90"/>
      <c r="AF452" s="90"/>
      <c r="AG452" s="90"/>
      <c r="AH452" s="90"/>
      <c r="AI452" s="90"/>
    </row>
    <row r="453">
      <c r="A453" s="32"/>
      <c r="D453" s="187"/>
      <c r="E453" s="90"/>
      <c r="F453" s="90"/>
      <c r="AE453" s="90"/>
      <c r="AF453" s="90"/>
      <c r="AG453" s="90"/>
      <c r="AH453" s="90"/>
      <c r="AI453" s="90"/>
    </row>
    <row r="454">
      <c r="A454" s="32"/>
      <c r="D454" s="187"/>
      <c r="E454" s="90"/>
      <c r="F454" s="90"/>
      <c r="AE454" s="90"/>
      <c r="AF454" s="90"/>
      <c r="AG454" s="90"/>
      <c r="AH454" s="90"/>
      <c r="AI454" s="90"/>
    </row>
    <row r="455">
      <c r="A455" s="32"/>
      <c r="D455" s="187"/>
      <c r="E455" s="90"/>
      <c r="F455" s="90"/>
      <c r="AE455" s="90"/>
      <c r="AF455" s="90"/>
      <c r="AG455" s="90"/>
      <c r="AH455" s="90"/>
      <c r="AI455" s="90"/>
    </row>
    <row r="456">
      <c r="A456" s="32"/>
      <c r="D456" s="187"/>
      <c r="E456" s="90"/>
      <c r="F456" s="90"/>
      <c r="AE456" s="90"/>
      <c r="AF456" s="90"/>
      <c r="AG456" s="90"/>
      <c r="AH456" s="90"/>
      <c r="AI456" s="90"/>
    </row>
    <row r="457">
      <c r="A457" s="32"/>
      <c r="D457" s="187"/>
      <c r="E457" s="90"/>
      <c r="F457" s="90"/>
      <c r="AE457" s="90"/>
      <c r="AF457" s="90"/>
      <c r="AG457" s="90"/>
      <c r="AH457" s="90"/>
      <c r="AI457" s="90"/>
    </row>
    <row r="458">
      <c r="A458" s="32"/>
      <c r="D458" s="187"/>
      <c r="E458" s="90"/>
      <c r="F458" s="90"/>
      <c r="AE458" s="90"/>
      <c r="AF458" s="90"/>
      <c r="AG458" s="90"/>
      <c r="AH458" s="90"/>
      <c r="AI458" s="90"/>
    </row>
    <row r="459">
      <c r="A459" s="32"/>
      <c r="D459" s="187"/>
      <c r="E459" s="90"/>
      <c r="F459" s="90"/>
      <c r="AE459" s="90"/>
      <c r="AF459" s="90"/>
      <c r="AG459" s="90"/>
      <c r="AH459" s="90"/>
      <c r="AI459" s="90"/>
    </row>
    <row r="460">
      <c r="A460" s="32"/>
      <c r="D460" s="187"/>
      <c r="E460" s="90"/>
      <c r="F460" s="90"/>
      <c r="AE460" s="90"/>
      <c r="AF460" s="90"/>
      <c r="AG460" s="90"/>
      <c r="AH460" s="90"/>
      <c r="AI460" s="90"/>
    </row>
    <row r="461">
      <c r="A461" s="32"/>
      <c r="D461" s="187"/>
      <c r="E461" s="90"/>
      <c r="F461" s="90"/>
      <c r="AE461" s="90"/>
      <c r="AF461" s="90"/>
      <c r="AG461" s="90"/>
      <c r="AH461" s="90"/>
      <c r="AI461" s="90"/>
    </row>
    <row r="462">
      <c r="A462" s="32"/>
      <c r="D462" s="187"/>
      <c r="E462" s="90"/>
      <c r="F462" s="90"/>
      <c r="AE462" s="90"/>
      <c r="AF462" s="90"/>
      <c r="AG462" s="90"/>
      <c r="AH462" s="90"/>
      <c r="AI462" s="90"/>
    </row>
    <row r="463">
      <c r="A463" s="32"/>
      <c r="D463" s="187"/>
      <c r="E463" s="90"/>
      <c r="F463" s="90"/>
      <c r="AE463" s="90"/>
      <c r="AF463" s="90"/>
      <c r="AG463" s="90"/>
      <c r="AH463" s="90"/>
      <c r="AI463" s="90"/>
    </row>
    <row r="464">
      <c r="A464" s="32"/>
      <c r="D464" s="187"/>
      <c r="E464" s="90"/>
      <c r="F464" s="90"/>
      <c r="AE464" s="90"/>
      <c r="AF464" s="90"/>
      <c r="AG464" s="90"/>
      <c r="AH464" s="90"/>
      <c r="AI464" s="90"/>
    </row>
    <row r="465">
      <c r="A465" s="32"/>
      <c r="D465" s="187"/>
      <c r="E465" s="90"/>
      <c r="F465" s="90"/>
      <c r="AE465" s="90"/>
      <c r="AF465" s="90"/>
      <c r="AG465" s="90"/>
      <c r="AH465" s="90"/>
      <c r="AI465" s="90"/>
    </row>
    <row r="466">
      <c r="A466" s="32"/>
      <c r="D466" s="187"/>
      <c r="E466" s="90"/>
      <c r="F466" s="90"/>
      <c r="AE466" s="90"/>
      <c r="AF466" s="90"/>
      <c r="AG466" s="90"/>
      <c r="AH466" s="90"/>
      <c r="AI466" s="90"/>
    </row>
    <row r="467">
      <c r="A467" s="32"/>
      <c r="D467" s="187"/>
      <c r="E467" s="90"/>
      <c r="F467" s="90"/>
      <c r="AE467" s="90"/>
      <c r="AF467" s="90"/>
      <c r="AG467" s="90"/>
      <c r="AH467" s="90"/>
      <c r="AI467" s="90"/>
    </row>
    <row r="468">
      <c r="A468" s="32"/>
      <c r="D468" s="187"/>
      <c r="E468" s="90"/>
      <c r="F468" s="90"/>
      <c r="AE468" s="90"/>
      <c r="AF468" s="90"/>
      <c r="AG468" s="90"/>
      <c r="AH468" s="90"/>
      <c r="AI468" s="90"/>
    </row>
    <row r="469">
      <c r="A469" s="32"/>
      <c r="D469" s="187"/>
      <c r="E469" s="90"/>
      <c r="F469" s="90"/>
      <c r="AE469" s="90"/>
      <c r="AF469" s="90"/>
      <c r="AG469" s="90"/>
      <c r="AH469" s="90"/>
      <c r="AI469" s="90"/>
    </row>
    <row r="470">
      <c r="A470" s="32"/>
      <c r="D470" s="187"/>
      <c r="E470" s="90"/>
      <c r="F470" s="90"/>
      <c r="AE470" s="90"/>
      <c r="AF470" s="90"/>
      <c r="AG470" s="90"/>
      <c r="AH470" s="90"/>
      <c r="AI470" s="90"/>
    </row>
    <row r="471">
      <c r="A471" s="32"/>
      <c r="D471" s="187"/>
      <c r="E471" s="90"/>
      <c r="F471" s="90"/>
      <c r="AE471" s="90"/>
      <c r="AF471" s="90"/>
      <c r="AG471" s="90"/>
      <c r="AH471" s="90"/>
      <c r="AI471" s="90"/>
    </row>
    <row r="472">
      <c r="A472" s="32"/>
      <c r="D472" s="187"/>
      <c r="E472" s="90"/>
      <c r="F472" s="90"/>
      <c r="AE472" s="90"/>
      <c r="AF472" s="90"/>
      <c r="AG472" s="90"/>
      <c r="AH472" s="90"/>
      <c r="AI472" s="90"/>
    </row>
    <row r="473">
      <c r="A473" s="32"/>
      <c r="D473" s="187"/>
      <c r="E473" s="90"/>
      <c r="F473" s="90"/>
      <c r="AE473" s="90"/>
      <c r="AF473" s="90"/>
      <c r="AG473" s="90"/>
      <c r="AH473" s="90"/>
      <c r="AI473" s="90"/>
    </row>
    <row r="474">
      <c r="A474" s="32"/>
      <c r="D474" s="187"/>
      <c r="E474" s="90"/>
      <c r="F474" s="90"/>
      <c r="AE474" s="90"/>
      <c r="AF474" s="90"/>
      <c r="AG474" s="90"/>
      <c r="AH474" s="90"/>
      <c r="AI474" s="90"/>
    </row>
    <row r="475">
      <c r="A475" s="32"/>
      <c r="D475" s="187"/>
      <c r="E475" s="90"/>
      <c r="F475" s="90"/>
      <c r="AE475" s="90"/>
      <c r="AF475" s="90"/>
      <c r="AG475" s="90"/>
      <c r="AH475" s="90"/>
      <c r="AI475" s="90"/>
    </row>
    <row r="476">
      <c r="A476" s="32"/>
      <c r="D476" s="187"/>
      <c r="E476" s="90"/>
      <c r="F476" s="90"/>
      <c r="AE476" s="90"/>
      <c r="AF476" s="90"/>
      <c r="AG476" s="90"/>
      <c r="AH476" s="90"/>
      <c r="AI476" s="90"/>
    </row>
    <row r="477">
      <c r="A477" s="32"/>
      <c r="D477" s="187"/>
      <c r="E477" s="90"/>
      <c r="F477" s="90"/>
      <c r="AE477" s="90"/>
      <c r="AF477" s="90"/>
      <c r="AG477" s="90"/>
      <c r="AH477" s="90"/>
      <c r="AI477" s="90"/>
    </row>
    <row r="478">
      <c r="A478" s="32"/>
      <c r="D478" s="187"/>
      <c r="E478" s="90"/>
      <c r="F478" s="90"/>
      <c r="AE478" s="90"/>
      <c r="AF478" s="90"/>
      <c r="AG478" s="90"/>
      <c r="AH478" s="90"/>
      <c r="AI478" s="90"/>
    </row>
    <row r="479">
      <c r="A479" s="32"/>
      <c r="D479" s="187"/>
      <c r="E479" s="90"/>
      <c r="F479" s="90"/>
      <c r="AE479" s="90"/>
      <c r="AF479" s="90"/>
      <c r="AG479" s="90"/>
      <c r="AH479" s="90"/>
      <c r="AI479" s="90"/>
    </row>
    <row r="480">
      <c r="A480" s="32"/>
      <c r="D480" s="187"/>
      <c r="E480" s="90"/>
      <c r="F480" s="90"/>
      <c r="AE480" s="90"/>
      <c r="AF480" s="90"/>
      <c r="AG480" s="90"/>
      <c r="AH480" s="90"/>
      <c r="AI480" s="90"/>
    </row>
    <row r="481">
      <c r="A481" s="32"/>
      <c r="D481" s="187"/>
      <c r="E481" s="90"/>
      <c r="F481" s="90"/>
      <c r="AE481" s="90"/>
      <c r="AF481" s="90"/>
      <c r="AG481" s="90"/>
      <c r="AH481" s="90"/>
      <c r="AI481" s="90"/>
    </row>
    <row r="482">
      <c r="A482" s="32"/>
      <c r="D482" s="187"/>
      <c r="E482" s="90"/>
      <c r="F482" s="90"/>
      <c r="AE482" s="90"/>
      <c r="AF482" s="90"/>
      <c r="AG482" s="90"/>
      <c r="AH482" s="90"/>
      <c r="AI482" s="90"/>
    </row>
    <row r="483">
      <c r="A483" s="32"/>
      <c r="D483" s="187"/>
      <c r="E483" s="90"/>
      <c r="F483" s="90"/>
      <c r="AE483" s="90"/>
      <c r="AF483" s="90"/>
      <c r="AG483" s="90"/>
      <c r="AH483" s="90"/>
      <c r="AI483" s="90"/>
    </row>
    <row r="484">
      <c r="A484" s="32"/>
      <c r="D484" s="187"/>
      <c r="E484" s="90"/>
      <c r="F484" s="90"/>
      <c r="AE484" s="90"/>
      <c r="AF484" s="90"/>
      <c r="AG484" s="90"/>
      <c r="AH484" s="90"/>
      <c r="AI484" s="90"/>
    </row>
    <row r="485">
      <c r="A485" s="32"/>
      <c r="D485" s="187"/>
      <c r="E485" s="90"/>
      <c r="F485" s="90"/>
      <c r="AE485" s="90"/>
      <c r="AF485" s="90"/>
      <c r="AG485" s="90"/>
      <c r="AH485" s="90"/>
      <c r="AI485" s="90"/>
    </row>
    <row r="486">
      <c r="A486" s="32"/>
      <c r="D486" s="187"/>
      <c r="E486" s="90"/>
      <c r="F486" s="90"/>
      <c r="AE486" s="90"/>
      <c r="AF486" s="90"/>
      <c r="AG486" s="90"/>
      <c r="AH486" s="90"/>
      <c r="AI486" s="90"/>
    </row>
    <row r="487">
      <c r="A487" s="32"/>
      <c r="D487" s="187"/>
      <c r="E487" s="90"/>
      <c r="F487" s="90"/>
      <c r="AE487" s="90"/>
      <c r="AF487" s="90"/>
      <c r="AG487" s="90"/>
      <c r="AH487" s="90"/>
      <c r="AI487" s="90"/>
    </row>
    <row r="488">
      <c r="A488" s="32"/>
      <c r="D488" s="187"/>
      <c r="E488" s="90"/>
      <c r="F488" s="90"/>
      <c r="AE488" s="90"/>
      <c r="AF488" s="90"/>
      <c r="AG488" s="90"/>
      <c r="AH488" s="90"/>
      <c r="AI488" s="90"/>
    </row>
    <row r="489">
      <c r="A489" s="32"/>
      <c r="D489" s="187"/>
      <c r="E489" s="90"/>
      <c r="F489" s="90"/>
      <c r="AE489" s="90"/>
      <c r="AF489" s="90"/>
      <c r="AG489" s="90"/>
      <c r="AH489" s="90"/>
      <c r="AI489" s="90"/>
    </row>
    <row r="490">
      <c r="A490" s="32"/>
      <c r="D490" s="187"/>
      <c r="E490" s="90"/>
      <c r="F490" s="90"/>
      <c r="AE490" s="90"/>
      <c r="AF490" s="90"/>
      <c r="AG490" s="90"/>
      <c r="AH490" s="90"/>
      <c r="AI490" s="90"/>
    </row>
    <row r="491">
      <c r="A491" s="32"/>
      <c r="D491" s="187"/>
      <c r="E491" s="90"/>
      <c r="F491" s="90"/>
      <c r="AE491" s="90"/>
      <c r="AF491" s="90"/>
      <c r="AG491" s="90"/>
      <c r="AH491" s="90"/>
      <c r="AI491" s="90"/>
    </row>
    <row r="492">
      <c r="A492" s="32"/>
      <c r="D492" s="187"/>
      <c r="E492" s="90"/>
      <c r="F492" s="90"/>
      <c r="AE492" s="90"/>
      <c r="AF492" s="90"/>
      <c r="AG492" s="90"/>
      <c r="AH492" s="90"/>
      <c r="AI492" s="90"/>
    </row>
    <row r="493">
      <c r="A493" s="32"/>
      <c r="D493" s="187"/>
      <c r="E493" s="90"/>
      <c r="F493" s="90"/>
      <c r="AE493" s="90"/>
      <c r="AF493" s="90"/>
      <c r="AG493" s="90"/>
      <c r="AH493" s="90"/>
      <c r="AI493" s="90"/>
    </row>
    <row r="494">
      <c r="A494" s="32"/>
      <c r="D494" s="187"/>
      <c r="E494" s="90"/>
      <c r="F494" s="90"/>
      <c r="AE494" s="90"/>
      <c r="AF494" s="90"/>
      <c r="AG494" s="90"/>
      <c r="AH494" s="90"/>
      <c r="AI494" s="90"/>
    </row>
    <row r="495">
      <c r="A495" s="32"/>
      <c r="D495" s="187"/>
      <c r="E495" s="90"/>
      <c r="F495" s="90"/>
      <c r="AE495" s="90"/>
      <c r="AF495" s="90"/>
      <c r="AG495" s="90"/>
      <c r="AH495" s="90"/>
      <c r="AI495" s="90"/>
    </row>
    <row r="496">
      <c r="A496" s="32"/>
      <c r="D496" s="187"/>
      <c r="E496" s="90"/>
      <c r="F496" s="90"/>
      <c r="AE496" s="90"/>
      <c r="AF496" s="90"/>
      <c r="AG496" s="90"/>
      <c r="AH496" s="90"/>
      <c r="AI496" s="90"/>
    </row>
    <row r="497">
      <c r="A497" s="32"/>
      <c r="D497" s="187"/>
      <c r="E497" s="90"/>
      <c r="F497" s="90"/>
      <c r="AE497" s="90"/>
      <c r="AF497" s="90"/>
      <c r="AG497" s="90"/>
      <c r="AH497" s="90"/>
      <c r="AI497" s="90"/>
    </row>
    <row r="498">
      <c r="A498" s="32"/>
      <c r="D498" s="187"/>
      <c r="E498" s="90"/>
      <c r="F498" s="90"/>
      <c r="AE498" s="90"/>
      <c r="AF498" s="90"/>
      <c r="AG498" s="90"/>
      <c r="AH498" s="90"/>
      <c r="AI498" s="90"/>
    </row>
    <row r="499">
      <c r="A499" s="32"/>
      <c r="D499" s="187"/>
      <c r="E499" s="90"/>
      <c r="F499" s="90"/>
      <c r="AE499" s="90"/>
      <c r="AF499" s="90"/>
      <c r="AG499" s="90"/>
      <c r="AH499" s="90"/>
      <c r="AI499" s="90"/>
    </row>
    <row r="500">
      <c r="A500" s="32"/>
      <c r="D500" s="187"/>
      <c r="E500" s="90"/>
      <c r="F500" s="90"/>
      <c r="AE500" s="90"/>
      <c r="AF500" s="90"/>
      <c r="AG500" s="90"/>
      <c r="AH500" s="90"/>
      <c r="AI500" s="90"/>
    </row>
    <row r="501">
      <c r="A501" s="32"/>
      <c r="D501" s="187"/>
      <c r="E501" s="90"/>
      <c r="F501" s="90"/>
      <c r="AE501" s="90"/>
      <c r="AF501" s="90"/>
      <c r="AG501" s="90"/>
      <c r="AH501" s="90"/>
      <c r="AI501" s="90"/>
    </row>
    <row r="502">
      <c r="A502" s="32"/>
      <c r="D502" s="187"/>
      <c r="E502" s="90"/>
      <c r="F502" s="90"/>
      <c r="AE502" s="90"/>
      <c r="AF502" s="90"/>
      <c r="AG502" s="90"/>
      <c r="AH502" s="90"/>
      <c r="AI502" s="90"/>
    </row>
    <row r="503">
      <c r="A503" s="32"/>
      <c r="D503" s="187"/>
      <c r="E503" s="90"/>
      <c r="F503" s="90"/>
      <c r="AE503" s="90"/>
      <c r="AF503" s="90"/>
      <c r="AG503" s="90"/>
      <c r="AH503" s="90"/>
      <c r="AI503" s="90"/>
    </row>
    <row r="504">
      <c r="A504" s="32"/>
      <c r="D504" s="187"/>
      <c r="E504" s="90"/>
      <c r="F504" s="90"/>
      <c r="AE504" s="90"/>
      <c r="AF504" s="90"/>
      <c r="AG504" s="90"/>
      <c r="AH504" s="90"/>
      <c r="AI504" s="90"/>
    </row>
    <row r="505">
      <c r="A505" s="32"/>
      <c r="D505" s="187"/>
      <c r="E505" s="90"/>
      <c r="F505" s="90"/>
      <c r="AE505" s="90"/>
      <c r="AF505" s="90"/>
      <c r="AG505" s="90"/>
      <c r="AH505" s="90"/>
      <c r="AI505" s="90"/>
    </row>
    <row r="506">
      <c r="A506" s="32"/>
      <c r="D506" s="187"/>
      <c r="E506" s="90"/>
      <c r="F506" s="90"/>
      <c r="AE506" s="90"/>
      <c r="AF506" s="90"/>
      <c r="AG506" s="90"/>
      <c r="AH506" s="90"/>
      <c r="AI506" s="90"/>
    </row>
    <row r="507">
      <c r="A507" s="32"/>
      <c r="D507" s="187"/>
      <c r="E507" s="90"/>
      <c r="F507" s="90"/>
      <c r="AE507" s="90"/>
      <c r="AF507" s="90"/>
      <c r="AG507" s="90"/>
      <c r="AH507" s="90"/>
      <c r="AI507" s="90"/>
    </row>
    <row r="508">
      <c r="A508" s="32"/>
      <c r="D508" s="187"/>
      <c r="E508" s="90"/>
      <c r="F508" s="90"/>
      <c r="AE508" s="90"/>
      <c r="AF508" s="90"/>
      <c r="AG508" s="90"/>
      <c r="AH508" s="90"/>
      <c r="AI508" s="90"/>
    </row>
    <row r="509">
      <c r="A509" s="32"/>
      <c r="D509" s="187"/>
      <c r="E509" s="90"/>
      <c r="F509" s="90"/>
      <c r="AE509" s="90"/>
      <c r="AF509" s="90"/>
      <c r="AG509" s="90"/>
      <c r="AH509" s="90"/>
      <c r="AI509" s="90"/>
    </row>
    <row r="510">
      <c r="A510" s="32"/>
      <c r="D510" s="187"/>
      <c r="E510" s="90"/>
      <c r="F510" s="90"/>
      <c r="AE510" s="90"/>
      <c r="AF510" s="90"/>
      <c r="AG510" s="90"/>
      <c r="AH510" s="90"/>
      <c r="AI510" s="90"/>
    </row>
    <row r="511">
      <c r="A511" s="32"/>
      <c r="D511" s="187"/>
      <c r="E511" s="90"/>
      <c r="F511" s="90"/>
      <c r="AE511" s="90"/>
      <c r="AF511" s="90"/>
      <c r="AG511" s="90"/>
      <c r="AH511" s="90"/>
      <c r="AI511" s="90"/>
    </row>
    <row r="512">
      <c r="A512" s="32"/>
      <c r="D512" s="187"/>
      <c r="E512" s="90"/>
      <c r="F512" s="90"/>
      <c r="AE512" s="90"/>
      <c r="AF512" s="90"/>
      <c r="AG512" s="90"/>
      <c r="AH512" s="90"/>
      <c r="AI512" s="90"/>
    </row>
    <row r="513">
      <c r="A513" s="32"/>
      <c r="D513" s="187"/>
      <c r="E513" s="90"/>
      <c r="F513" s="90"/>
      <c r="AE513" s="90"/>
      <c r="AF513" s="90"/>
      <c r="AG513" s="90"/>
      <c r="AH513" s="90"/>
      <c r="AI513" s="90"/>
    </row>
    <row r="514">
      <c r="A514" s="32"/>
      <c r="D514" s="187"/>
      <c r="E514" s="90"/>
      <c r="F514" s="90"/>
      <c r="AE514" s="90"/>
      <c r="AF514" s="90"/>
      <c r="AG514" s="90"/>
      <c r="AH514" s="90"/>
      <c r="AI514" s="90"/>
    </row>
    <row r="515">
      <c r="A515" s="32"/>
      <c r="D515" s="187"/>
      <c r="E515" s="90"/>
      <c r="F515" s="90"/>
      <c r="AE515" s="90"/>
      <c r="AF515" s="90"/>
      <c r="AG515" s="90"/>
      <c r="AH515" s="90"/>
      <c r="AI515" s="90"/>
    </row>
    <row r="516">
      <c r="A516" s="32"/>
      <c r="D516" s="187"/>
      <c r="E516" s="90"/>
      <c r="F516" s="90"/>
      <c r="AE516" s="90"/>
      <c r="AF516" s="90"/>
      <c r="AG516" s="90"/>
      <c r="AH516" s="90"/>
      <c r="AI516" s="90"/>
    </row>
    <row r="517">
      <c r="A517" s="32"/>
      <c r="D517" s="187"/>
      <c r="E517" s="90"/>
      <c r="F517" s="90"/>
      <c r="AE517" s="90"/>
      <c r="AF517" s="90"/>
      <c r="AG517" s="90"/>
      <c r="AH517" s="90"/>
      <c r="AI517" s="90"/>
    </row>
    <row r="518">
      <c r="A518" s="32"/>
      <c r="D518" s="187"/>
      <c r="E518" s="90"/>
      <c r="F518" s="90"/>
      <c r="AE518" s="90"/>
      <c r="AF518" s="90"/>
      <c r="AG518" s="90"/>
      <c r="AH518" s="90"/>
      <c r="AI518" s="90"/>
    </row>
    <row r="519">
      <c r="A519" s="32"/>
      <c r="D519" s="187"/>
      <c r="E519" s="90"/>
      <c r="F519" s="90"/>
      <c r="AE519" s="90"/>
      <c r="AF519" s="90"/>
      <c r="AG519" s="90"/>
      <c r="AH519" s="90"/>
      <c r="AI519" s="90"/>
    </row>
    <row r="520">
      <c r="A520" s="32"/>
      <c r="D520" s="187"/>
      <c r="E520" s="90"/>
      <c r="F520" s="90"/>
      <c r="AE520" s="90"/>
      <c r="AF520" s="90"/>
      <c r="AG520" s="90"/>
      <c r="AH520" s="90"/>
      <c r="AI520" s="90"/>
    </row>
    <row r="521">
      <c r="A521" s="32"/>
      <c r="D521" s="187"/>
      <c r="E521" s="90"/>
      <c r="F521" s="90"/>
      <c r="AE521" s="90"/>
      <c r="AF521" s="90"/>
      <c r="AG521" s="90"/>
      <c r="AH521" s="90"/>
      <c r="AI521" s="90"/>
    </row>
    <row r="522">
      <c r="A522" s="32"/>
      <c r="D522" s="187"/>
      <c r="E522" s="90"/>
      <c r="F522" s="90"/>
      <c r="AE522" s="90"/>
      <c r="AF522" s="90"/>
      <c r="AG522" s="90"/>
      <c r="AH522" s="90"/>
      <c r="AI522" s="90"/>
    </row>
    <row r="523">
      <c r="A523" s="32"/>
      <c r="D523" s="187"/>
      <c r="E523" s="90"/>
      <c r="F523" s="90"/>
      <c r="AE523" s="90"/>
      <c r="AF523" s="90"/>
      <c r="AG523" s="90"/>
      <c r="AH523" s="90"/>
      <c r="AI523" s="90"/>
    </row>
    <row r="524">
      <c r="A524" s="32"/>
      <c r="D524" s="187"/>
      <c r="E524" s="90"/>
      <c r="F524" s="90"/>
      <c r="AE524" s="90"/>
      <c r="AF524" s="90"/>
      <c r="AG524" s="90"/>
      <c r="AH524" s="90"/>
      <c r="AI524" s="90"/>
    </row>
    <row r="525">
      <c r="A525" s="32"/>
      <c r="D525" s="187"/>
      <c r="E525" s="90"/>
      <c r="F525" s="90"/>
      <c r="AE525" s="90"/>
      <c r="AF525" s="90"/>
      <c r="AG525" s="90"/>
      <c r="AH525" s="90"/>
      <c r="AI525" s="90"/>
    </row>
    <row r="526">
      <c r="A526" s="32"/>
      <c r="D526" s="187"/>
      <c r="E526" s="90"/>
      <c r="F526" s="90"/>
      <c r="AE526" s="90"/>
      <c r="AF526" s="90"/>
      <c r="AG526" s="90"/>
      <c r="AH526" s="90"/>
      <c r="AI526" s="90"/>
    </row>
    <row r="527">
      <c r="A527" s="32"/>
      <c r="D527" s="187"/>
      <c r="E527" s="90"/>
      <c r="F527" s="90"/>
      <c r="AE527" s="90"/>
      <c r="AF527" s="90"/>
      <c r="AG527" s="90"/>
      <c r="AH527" s="90"/>
      <c r="AI527" s="90"/>
    </row>
    <row r="528">
      <c r="A528" s="32"/>
      <c r="D528" s="187"/>
      <c r="E528" s="90"/>
      <c r="F528" s="90"/>
      <c r="AE528" s="90"/>
      <c r="AF528" s="90"/>
      <c r="AG528" s="90"/>
      <c r="AH528" s="90"/>
      <c r="AI528" s="90"/>
    </row>
    <row r="529">
      <c r="A529" s="32"/>
      <c r="D529" s="187"/>
      <c r="E529" s="90"/>
      <c r="F529" s="90"/>
      <c r="AE529" s="90"/>
      <c r="AF529" s="90"/>
      <c r="AG529" s="90"/>
      <c r="AH529" s="90"/>
      <c r="AI529" s="90"/>
    </row>
    <row r="530">
      <c r="A530" s="32"/>
      <c r="D530" s="187"/>
      <c r="E530" s="90"/>
      <c r="F530" s="90"/>
      <c r="AE530" s="90"/>
      <c r="AF530" s="90"/>
      <c r="AG530" s="90"/>
      <c r="AH530" s="90"/>
      <c r="AI530" s="90"/>
    </row>
    <row r="531">
      <c r="A531" s="32"/>
      <c r="D531" s="187"/>
      <c r="E531" s="90"/>
      <c r="F531" s="90"/>
      <c r="AE531" s="90"/>
      <c r="AF531" s="90"/>
      <c r="AG531" s="90"/>
      <c r="AH531" s="90"/>
      <c r="AI531" s="90"/>
    </row>
    <row r="532">
      <c r="A532" s="32"/>
      <c r="D532" s="187"/>
      <c r="E532" s="90"/>
      <c r="F532" s="90"/>
      <c r="AE532" s="90"/>
      <c r="AF532" s="90"/>
      <c r="AG532" s="90"/>
      <c r="AH532" s="90"/>
      <c r="AI532" s="90"/>
    </row>
    <row r="533">
      <c r="A533" s="32"/>
      <c r="D533" s="187"/>
      <c r="E533" s="90"/>
      <c r="F533" s="90"/>
      <c r="AE533" s="90"/>
      <c r="AF533" s="90"/>
      <c r="AG533" s="90"/>
      <c r="AH533" s="90"/>
      <c r="AI533" s="90"/>
    </row>
    <row r="534">
      <c r="A534" s="32"/>
      <c r="D534" s="187"/>
      <c r="E534" s="90"/>
      <c r="F534" s="90"/>
      <c r="AE534" s="90"/>
      <c r="AF534" s="90"/>
      <c r="AG534" s="90"/>
      <c r="AH534" s="90"/>
      <c r="AI534" s="90"/>
    </row>
    <row r="535">
      <c r="A535" s="32"/>
      <c r="D535" s="187"/>
      <c r="E535" s="90"/>
      <c r="F535" s="90"/>
      <c r="AE535" s="90"/>
      <c r="AF535" s="90"/>
      <c r="AG535" s="90"/>
      <c r="AH535" s="90"/>
      <c r="AI535" s="90"/>
    </row>
    <row r="536">
      <c r="A536" s="32"/>
      <c r="D536" s="187"/>
      <c r="E536" s="90"/>
      <c r="F536" s="90"/>
      <c r="AE536" s="90"/>
      <c r="AF536" s="90"/>
      <c r="AG536" s="90"/>
      <c r="AH536" s="90"/>
      <c r="AI536" s="90"/>
    </row>
    <row r="537">
      <c r="A537" s="32"/>
      <c r="D537" s="187"/>
      <c r="E537" s="90"/>
      <c r="F537" s="90"/>
      <c r="AE537" s="90"/>
      <c r="AF537" s="90"/>
      <c r="AG537" s="90"/>
      <c r="AH537" s="90"/>
      <c r="AI537" s="90"/>
    </row>
    <row r="538">
      <c r="A538" s="32"/>
      <c r="D538" s="187"/>
      <c r="E538" s="90"/>
      <c r="F538" s="90"/>
      <c r="AE538" s="90"/>
      <c r="AF538" s="90"/>
      <c r="AG538" s="90"/>
      <c r="AH538" s="90"/>
      <c r="AI538" s="90"/>
    </row>
    <row r="539">
      <c r="A539" s="32"/>
      <c r="D539" s="187"/>
      <c r="E539" s="90"/>
      <c r="F539" s="90"/>
      <c r="AE539" s="90"/>
      <c r="AF539" s="90"/>
      <c r="AG539" s="90"/>
      <c r="AH539" s="90"/>
      <c r="AI539" s="90"/>
    </row>
    <row r="540">
      <c r="A540" s="32"/>
      <c r="D540" s="187"/>
      <c r="E540" s="90"/>
      <c r="F540" s="90"/>
      <c r="AE540" s="90"/>
      <c r="AF540" s="90"/>
      <c r="AG540" s="90"/>
      <c r="AH540" s="90"/>
      <c r="AI540" s="90"/>
    </row>
    <row r="541">
      <c r="A541" s="32"/>
      <c r="D541" s="187"/>
      <c r="E541" s="90"/>
      <c r="F541" s="90"/>
      <c r="AE541" s="90"/>
      <c r="AF541" s="90"/>
      <c r="AG541" s="90"/>
      <c r="AH541" s="90"/>
      <c r="AI541" s="90"/>
    </row>
    <row r="542">
      <c r="A542" s="32"/>
      <c r="D542" s="187"/>
      <c r="E542" s="90"/>
      <c r="F542" s="90"/>
      <c r="AE542" s="90"/>
      <c r="AF542" s="90"/>
      <c r="AG542" s="90"/>
      <c r="AH542" s="90"/>
      <c r="AI542" s="90"/>
    </row>
    <row r="543">
      <c r="A543" s="32"/>
      <c r="D543" s="187"/>
      <c r="E543" s="90"/>
      <c r="F543" s="90"/>
      <c r="AE543" s="90"/>
      <c r="AF543" s="90"/>
      <c r="AG543" s="90"/>
      <c r="AH543" s="90"/>
      <c r="AI543" s="90"/>
    </row>
    <row r="544">
      <c r="A544" s="32"/>
      <c r="D544" s="187"/>
      <c r="E544" s="90"/>
      <c r="F544" s="90"/>
      <c r="AE544" s="90"/>
      <c r="AF544" s="90"/>
      <c r="AG544" s="90"/>
      <c r="AH544" s="90"/>
      <c r="AI544" s="90"/>
    </row>
    <row r="545">
      <c r="A545" s="32"/>
      <c r="D545" s="187"/>
      <c r="E545" s="90"/>
      <c r="F545" s="90"/>
      <c r="AE545" s="90"/>
      <c r="AF545" s="90"/>
      <c r="AG545" s="90"/>
      <c r="AH545" s="90"/>
      <c r="AI545" s="90"/>
    </row>
    <row r="546">
      <c r="A546" s="32"/>
      <c r="D546" s="187"/>
      <c r="E546" s="90"/>
      <c r="F546" s="90"/>
      <c r="AE546" s="90"/>
      <c r="AF546" s="90"/>
      <c r="AG546" s="90"/>
      <c r="AH546" s="90"/>
      <c r="AI546" s="90"/>
    </row>
    <row r="547">
      <c r="A547" s="32"/>
      <c r="D547" s="187"/>
      <c r="E547" s="90"/>
      <c r="F547" s="90"/>
      <c r="AE547" s="90"/>
      <c r="AF547" s="90"/>
      <c r="AG547" s="90"/>
      <c r="AH547" s="90"/>
      <c r="AI547" s="90"/>
    </row>
    <row r="548">
      <c r="A548" s="32"/>
      <c r="D548" s="187"/>
      <c r="E548" s="90"/>
      <c r="F548" s="90"/>
      <c r="AE548" s="90"/>
      <c r="AF548" s="90"/>
      <c r="AG548" s="90"/>
      <c r="AH548" s="90"/>
      <c r="AI548" s="90"/>
    </row>
    <row r="549">
      <c r="A549" s="32"/>
      <c r="D549" s="187"/>
      <c r="E549" s="90"/>
      <c r="F549" s="90"/>
      <c r="AE549" s="90"/>
      <c r="AF549" s="90"/>
      <c r="AG549" s="90"/>
      <c r="AH549" s="90"/>
      <c r="AI549" s="90"/>
    </row>
    <row r="550">
      <c r="A550" s="32"/>
      <c r="D550" s="187"/>
      <c r="E550" s="90"/>
      <c r="F550" s="90"/>
      <c r="AE550" s="90"/>
      <c r="AF550" s="90"/>
      <c r="AG550" s="90"/>
      <c r="AH550" s="90"/>
      <c r="AI550" s="90"/>
    </row>
    <row r="551">
      <c r="A551" s="32"/>
      <c r="D551" s="187"/>
      <c r="E551" s="90"/>
      <c r="F551" s="90"/>
      <c r="AE551" s="90"/>
      <c r="AF551" s="90"/>
      <c r="AG551" s="90"/>
      <c r="AH551" s="90"/>
      <c r="AI551" s="90"/>
    </row>
    <row r="552">
      <c r="A552" s="32"/>
      <c r="D552" s="187"/>
      <c r="E552" s="90"/>
      <c r="F552" s="90"/>
      <c r="AE552" s="90"/>
      <c r="AF552" s="90"/>
      <c r="AG552" s="90"/>
      <c r="AH552" s="90"/>
      <c r="AI552" s="90"/>
    </row>
    <row r="553">
      <c r="A553" s="32"/>
      <c r="D553" s="187"/>
      <c r="E553" s="90"/>
      <c r="F553" s="90"/>
      <c r="AE553" s="90"/>
      <c r="AF553" s="90"/>
      <c r="AG553" s="90"/>
      <c r="AH553" s="90"/>
      <c r="AI553" s="90"/>
    </row>
    <row r="554">
      <c r="A554" s="32"/>
      <c r="D554" s="187"/>
      <c r="E554" s="90"/>
      <c r="F554" s="90"/>
      <c r="AE554" s="90"/>
      <c r="AF554" s="90"/>
      <c r="AG554" s="90"/>
      <c r="AH554" s="90"/>
      <c r="AI554" s="90"/>
    </row>
    <row r="555">
      <c r="A555" s="32"/>
      <c r="D555" s="187"/>
      <c r="E555" s="90"/>
      <c r="F555" s="90"/>
      <c r="AE555" s="90"/>
      <c r="AF555" s="90"/>
      <c r="AG555" s="90"/>
      <c r="AH555" s="90"/>
      <c r="AI555" s="90"/>
    </row>
    <row r="556">
      <c r="A556" s="32"/>
      <c r="D556" s="187"/>
      <c r="E556" s="90"/>
      <c r="F556" s="90"/>
      <c r="AE556" s="90"/>
      <c r="AF556" s="90"/>
      <c r="AG556" s="90"/>
      <c r="AH556" s="90"/>
      <c r="AI556" s="90"/>
    </row>
    <row r="557">
      <c r="A557" s="32"/>
      <c r="D557" s="187"/>
      <c r="E557" s="90"/>
      <c r="F557" s="90"/>
      <c r="AE557" s="90"/>
      <c r="AF557" s="90"/>
      <c r="AG557" s="90"/>
      <c r="AH557" s="90"/>
      <c r="AI557" s="90"/>
    </row>
    <row r="558">
      <c r="A558" s="32"/>
      <c r="D558" s="187"/>
      <c r="E558" s="90"/>
      <c r="F558" s="90"/>
      <c r="AE558" s="90"/>
      <c r="AF558" s="90"/>
      <c r="AG558" s="90"/>
      <c r="AH558" s="90"/>
      <c r="AI558" s="90"/>
    </row>
    <row r="559">
      <c r="A559" s="32"/>
      <c r="D559" s="187"/>
      <c r="E559" s="90"/>
      <c r="F559" s="90"/>
      <c r="AE559" s="90"/>
      <c r="AF559" s="90"/>
      <c r="AG559" s="90"/>
      <c r="AH559" s="90"/>
      <c r="AI559" s="90"/>
    </row>
    <row r="560">
      <c r="A560" s="32"/>
      <c r="D560" s="187"/>
      <c r="E560" s="90"/>
      <c r="F560" s="90"/>
      <c r="AE560" s="90"/>
      <c r="AF560" s="90"/>
      <c r="AG560" s="90"/>
      <c r="AH560" s="90"/>
      <c r="AI560" s="90"/>
    </row>
    <row r="561">
      <c r="A561" s="32"/>
      <c r="D561" s="187"/>
      <c r="E561" s="90"/>
      <c r="F561" s="90"/>
      <c r="AE561" s="90"/>
      <c r="AF561" s="90"/>
      <c r="AG561" s="90"/>
      <c r="AH561" s="90"/>
      <c r="AI561" s="90"/>
    </row>
    <row r="562">
      <c r="A562" s="32"/>
      <c r="D562" s="187"/>
      <c r="E562" s="90"/>
      <c r="F562" s="90"/>
      <c r="AE562" s="90"/>
      <c r="AF562" s="90"/>
      <c r="AG562" s="90"/>
      <c r="AH562" s="90"/>
      <c r="AI562" s="90"/>
    </row>
    <row r="563">
      <c r="A563" s="32"/>
      <c r="D563" s="187"/>
      <c r="E563" s="90"/>
      <c r="F563" s="90"/>
      <c r="AE563" s="90"/>
      <c r="AF563" s="90"/>
      <c r="AG563" s="90"/>
      <c r="AH563" s="90"/>
      <c r="AI563" s="90"/>
    </row>
    <row r="564">
      <c r="A564" s="32"/>
      <c r="D564" s="187"/>
      <c r="E564" s="90"/>
      <c r="F564" s="90"/>
      <c r="AE564" s="90"/>
      <c r="AF564" s="90"/>
      <c r="AG564" s="90"/>
      <c r="AH564" s="90"/>
      <c r="AI564" s="90"/>
    </row>
    <row r="565">
      <c r="A565" s="32"/>
      <c r="D565" s="187"/>
      <c r="E565" s="90"/>
      <c r="F565" s="90"/>
      <c r="AE565" s="90"/>
      <c r="AF565" s="90"/>
      <c r="AG565" s="90"/>
      <c r="AH565" s="90"/>
      <c r="AI565" s="90"/>
    </row>
    <row r="566">
      <c r="A566" s="32"/>
      <c r="D566" s="187"/>
      <c r="E566" s="90"/>
      <c r="F566" s="90"/>
      <c r="AE566" s="90"/>
      <c r="AF566" s="90"/>
      <c r="AG566" s="90"/>
      <c r="AH566" s="90"/>
      <c r="AI566" s="90"/>
    </row>
    <row r="567">
      <c r="A567" s="32"/>
      <c r="D567" s="187"/>
      <c r="E567" s="90"/>
      <c r="F567" s="90"/>
      <c r="AE567" s="90"/>
      <c r="AF567" s="90"/>
      <c r="AG567" s="90"/>
      <c r="AH567" s="90"/>
      <c r="AI567" s="90"/>
    </row>
    <row r="568">
      <c r="A568" s="32"/>
      <c r="D568" s="187"/>
      <c r="E568" s="90"/>
      <c r="F568" s="90"/>
      <c r="AE568" s="90"/>
      <c r="AF568" s="90"/>
      <c r="AG568" s="90"/>
      <c r="AH568" s="90"/>
      <c r="AI568" s="90"/>
    </row>
    <row r="569">
      <c r="A569" s="32"/>
      <c r="D569" s="187"/>
      <c r="E569" s="90"/>
      <c r="F569" s="90"/>
      <c r="AE569" s="90"/>
      <c r="AF569" s="90"/>
      <c r="AG569" s="90"/>
      <c r="AH569" s="90"/>
      <c r="AI569" s="90"/>
    </row>
    <row r="570">
      <c r="A570" s="32"/>
      <c r="D570" s="187"/>
      <c r="E570" s="90"/>
      <c r="F570" s="90"/>
      <c r="AE570" s="90"/>
      <c r="AF570" s="90"/>
      <c r="AG570" s="90"/>
      <c r="AH570" s="90"/>
      <c r="AI570" s="90"/>
    </row>
    <row r="571">
      <c r="A571" s="32"/>
      <c r="D571" s="187"/>
      <c r="E571" s="90"/>
      <c r="F571" s="90"/>
      <c r="AE571" s="90"/>
      <c r="AF571" s="90"/>
      <c r="AG571" s="90"/>
      <c r="AH571" s="90"/>
      <c r="AI571" s="90"/>
    </row>
    <row r="572">
      <c r="A572" s="32"/>
      <c r="D572" s="187"/>
      <c r="E572" s="90"/>
      <c r="F572" s="90"/>
      <c r="AE572" s="90"/>
      <c r="AF572" s="90"/>
      <c r="AG572" s="90"/>
      <c r="AH572" s="90"/>
      <c r="AI572" s="90"/>
    </row>
    <row r="573">
      <c r="A573" s="32"/>
      <c r="D573" s="187"/>
      <c r="E573" s="90"/>
      <c r="F573" s="90"/>
      <c r="AE573" s="90"/>
      <c r="AF573" s="90"/>
      <c r="AG573" s="90"/>
      <c r="AH573" s="90"/>
      <c r="AI573" s="90"/>
    </row>
    <row r="574">
      <c r="A574" s="32"/>
      <c r="D574" s="187"/>
      <c r="E574" s="90"/>
      <c r="F574" s="90"/>
      <c r="AE574" s="90"/>
      <c r="AF574" s="90"/>
      <c r="AG574" s="90"/>
      <c r="AH574" s="90"/>
      <c r="AI574" s="90"/>
    </row>
    <row r="575">
      <c r="A575" s="32"/>
      <c r="D575" s="187"/>
      <c r="E575" s="90"/>
      <c r="F575" s="90"/>
      <c r="AE575" s="90"/>
      <c r="AF575" s="90"/>
      <c r="AG575" s="90"/>
      <c r="AH575" s="90"/>
      <c r="AI575" s="90"/>
    </row>
    <row r="576">
      <c r="A576" s="32"/>
      <c r="D576" s="187"/>
      <c r="E576" s="90"/>
      <c r="F576" s="90"/>
      <c r="AE576" s="90"/>
      <c r="AF576" s="90"/>
      <c r="AG576" s="90"/>
      <c r="AH576" s="90"/>
      <c r="AI576" s="90"/>
    </row>
    <row r="577">
      <c r="A577" s="32"/>
      <c r="D577" s="187"/>
      <c r="E577" s="90"/>
      <c r="F577" s="90"/>
      <c r="AE577" s="90"/>
      <c r="AF577" s="90"/>
      <c r="AG577" s="90"/>
      <c r="AH577" s="90"/>
      <c r="AI577" s="90"/>
    </row>
    <row r="578">
      <c r="A578" s="32"/>
      <c r="D578" s="187"/>
      <c r="E578" s="90"/>
      <c r="F578" s="90"/>
      <c r="AE578" s="90"/>
      <c r="AF578" s="90"/>
      <c r="AG578" s="90"/>
      <c r="AH578" s="90"/>
      <c r="AI578" s="90"/>
    </row>
    <row r="579">
      <c r="A579" s="32"/>
      <c r="D579" s="187"/>
      <c r="E579" s="90"/>
      <c r="F579" s="90"/>
      <c r="AE579" s="90"/>
      <c r="AF579" s="90"/>
      <c r="AG579" s="90"/>
      <c r="AH579" s="90"/>
      <c r="AI579" s="90"/>
    </row>
    <row r="580">
      <c r="A580" s="32"/>
      <c r="D580" s="187"/>
      <c r="E580" s="90"/>
      <c r="F580" s="90"/>
      <c r="AE580" s="90"/>
      <c r="AF580" s="90"/>
      <c r="AG580" s="90"/>
      <c r="AH580" s="90"/>
      <c r="AI580" s="90"/>
    </row>
    <row r="581">
      <c r="A581" s="32"/>
      <c r="D581" s="187"/>
      <c r="E581" s="90"/>
      <c r="F581" s="90"/>
      <c r="AE581" s="90"/>
      <c r="AF581" s="90"/>
      <c r="AG581" s="90"/>
      <c r="AH581" s="90"/>
      <c r="AI581" s="90"/>
    </row>
    <row r="582">
      <c r="A582" s="32"/>
      <c r="D582" s="187"/>
      <c r="E582" s="90"/>
      <c r="F582" s="90"/>
      <c r="AE582" s="90"/>
      <c r="AF582" s="90"/>
      <c r="AG582" s="90"/>
      <c r="AH582" s="90"/>
      <c r="AI582" s="90"/>
    </row>
    <row r="583">
      <c r="A583" s="32"/>
      <c r="D583" s="187"/>
      <c r="E583" s="90"/>
      <c r="F583" s="90"/>
      <c r="AE583" s="90"/>
      <c r="AF583" s="90"/>
      <c r="AG583" s="90"/>
      <c r="AH583" s="90"/>
      <c r="AI583" s="90"/>
    </row>
    <row r="584">
      <c r="A584" s="32"/>
      <c r="D584" s="187"/>
      <c r="E584" s="90"/>
      <c r="F584" s="90"/>
      <c r="AE584" s="90"/>
      <c r="AF584" s="90"/>
      <c r="AG584" s="90"/>
      <c r="AH584" s="90"/>
      <c r="AI584" s="90"/>
    </row>
    <row r="585">
      <c r="A585" s="32"/>
      <c r="D585" s="187"/>
      <c r="E585" s="90"/>
      <c r="F585" s="90"/>
      <c r="AE585" s="90"/>
      <c r="AF585" s="90"/>
      <c r="AG585" s="90"/>
      <c r="AH585" s="90"/>
      <c r="AI585" s="90"/>
    </row>
    <row r="586">
      <c r="A586" s="32"/>
      <c r="D586" s="187"/>
      <c r="E586" s="90"/>
      <c r="F586" s="90"/>
      <c r="AE586" s="90"/>
      <c r="AF586" s="90"/>
      <c r="AG586" s="90"/>
      <c r="AH586" s="90"/>
      <c r="AI586" s="90"/>
    </row>
    <row r="587">
      <c r="A587" s="32"/>
      <c r="D587" s="187"/>
      <c r="E587" s="90"/>
      <c r="F587" s="90"/>
      <c r="AE587" s="90"/>
      <c r="AF587" s="90"/>
      <c r="AG587" s="90"/>
      <c r="AH587" s="90"/>
      <c r="AI587" s="90"/>
    </row>
    <row r="588">
      <c r="A588" s="32"/>
      <c r="D588" s="187"/>
      <c r="E588" s="90"/>
      <c r="F588" s="90"/>
      <c r="AE588" s="90"/>
      <c r="AF588" s="90"/>
      <c r="AG588" s="90"/>
      <c r="AH588" s="90"/>
      <c r="AI588" s="90"/>
    </row>
    <row r="589">
      <c r="A589" s="32"/>
      <c r="D589" s="187"/>
      <c r="E589" s="90"/>
      <c r="F589" s="90"/>
      <c r="AE589" s="90"/>
      <c r="AF589" s="90"/>
      <c r="AG589" s="90"/>
      <c r="AH589" s="90"/>
      <c r="AI589" s="90"/>
    </row>
    <row r="590">
      <c r="A590" s="32"/>
      <c r="D590" s="187"/>
      <c r="E590" s="90"/>
      <c r="F590" s="90"/>
      <c r="AE590" s="90"/>
      <c r="AF590" s="90"/>
      <c r="AG590" s="90"/>
      <c r="AH590" s="90"/>
      <c r="AI590" s="90"/>
    </row>
    <row r="591">
      <c r="A591" s="32"/>
      <c r="D591" s="187"/>
      <c r="E591" s="90"/>
      <c r="F591" s="90"/>
      <c r="AE591" s="90"/>
      <c r="AF591" s="90"/>
      <c r="AG591" s="90"/>
      <c r="AH591" s="90"/>
      <c r="AI591" s="90"/>
    </row>
    <row r="592">
      <c r="A592" s="32"/>
      <c r="D592" s="187"/>
      <c r="E592" s="90"/>
      <c r="F592" s="90"/>
      <c r="AE592" s="90"/>
      <c r="AF592" s="90"/>
      <c r="AG592" s="90"/>
      <c r="AH592" s="90"/>
      <c r="AI592" s="90"/>
    </row>
    <row r="593">
      <c r="A593" s="32"/>
      <c r="D593" s="187"/>
      <c r="E593" s="90"/>
      <c r="F593" s="90"/>
      <c r="AE593" s="90"/>
      <c r="AF593" s="90"/>
      <c r="AG593" s="90"/>
      <c r="AH593" s="90"/>
      <c r="AI593" s="90"/>
    </row>
    <row r="594">
      <c r="A594" s="32"/>
      <c r="D594" s="187"/>
      <c r="E594" s="90"/>
      <c r="F594" s="90"/>
      <c r="AE594" s="90"/>
      <c r="AF594" s="90"/>
      <c r="AG594" s="90"/>
      <c r="AH594" s="90"/>
      <c r="AI594" s="90"/>
    </row>
    <row r="595">
      <c r="A595" s="32"/>
      <c r="D595" s="187"/>
      <c r="E595" s="90"/>
      <c r="F595" s="90"/>
      <c r="AE595" s="90"/>
      <c r="AF595" s="90"/>
      <c r="AG595" s="90"/>
      <c r="AH595" s="90"/>
      <c r="AI595" s="90"/>
    </row>
    <row r="596">
      <c r="A596" s="32"/>
      <c r="D596" s="187"/>
      <c r="E596" s="90"/>
      <c r="F596" s="90"/>
      <c r="AE596" s="90"/>
      <c r="AF596" s="90"/>
      <c r="AG596" s="90"/>
      <c r="AH596" s="90"/>
      <c r="AI596" s="90"/>
    </row>
    <row r="597">
      <c r="A597" s="32"/>
      <c r="D597" s="187"/>
      <c r="E597" s="90"/>
      <c r="F597" s="90"/>
      <c r="AE597" s="90"/>
      <c r="AF597" s="90"/>
      <c r="AG597" s="90"/>
      <c r="AH597" s="90"/>
      <c r="AI597" s="90"/>
    </row>
    <row r="598">
      <c r="A598" s="32"/>
      <c r="D598" s="187"/>
      <c r="E598" s="90"/>
      <c r="F598" s="90"/>
      <c r="AE598" s="90"/>
      <c r="AF598" s="90"/>
      <c r="AG598" s="90"/>
      <c r="AH598" s="90"/>
      <c r="AI598" s="90"/>
    </row>
    <row r="599">
      <c r="A599" s="32"/>
      <c r="D599" s="187"/>
      <c r="E599" s="90"/>
      <c r="F599" s="90"/>
      <c r="AE599" s="90"/>
      <c r="AF599" s="90"/>
      <c r="AG599" s="90"/>
      <c r="AH599" s="90"/>
      <c r="AI599" s="90"/>
    </row>
    <row r="600">
      <c r="A600" s="32"/>
      <c r="D600" s="187"/>
      <c r="E600" s="90"/>
      <c r="F600" s="90"/>
      <c r="AE600" s="90"/>
      <c r="AF600" s="90"/>
      <c r="AG600" s="90"/>
      <c r="AH600" s="90"/>
      <c r="AI600" s="90"/>
    </row>
    <row r="601">
      <c r="A601" s="32"/>
      <c r="D601" s="187"/>
      <c r="E601" s="90"/>
      <c r="F601" s="90"/>
      <c r="AE601" s="90"/>
      <c r="AF601" s="90"/>
      <c r="AG601" s="90"/>
      <c r="AH601" s="90"/>
      <c r="AI601" s="90"/>
    </row>
    <row r="602">
      <c r="A602" s="32"/>
      <c r="D602" s="187"/>
      <c r="E602" s="90"/>
      <c r="F602" s="90"/>
      <c r="AE602" s="90"/>
      <c r="AF602" s="90"/>
      <c r="AG602" s="90"/>
      <c r="AH602" s="90"/>
      <c r="AI602" s="90"/>
    </row>
    <row r="603">
      <c r="A603" s="32"/>
      <c r="D603" s="187"/>
      <c r="E603" s="90"/>
      <c r="F603" s="90"/>
      <c r="AE603" s="90"/>
      <c r="AF603" s="90"/>
      <c r="AG603" s="90"/>
      <c r="AH603" s="90"/>
      <c r="AI603" s="90"/>
    </row>
    <row r="604">
      <c r="A604" s="32"/>
      <c r="D604" s="187"/>
      <c r="E604" s="90"/>
      <c r="F604" s="90"/>
      <c r="AE604" s="90"/>
      <c r="AF604" s="90"/>
      <c r="AG604" s="90"/>
      <c r="AH604" s="90"/>
      <c r="AI604" s="90"/>
    </row>
    <row r="605">
      <c r="A605" s="32"/>
      <c r="D605" s="187"/>
      <c r="E605" s="90"/>
      <c r="F605" s="90"/>
      <c r="AE605" s="90"/>
      <c r="AF605" s="90"/>
      <c r="AG605" s="90"/>
      <c r="AH605" s="90"/>
      <c r="AI605" s="90"/>
    </row>
    <row r="606">
      <c r="A606" s="32"/>
      <c r="D606" s="187"/>
      <c r="E606" s="90"/>
      <c r="F606" s="90"/>
      <c r="AE606" s="90"/>
      <c r="AF606" s="90"/>
      <c r="AG606" s="90"/>
      <c r="AH606" s="90"/>
      <c r="AI606" s="90"/>
    </row>
    <row r="607">
      <c r="A607" s="32"/>
      <c r="D607" s="187"/>
      <c r="E607" s="90"/>
      <c r="F607" s="90"/>
      <c r="AE607" s="90"/>
      <c r="AF607" s="90"/>
      <c r="AG607" s="90"/>
      <c r="AH607" s="90"/>
      <c r="AI607" s="90"/>
    </row>
    <row r="608">
      <c r="A608" s="32"/>
      <c r="D608" s="187"/>
      <c r="E608" s="90"/>
      <c r="F608" s="90"/>
      <c r="AE608" s="90"/>
      <c r="AF608" s="90"/>
      <c r="AG608" s="90"/>
      <c r="AH608" s="90"/>
      <c r="AI608" s="90"/>
    </row>
    <row r="609">
      <c r="A609" s="32"/>
      <c r="D609" s="187"/>
      <c r="E609" s="90"/>
      <c r="F609" s="90"/>
      <c r="AE609" s="90"/>
      <c r="AF609" s="90"/>
      <c r="AG609" s="90"/>
      <c r="AH609" s="90"/>
      <c r="AI609" s="90"/>
    </row>
    <row r="610">
      <c r="A610" s="32"/>
      <c r="D610" s="187"/>
      <c r="E610" s="90"/>
      <c r="F610" s="90"/>
      <c r="AE610" s="90"/>
      <c r="AF610" s="90"/>
      <c r="AG610" s="90"/>
      <c r="AH610" s="90"/>
      <c r="AI610" s="90"/>
    </row>
    <row r="611">
      <c r="A611" s="32"/>
      <c r="D611" s="187"/>
      <c r="E611" s="90"/>
      <c r="F611" s="90"/>
      <c r="AE611" s="90"/>
      <c r="AF611" s="90"/>
      <c r="AG611" s="90"/>
      <c r="AH611" s="90"/>
      <c r="AI611" s="90"/>
    </row>
    <row r="612">
      <c r="A612" s="32"/>
      <c r="D612" s="187"/>
      <c r="E612" s="90"/>
      <c r="F612" s="90"/>
      <c r="AE612" s="90"/>
      <c r="AF612" s="90"/>
      <c r="AG612" s="90"/>
      <c r="AH612" s="90"/>
      <c r="AI612" s="90"/>
    </row>
    <row r="613">
      <c r="A613" s="32"/>
      <c r="D613" s="187"/>
      <c r="E613" s="90"/>
      <c r="F613" s="90"/>
      <c r="AE613" s="90"/>
      <c r="AF613" s="90"/>
      <c r="AG613" s="90"/>
      <c r="AH613" s="90"/>
      <c r="AI613" s="90"/>
    </row>
    <row r="614">
      <c r="A614" s="32"/>
      <c r="D614" s="187"/>
      <c r="E614" s="90"/>
      <c r="F614" s="90"/>
      <c r="AE614" s="90"/>
      <c r="AF614" s="90"/>
      <c r="AG614" s="90"/>
      <c r="AH614" s="90"/>
      <c r="AI614" s="90"/>
    </row>
    <row r="615">
      <c r="A615" s="32"/>
      <c r="D615" s="187"/>
      <c r="E615" s="90"/>
      <c r="F615" s="90"/>
      <c r="AE615" s="90"/>
      <c r="AF615" s="90"/>
      <c r="AG615" s="90"/>
      <c r="AH615" s="90"/>
      <c r="AI615" s="90"/>
    </row>
    <row r="616">
      <c r="A616" s="32"/>
      <c r="D616" s="187"/>
      <c r="E616" s="90"/>
      <c r="F616" s="90"/>
      <c r="AE616" s="90"/>
      <c r="AF616" s="90"/>
      <c r="AG616" s="90"/>
      <c r="AH616" s="90"/>
      <c r="AI616" s="90"/>
    </row>
    <row r="617">
      <c r="A617" s="32"/>
      <c r="D617" s="187"/>
      <c r="E617" s="90"/>
      <c r="F617" s="90"/>
      <c r="AE617" s="90"/>
      <c r="AF617" s="90"/>
      <c r="AG617" s="90"/>
      <c r="AH617" s="90"/>
      <c r="AI617" s="90"/>
    </row>
    <row r="618">
      <c r="A618" s="32"/>
      <c r="D618" s="187"/>
      <c r="E618" s="90"/>
      <c r="F618" s="90"/>
      <c r="AE618" s="90"/>
      <c r="AF618" s="90"/>
      <c r="AG618" s="90"/>
      <c r="AH618" s="90"/>
      <c r="AI618" s="90"/>
    </row>
    <row r="619">
      <c r="A619" s="32"/>
      <c r="D619" s="187"/>
      <c r="E619" s="90"/>
      <c r="F619" s="90"/>
      <c r="AE619" s="90"/>
      <c r="AF619" s="90"/>
      <c r="AG619" s="90"/>
      <c r="AH619" s="90"/>
      <c r="AI619" s="90"/>
    </row>
    <row r="620">
      <c r="A620" s="32"/>
      <c r="D620" s="187"/>
      <c r="E620" s="90"/>
      <c r="F620" s="90"/>
      <c r="AE620" s="90"/>
      <c r="AF620" s="90"/>
      <c r="AG620" s="90"/>
      <c r="AH620" s="90"/>
      <c r="AI620" s="90"/>
    </row>
    <row r="621">
      <c r="A621" s="32"/>
      <c r="D621" s="187"/>
      <c r="E621" s="90"/>
      <c r="F621" s="90"/>
      <c r="AE621" s="90"/>
      <c r="AF621" s="90"/>
      <c r="AG621" s="90"/>
      <c r="AH621" s="90"/>
      <c r="AI621" s="90"/>
    </row>
    <row r="622">
      <c r="A622" s="32"/>
      <c r="D622" s="187"/>
      <c r="E622" s="90"/>
      <c r="F622" s="90"/>
      <c r="AE622" s="90"/>
      <c r="AF622" s="90"/>
      <c r="AG622" s="90"/>
      <c r="AH622" s="90"/>
      <c r="AI622" s="90"/>
    </row>
    <row r="623">
      <c r="A623" s="32"/>
      <c r="D623" s="187"/>
      <c r="E623" s="90"/>
      <c r="F623" s="90"/>
      <c r="AE623" s="90"/>
      <c r="AF623" s="90"/>
      <c r="AG623" s="90"/>
      <c r="AH623" s="90"/>
      <c r="AI623" s="90"/>
    </row>
    <row r="624">
      <c r="A624" s="32"/>
      <c r="D624" s="187"/>
      <c r="E624" s="90"/>
      <c r="F624" s="90"/>
      <c r="AE624" s="90"/>
      <c r="AF624" s="90"/>
      <c r="AG624" s="90"/>
      <c r="AH624" s="90"/>
      <c r="AI624" s="90"/>
    </row>
    <row r="625">
      <c r="A625" s="32"/>
      <c r="D625" s="187"/>
      <c r="E625" s="90"/>
      <c r="F625" s="90"/>
      <c r="AE625" s="90"/>
      <c r="AF625" s="90"/>
      <c r="AG625" s="90"/>
      <c r="AH625" s="90"/>
      <c r="AI625" s="90"/>
    </row>
    <row r="626">
      <c r="A626" s="32"/>
      <c r="D626" s="187"/>
      <c r="E626" s="90"/>
      <c r="F626" s="90"/>
      <c r="AE626" s="90"/>
      <c r="AF626" s="90"/>
      <c r="AG626" s="90"/>
      <c r="AH626" s="90"/>
      <c r="AI626" s="90"/>
    </row>
    <row r="627">
      <c r="A627" s="32"/>
      <c r="D627" s="187"/>
      <c r="E627" s="90"/>
      <c r="F627" s="90"/>
      <c r="AE627" s="90"/>
      <c r="AF627" s="90"/>
      <c r="AG627" s="90"/>
      <c r="AH627" s="90"/>
      <c r="AI627" s="90"/>
    </row>
    <row r="628">
      <c r="A628" s="32"/>
      <c r="D628" s="187"/>
      <c r="E628" s="90"/>
      <c r="F628" s="90"/>
      <c r="AE628" s="90"/>
      <c r="AF628" s="90"/>
      <c r="AG628" s="90"/>
      <c r="AH628" s="90"/>
      <c r="AI628" s="90"/>
    </row>
    <row r="629">
      <c r="A629" s="32"/>
      <c r="D629" s="187"/>
      <c r="E629" s="90"/>
      <c r="F629" s="90"/>
      <c r="AE629" s="90"/>
      <c r="AF629" s="90"/>
      <c r="AG629" s="90"/>
      <c r="AH629" s="90"/>
      <c r="AI629" s="90"/>
    </row>
    <row r="630">
      <c r="A630" s="32"/>
      <c r="D630" s="187"/>
      <c r="E630" s="90"/>
      <c r="F630" s="90"/>
      <c r="AE630" s="90"/>
      <c r="AF630" s="90"/>
      <c r="AG630" s="90"/>
      <c r="AH630" s="90"/>
      <c r="AI630" s="90"/>
    </row>
    <row r="631">
      <c r="A631" s="32"/>
      <c r="D631" s="187"/>
      <c r="E631" s="90"/>
      <c r="F631" s="90"/>
      <c r="AE631" s="90"/>
      <c r="AF631" s="90"/>
      <c r="AG631" s="90"/>
      <c r="AH631" s="90"/>
      <c r="AI631" s="90"/>
    </row>
    <row r="632">
      <c r="A632" s="32"/>
      <c r="D632" s="187"/>
      <c r="E632" s="90"/>
      <c r="F632" s="90"/>
      <c r="AE632" s="90"/>
      <c r="AF632" s="90"/>
      <c r="AG632" s="90"/>
      <c r="AH632" s="90"/>
      <c r="AI632" s="90"/>
    </row>
    <row r="633">
      <c r="A633" s="32"/>
      <c r="D633" s="187"/>
      <c r="E633" s="90"/>
      <c r="F633" s="90"/>
      <c r="AE633" s="90"/>
      <c r="AF633" s="90"/>
      <c r="AG633" s="90"/>
      <c r="AH633" s="90"/>
      <c r="AI633" s="90"/>
    </row>
    <row r="634">
      <c r="A634" s="32"/>
      <c r="D634" s="187"/>
      <c r="E634" s="90"/>
      <c r="F634" s="90"/>
      <c r="AE634" s="90"/>
      <c r="AF634" s="90"/>
      <c r="AG634" s="90"/>
      <c r="AH634" s="90"/>
      <c r="AI634" s="90"/>
    </row>
    <row r="635">
      <c r="A635" s="32"/>
      <c r="D635" s="187"/>
      <c r="E635" s="90"/>
      <c r="F635" s="90"/>
      <c r="AE635" s="90"/>
      <c r="AF635" s="90"/>
      <c r="AG635" s="90"/>
      <c r="AH635" s="90"/>
      <c r="AI635" s="90"/>
    </row>
    <row r="636">
      <c r="A636" s="32"/>
      <c r="D636" s="187"/>
      <c r="E636" s="90"/>
      <c r="F636" s="90"/>
      <c r="AE636" s="90"/>
      <c r="AF636" s="90"/>
      <c r="AG636" s="90"/>
      <c r="AH636" s="90"/>
      <c r="AI636" s="90"/>
    </row>
    <row r="637">
      <c r="A637" s="32"/>
      <c r="D637" s="187"/>
      <c r="E637" s="90"/>
      <c r="F637" s="90"/>
      <c r="AE637" s="90"/>
      <c r="AF637" s="90"/>
      <c r="AG637" s="90"/>
      <c r="AH637" s="90"/>
      <c r="AI637" s="90"/>
    </row>
    <row r="638">
      <c r="A638" s="32"/>
      <c r="D638" s="187"/>
      <c r="E638" s="90"/>
      <c r="F638" s="90"/>
      <c r="AE638" s="90"/>
      <c r="AF638" s="90"/>
      <c r="AG638" s="90"/>
      <c r="AH638" s="90"/>
      <c r="AI638" s="90"/>
    </row>
    <row r="639">
      <c r="A639" s="32"/>
      <c r="D639" s="187"/>
      <c r="E639" s="90"/>
      <c r="F639" s="90"/>
      <c r="AE639" s="90"/>
      <c r="AF639" s="90"/>
      <c r="AG639" s="90"/>
      <c r="AH639" s="90"/>
      <c r="AI639" s="90"/>
    </row>
    <row r="640">
      <c r="A640" s="32"/>
      <c r="D640" s="187"/>
      <c r="E640" s="90"/>
      <c r="F640" s="90"/>
      <c r="AE640" s="90"/>
      <c r="AF640" s="90"/>
      <c r="AG640" s="90"/>
      <c r="AH640" s="90"/>
      <c r="AI640" s="90"/>
    </row>
    <row r="641">
      <c r="A641" s="32"/>
      <c r="D641" s="187"/>
      <c r="E641" s="90"/>
      <c r="F641" s="90"/>
      <c r="AE641" s="90"/>
      <c r="AF641" s="90"/>
      <c r="AG641" s="90"/>
      <c r="AH641" s="90"/>
      <c r="AI641" s="90"/>
    </row>
    <row r="642">
      <c r="A642" s="32"/>
      <c r="D642" s="187"/>
      <c r="E642" s="90"/>
      <c r="F642" s="90"/>
      <c r="AE642" s="90"/>
      <c r="AF642" s="90"/>
      <c r="AG642" s="90"/>
      <c r="AH642" s="90"/>
      <c r="AI642" s="90"/>
    </row>
    <row r="643">
      <c r="A643" s="32"/>
      <c r="D643" s="187"/>
      <c r="E643" s="90"/>
      <c r="F643" s="90"/>
      <c r="AE643" s="90"/>
      <c r="AF643" s="90"/>
      <c r="AG643" s="90"/>
      <c r="AH643" s="90"/>
      <c r="AI643" s="90"/>
    </row>
    <row r="644">
      <c r="A644" s="32"/>
      <c r="D644" s="187"/>
      <c r="E644" s="90"/>
      <c r="F644" s="90"/>
      <c r="AE644" s="90"/>
      <c r="AF644" s="90"/>
      <c r="AG644" s="90"/>
      <c r="AH644" s="90"/>
      <c r="AI644" s="90"/>
    </row>
    <row r="645">
      <c r="A645" s="32"/>
      <c r="D645" s="187"/>
      <c r="E645" s="90"/>
      <c r="F645" s="90"/>
      <c r="AE645" s="90"/>
      <c r="AF645" s="90"/>
      <c r="AG645" s="90"/>
      <c r="AH645" s="90"/>
      <c r="AI645" s="90"/>
    </row>
    <row r="646">
      <c r="A646" s="32"/>
      <c r="D646" s="187"/>
      <c r="E646" s="90"/>
      <c r="F646" s="90"/>
      <c r="AE646" s="90"/>
      <c r="AF646" s="90"/>
      <c r="AG646" s="90"/>
      <c r="AH646" s="90"/>
      <c r="AI646" s="90"/>
    </row>
    <row r="647">
      <c r="A647" s="32"/>
      <c r="D647" s="187"/>
      <c r="E647" s="90"/>
      <c r="F647" s="90"/>
      <c r="AE647" s="90"/>
      <c r="AF647" s="90"/>
      <c r="AG647" s="90"/>
      <c r="AH647" s="90"/>
      <c r="AI647" s="90"/>
    </row>
    <row r="648">
      <c r="A648" s="32"/>
      <c r="D648" s="187"/>
      <c r="E648" s="90"/>
      <c r="F648" s="90"/>
      <c r="AE648" s="90"/>
      <c r="AF648" s="90"/>
      <c r="AG648" s="90"/>
      <c r="AH648" s="90"/>
      <c r="AI648" s="90"/>
    </row>
    <row r="649">
      <c r="A649" s="32"/>
      <c r="D649" s="187"/>
      <c r="E649" s="90"/>
      <c r="F649" s="90"/>
      <c r="AE649" s="90"/>
      <c r="AF649" s="90"/>
      <c r="AG649" s="90"/>
      <c r="AH649" s="90"/>
      <c r="AI649" s="90"/>
    </row>
    <row r="650">
      <c r="A650" s="32"/>
      <c r="D650" s="187"/>
      <c r="E650" s="90"/>
      <c r="F650" s="90"/>
      <c r="AE650" s="90"/>
      <c r="AF650" s="90"/>
      <c r="AG650" s="90"/>
      <c r="AH650" s="90"/>
      <c r="AI650" s="90"/>
    </row>
    <row r="651">
      <c r="A651" s="32"/>
      <c r="D651" s="187"/>
      <c r="E651" s="90"/>
      <c r="F651" s="90"/>
      <c r="AE651" s="90"/>
      <c r="AF651" s="90"/>
      <c r="AG651" s="90"/>
      <c r="AH651" s="90"/>
      <c r="AI651" s="90"/>
    </row>
    <row r="652">
      <c r="A652" s="32"/>
      <c r="D652" s="187"/>
      <c r="E652" s="90"/>
      <c r="F652" s="90"/>
      <c r="AE652" s="90"/>
      <c r="AF652" s="90"/>
      <c r="AG652" s="90"/>
      <c r="AH652" s="90"/>
      <c r="AI652" s="90"/>
    </row>
    <row r="653">
      <c r="A653" s="32"/>
      <c r="D653" s="187"/>
      <c r="E653" s="90"/>
      <c r="F653" s="90"/>
      <c r="AE653" s="90"/>
      <c r="AF653" s="90"/>
      <c r="AG653" s="90"/>
      <c r="AH653" s="90"/>
      <c r="AI653" s="90"/>
    </row>
    <row r="654">
      <c r="A654" s="32"/>
      <c r="D654" s="187"/>
      <c r="E654" s="90"/>
      <c r="F654" s="90"/>
      <c r="AE654" s="90"/>
      <c r="AF654" s="90"/>
      <c r="AG654" s="90"/>
      <c r="AH654" s="90"/>
      <c r="AI654" s="90"/>
    </row>
    <row r="655">
      <c r="A655" s="32"/>
      <c r="D655" s="187"/>
      <c r="E655" s="90"/>
      <c r="F655" s="90"/>
      <c r="AE655" s="90"/>
      <c r="AF655" s="90"/>
      <c r="AG655" s="90"/>
      <c r="AH655" s="90"/>
      <c r="AI655" s="90"/>
    </row>
    <row r="656">
      <c r="A656" s="32"/>
      <c r="D656" s="187"/>
      <c r="E656" s="90"/>
      <c r="F656" s="90"/>
      <c r="AE656" s="90"/>
      <c r="AF656" s="90"/>
      <c r="AG656" s="90"/>
      <c r="AH656" s="90"/>
      <c r="AI656" s="90"/>
    </row>
    <row r="657">
      <c r="A657" s="32"/>
      <c r="D657" s="187"/>
      <c r="E657" s="90"/>
      <c r="F657" s="90"/>
      <c r="AE657" s="90"/>
      <c r="AF657" s="90"/>
      <c r="AG657" s="90"/>
      <c r="AH657" s="90"/>
      <c r="AI657" s="90"/>
    </row>
    <row r="658">
      <c r="A658" s="32"/>
      <c r="D658" s="187"/>
      <c r="E658" s="90"/>
      <c r="F658" s="90"/>
      <c r="AE658" s="90"/>
      <c r="AF658" s="90"/>
      <c r="AG658" s="90"/>
      <c r="AH658" s="90"/>
      <c r="AI658" s="90"/>
    </row>
    <row r="659">
      <c r="A659" s="32"/>
      <c r="D659" s="187"/>
      <c r="E659" s="90"/>
      <c r="F659" s="90"/>
      <c r="AE659" s="90"/>
      <c r="AF659" s="90"/>
      <c r="AG659" s="90"/>
      <c r="AH659" s="90"/>
      <c r="AI659" s="90"/>
    </row>
    <row r="660">
      <c r="A660" s="32"/>
      <c r="D660" s="187"/>
      <c r="E660" s="90"/>
      <c r="F660" s="90"/>
      <c r="AE660" s="90"/>
      <c r="AF660" s="90"/>
      <c r="AG660" s="90"/>
      <c r="AH660" s="90"/>
      <c r="AI660" s="90"/>
    </row>
    <row r="661">
      <c r="A661" s="32"/>
      <c r="D661" s="187"/>
      <c r="E661" s="90"/>
      <c r="F661" s="90"/>
      <c r="AE661" s="90"/>
      <c r="AF661" s="90"/>
      <c r="AG661" s="90"/>
      <c r="AH661" s="90"/>
      <c r="AI661" s="90"/>
    </row>
    <row r="662">
      <c r="A662" s="32"/>
      <c r="D662" s="187"/>
      <c r="E662" s="90"/>
      <c r="F662" s="90"/>
      <c r="AE662" s="90"/>
      <c r="AF662" s="90"/>
      <c r="AG662" s="90"/>
      <c r="AH662" s="90"/>
      <c r="AI662" s="90"/>
    </row>
    <row r="663">
      <c r="A663" s="32"/>
      <c r="D663" s="187"/>
      <c r="E663" s="90"/>
      <c r="F663" s="90"/>
      <c r="AE663" s="90"/>
      <c r="AF663" s="90"/>
      <c r="AG663" s="90"/>
      <c r="AH663" s="90"/>
      <c r="AI663" s="90"/>
    </row>
    <row r="664">
      <c r="A664" s="32"/>
      <c r="D664" s="187"/>
      <c r="E664" s="90"/>
      <c r="F664" s="90"/>
      <c r="AE664" s="90"/>
      <c r="AF664" s="90"/>
      <c r="AG664" s="90"/>
      <c r="AH664" s="90"/>
      <c r="AI664" s="90"/>
    </row>
    <row r="665">
      <c r="A665" s="32"/>
      <c r="D665" s="187"/>
      <c r="E665" s="90"/>
      <c r="F665" s="90"/>
      <c r="AE665" s="90"/>
      <c r="AF665" s="90"/>
      <c r="AG665" s="90"/>
      <c r="AH665" s="90"/>
      <c r="AI665" s="90"/>
    </row>
    <row r="666">
      <c r="A666" s="32"/>
      <c r="D666" s="187"/>
      <c r="E666" s="90"/>
      <c r="F666" s="90"/>
      <c r="AE666" s="90"/>
      <c r="AF666" s="90"/>
      <c r="AG666" s="90"/>
      <c r="AH666" s="90"/>
      <c r="AI666" s="90"/>
    </row>
    <row r="667">
      <c r="A667" s="32"/>
      <c r="D667" s="187"/>
      <c r="E667" s="90"/>
      <c r="F667" s="90"/>
      <c r="AE667" s="90"/>
      <c r="AF667" s="90"/>
      <c r="AG667" s="90"/>
      <c r="AH667" s="90"/>
      <c r="AI667" s="90"/>
    </row>
    <row r="668">
      <c r="A668" s="32"/>
      <c r="D668" s="187"/>
      <c r="E668" s="90"/>
      <c r="F668" s="90"/>
      <c r="AE668" s="90"/>
      <c r="AF668" s="90"/>
      <c r="AG668" s="90"/>
      <c r="AH668" s="90"/>
      <c r="AI668" s="90"/>
    </row>
    <row r="669">
      <c r="A669" s="32"/>
      <c r="D669" s="187"/>
      <c r="E669" s="90"/>
      <c r="F669" s="90"/>
      <c r="AE669" s="90"/>
      <c r="AF669" s="90"/>
      <c r="AG669" s="90"/>
      <c r="AH669" s="90"/>
      <c r="AI669" s="90"/>
    </row>
    <row r="670">
      <c r="A670" s="32"/>
      <c r="D670" s="187"/>
      <c r="E670" s="90"/>
      <c r="F670" s="90"/>
      <c r="AE670" s="90"/>
      <c r="AF670" s="90"/>
      <c r="AG670" s="90"/>
      <c r="AH670" s="90"/>
      <c r="AI670" s="90"/>
    </row>
    <row r="671">
      <c r="A671" s="32"/>
      <c r="D671" s="187"/>
      <c r="E671" s="90"/>
      <c r="F671" s="90"/>
      <c r="AE671" s="90"/>
      <c r="AF671" s="90"/>
      <c r="AG671" s="90"/>
      <c r="AH671" s="90"/>
      <c r="AI671" s="90"/>
    </row>
    <row r="672">
      <c r="A672" s="32"/>
      <c r="D672" s="187"/>
      <c r="E672" s="90"/>
      <c r="F672" s="90"/>
      <c r="AE672" s="90"/>
      <c r="AF672" s="90"/>
      <c r="AG672" s="90"/>
      <c r="AH672" s="90"/>
      <c r="AI672" s="90"/>
    </row>
    <row r="673">
      <c r="A673" s="32"/>
      <c r="D673" s="187"/>
      <c r="E673" s="90"/>
      <c r="F673" s="90"/>
      <c r="AE673" s="90"/>
      <c r="AF673" s="90"/>
      <c r="AG673" s="90"/>
      <c r="AH673" s="90"/>
      <c r="AI673" s="90"/>
    </row>
    <row r="674">
      <c r="A674" s="32"/>
      <c r="D674" s="187"/>
      <c r="E674" s="90"/>
      <c r="F674" s="90"/>
      <c r="AE674" s="90"/>
      <c r="AF674" s="90"/>
      <c r="AG674" s="90"/>
      <c r="AH674" s="90"/>
      <c r="AI674" s="90"/>
    </row>
    <row r="675">
      <c r="A675" s="32"/>
      <c r="D675" s="187"/>
      <c r="E675" s="90"/>
      <c r="F675" s="90"/>
      <c r="AE675" s="90"/>
      <c r="AF675" s="90"/>
      <c r="AG675" s="90"/>
      <c r="AH675" s="90"/>
      <c r="AI675" s="90"/>
    </row>
    <row r="676">
      <c r="A676" s="32"/>
      <c r="D676" s="187"/>
      <c r="E676" s="90"/>
      <c r="F676" s="90"/>
      <c r="AE676" s="90"/>
      <c r="AF676" s="90"/>
      <c r="AG676" s="90"/>
      <c r="AH676" s="90"/>
      <c r="AI676" s="90"/>
    </row>
    <row r="677">
      <c r="A677" s="32"/>
      <c r="D677" s="187"/>
      <c r="E677" s="90"/>
      <c r="F677" s="90"/>
      <c r="AE677" s="90"/>
      <c r="AF677" s="90"/>
      <c r="AG677" s="90"/>
      <c r="AH677" s="90"/>
      <c r="AI677" s="90"/>
    </row>
    <row r="678">
      <c r="A678" s="32"/>
      <c r="D678" s="187"/>
      <c r="E678" s="90"/>
      <c r="F678" s="90"/>
      <c r="AE678" s="90"/>
      <c r="AF678" s="90"/>
      <c r="AG678" s="90"/>
      <c r="AH678" s="90"/>
      <c r="AI678" s="90"/>
    </row>
    <row r="679">
      <c r="A679" s="32"/>
      <c r="D679" s="187"/>
      <c r="E679" s="90"/>
      <c r="F679" s="90"/>
      <c r="AE679" s="90"/>
      <c r="AF679" s="90"/>
      <c r="AG679" s="90"/>
      <c r="AH679" s="90"/>
      <c r="AI679" s="90"/>
    </row>
    <row r="680">
      <c r="A680" s="32"/>
      <c r="D680" s="187"/>
      <c r="E680" s="90"/>
      <c r="F680" s="90"/>
      <c r="AE680" s="90"/>
      <c r="AF680" s="90"/>
      <c r="AG680" s="90"/>
      <c r="AH680" s="90"/>
      <c r="AI680" s="90"/>
    </row>
    <row r="681">
      <c r="A681" s="32"/>
      <c r="D681" s="187"/>
      <c r="E681" s="90"/>
      <c r="F681" s="90"/>
      <c r="AE681" s="90"/>
      <c r="AF681" s="90"/>
      <c r="AG681" s="90"/>
      <c r="AH681" s="90"/>
      <c r="AI681" s="90"/>
    </row>
    <row r="682">
      <c r="A682" s="32"/>
      <c r="D682" s="187"/>
      <c r="E682" s="90"/>
      <c r="F682" s="90"/>
      <c r="AE682" s="90"/>
      <c r="AF682" s="90"/>
      <c r="AG682" s="90"/>
      <c r="AH682" s="90"/>
      <c r="AI682" s="90"/>
    </row>
    <row r="683">
      <c r="A683" s="32"/>
      <c r="D683" s="187"/>
      <c r="E683" s="90"/>
      <c r="F683" s="90"/>
      <c r="AE683" s="90"/>
      <c r="AF683" s="90"/>
      <c r="AG683" s="90"/>
      <c r="AH683" s="90"/>
      <c r="AI683" s="90"/>
    </row>
    <row r="684">
      <c r="A684" s="32"/>
      <c r="D684" s="187"/>
      <c r="E684" s="90"/>
      <c r="F684" s="90"/>
      <c r="AE684" s="90"/>
      <c r="AF684" s="90"/>
      <c r="AG684" s="90"/>
      <c r="AH684" s="90"/>
      <c r="AI684" s="90"/>
    </row>
    <row r="685">
      <c r="A685" s="32"/>
      <c r="D685" s="187"/>
      <c r="E685" s="90"/>
      <c r="F685" s="90"/>
      <c r="AE685" s="90"/>
      <c r="AF685" s="90"/>
      <c r="AG685" s="90"/>
      <c r="AH685" s="90"/>
      <c r="AI685" s="90"/>
    </row>
    <row r="686">
      <c r="A686" s="32"/>
      <c r="D686" s="187"/>
      <c r="E686" s="90"/>
      <c r="F686" s="90"/>
      <c r="AE686" s="90"/>
      <c r="AF686" s="90"/>
      <c r="AG686" s="90"/>
      <c r="AH686" s="90"/>
      <c r="AI686" s="90"/>
    </row>
    <row r="687">
      <c r="A687" s="32"/>
      <c r="D687" s="187"/>
      <c r="E687" s="90"/>
      <c r="F687" s="90"/>
      <c r="AE687" s="90"/>
      <c r="AF687" s="90"/>
      <c r="AG687" s="90"/>
      <c r="AH687" s="90"/>
      <c r="AI687" s="90"/>
    </row>
    <row r="688">
      <c r="A688" s="32"/>
      <c r="D688" s="187"/>
      <c r="E688" s="90"/>
      <c r="F688" s="90"/>
      <c r="AE688" s="90"/>
      <c r="AF688" s="90"/>
      <c r="AG688" s="90"/>
      <c r="AH688" s="90"/>
      <c r="AI688" s="90"/>
    </row>
    <row r="689">
      <c r="A689" s="32"/>
      <c r="D689" s="187"/>
      <c r="E689" s="90"/>
      <c r="F689" s="90"/>
      <c r="AE689" s="90"/>
      <c r="AF689" s="90"/>
      <c r="AG689" s="90"/>
      <c r="AH689" s="90"/>
      <c r="AI689" s="90"/>
    </row>
    <row r="690">
      <c r="A690" s="32"/>
      <c r="D690" s="187"/>
      <c r="E690" s="90"/>
      <c r="F690" s="90"/>
      <c r="AE690" s="90"/>
      <c r="AF690" s="90"/>
      <c r="AG690" s="90"/>
      <c r="AH690" s="90"/>
      <c r="AI690" s="90"/>
    </row>
    <row r="691">
      <c r="A691" s="32"/>
      <c r="D691" s="187"/>
      <c r="E691" s="90"/>
      <c r="F691" s="90"/>
      <c r="AE691" s="90"/>
      <c r="AF691" s="90"/>
      <c r="AG691" s="90"/>
      <c r="AH691" s="90"/>
      <c r="AI691" s="90"/>
    </row>
    <row r="692">
      <c r="A692" s="32"/>
      <c r="D692" s="187"/>
      <c r="E692" s="90"/>
      <c r="F692" s="90"/>
      <c r="AE692" s="90"/>
      <c r="AF692" s="90"/>
      <c r="AG692" s="90"/>
      <c r="AH692" s="90"/>
      <c r="AI692" s="90"/>
    </row>
    <row r="693">
      <c r="A693" s="32"/>
      <c r="D693" s="187"/>
      <c r="E693" s="90"/>
      <c r="F693" s="90"/>
      <c r="AE693" s="90"/>
      <c r="AF693" s="90"/>
      <c r="AG693" s="90"/>
      <c r="AH693" s="90"/>
      <c r="AI693" s="90"/>
    </row>
    <row r="694">
      <c r="A694" s="32"/>
      <c r="D694" s="187"/>
      <c r="E694" s="90"/>
      <c r="F694" s="90"/>
      <c r="AE694" s="90"/>
      <c r="AF694" s="90"/>
      <c r="AG694" s="90"/>
      <c r="AH694" s="90"/>
      <c r="AI694" s="90"/>
    </row>
    <row r="695">
      <c r="A695" s="32"/>
      <c r="D695" s="187"/>
      <c r="E695" s="90"/>
      <c r="F695" s="90"/>
      <c r="AE695" s="90"/>
      <c r="AF695" s="90"/>
      <c r="AG695" s="90"/>
      <c r="AH695" s="90"/>
      <c r="AI695" s="90"/>
    </row>
    <row r="696">
      <c r="A696" s="32"/>
      <c r="D696" s="187"/>
      <c r="E696" s="90"/>
      <c r="F696" s="90"/>
      <c r="AE696" s="90"/>
      <c r="AF696" s="90"/>
      <c r="AG696" s="90"/>
      <c r="AH696" s="90"/>
      <c r="AI696" s="90"/>
    </row>
    <row r="697">
      <c r="A697" s="32"/>
      <c r="D697" s="187"/>
      <c r="E697" s="90"/>
      <c r="F697" s="90"/>
      <c r="AE697" s="90"/>
      <c r="AF697" s="90"/>
      <c r="AG697" s="90"/>
      <c r="AH697" s="90"/>
      <c r="AI697" s="90"/>
    </row>
    <row r="698">
      <c r="A698" s="32"/>
      <c r="D698" s="187"/>
      <c r="E698" s="90"/>
      <c r="F698" s="90"/>
      <c r="AE698" s="90"/>
      <c r="AF698" s="90"/>
      <c r="AG698" s="90"/>
      <c r="AH698" s="90"/>
      <c r="AI698" s="90"/>
    </row>
    <row r="699">
      <c r="A699" s="32"/>
      <c r="D699" s="187"/>
      <c r="E699" s="90"/>
      <c r="F699" s="90"/>
      <c r="AE699" s="90"/>
      <c r="AF699" s="90"/>
      <c r="AG699" s="90"/>
      <c r="AH699" s="90"/>
      <c r="AI699" s="90"/>
    </row>
    <row r="700">
      <c r="A700" s="32"/>
      <c r="D700" s="187"/>
      <c r="E700" s="90"/>
      <c r="F700" s="90"/>
      <c r="AE700" s="90"/>
      <c r="AF700" s="90"/>
      <c r="AG700" s="90"/>
      <c r="AH700" s="90"/>
      <c r="AI700" s="90"/>
    </row>
    <row r="701">
      <c r="A701" s="32"/>
      <c r="D701" s="187"/>
      <c r="E701" s="90"/>
      <c r="F701" s="90"/>
      <c r="AE701" s="90"/>
      <c r="AF701" s="90"/>
      <c r="AG701" s="90"/>
      <c r="AH701" s="90"/>
      <c r="AI701" s="90"/>
    </row>
    <row r="702">
      <c r="A702" s="32"/>
      <c r="D702" s="187"/>
      <c r="E702" s="90"/>
      <c r="F702" s="90"/>
      <c r="AE702" s="90"/>
      <c r="AF702" s="90"/>
      <c r="AG702" s="90"/>
      <c r="AH702" s="90"/>
      <c r="AI702" s="90"/>
    </row>
    <row r="703">
      <c r="A703" s="32"/>
      <c r="D703" s="187"/>
      <c r="E703" s="90"/>
      <c r="F703" s="90"/>
      <c r="AE703" s="90"/>
      <c r="AF703" s="90"/>
      <c r="AG703" s="90"/>
      <c r="AH703" s="90"/>
      <c r="AI703" s="90"/>
    </row>
    <row r="704">
      <c r="A704" s="32"/>
      <c r="D704" s="187"/>
      <c r="E704" s="90"/>
      <c r="F704" s="90"/>
      <c r="AE704" s="90"/>
      <c r="AF704" s="90"/>
      <c r="AG704" s="90"/>
      <c r="AH704" s="90"/>
      <c r="AI704" s="90"/>
    </row>
    <row r="705">
      <c r="A705" s="32"/>
      <c r="D705" s="187"/>
      <c r="E705" s="90"/>
      <c r="F705" s="90"/>
      <c r="AE705" s="90"/>
      <c r="AF705" s="90"/>
      <c r="AG705" s="90"/>
      <c r="AH705" s="90"/>
      <c r="AI705" s="90"/>
    </row>
    <row r="706">
      <c r="A706" s="32"/>
      <c r="D706" s="187"/>
      <c r="E706" s="90"/>
      <c r="F706" s="90"/>
      <c r="AE706" s="90"/>
      <c r="AF706" s="90"/>
      <c r="AG706" s="90"/>
      <c r="AH706" s="90"/>
      <c r="AI706" s="90"/>
    </row>
    <row r="707">
      <c r="A707" s="32"/>
      <c r="D707" s="187"/>
      <c r="E707" s="90"/>
      <c r="F707" s="90"/>
      <c r="AE707" s="90"/>
      <c r="AF707" s="90"/>
      <c r="AG707" s="90"/>
      <c r="AH707" s="90"/>
      <c r="AI707" s="90"/>
    </row>
    <row r="708">
      <c r="A708" s="32"/>
      <c r="D708" s="187"/>
      <c r="E708" s="90"/>
      <c r="F708" s="90"/>
      <c r="AE708" s="90"/>
      <c r="AF708" s="90"/>
      <c r="AG708" s="90"/>
      <c r="AH708" s="90"/>
      <c r="AI708" s="90"/>
    </row>
    <row r="709">
      <c r="A709" s="32"/>
      <c r="D709" s="187"/>
      <c r="E709" s="90"/>
      <c r="F709" s="90"/>
      <c r="AE709" s="90"/>
      <c r="AF709" s="90"/>
      <c r="AG709" s="90"/>
      <c r="AH709" s="90"/>
      <c r="AI709" s="90"/>
    </row>
    <row r="710">
      <c r="A710" s="32"/>
      <c r="D710" s="187"/>
      <c r="E710" s="90"/>
      <c r="F710" s="90"/>
      <c r="AE710" s="90"/>
      <c r="AF710" s="90"/>
      <c r="AG710" s="90"/>
      <c r="AH710" s="90"/>
      <c r="AI710" s="90"/>
    </row>
    <row r="711">
      <c r="A711" s="32"/>
      <c r="D711" s="187"/>
      <c r="E711" s="90"/>
      <c r="F711" s="90"/>
      <c r="AE711" s="90"/>
      <c r="AF711" s="90"/>
      <c r="AG711" s="90"/>
      <c r="AH711" s="90"/>
      <c r="AI711" s="90"/>
    </row>
    <row r="712">
      <c r="A712" s="32"/>
      <c r="D712" s="187"/>
      <c r="E712" s="90"/>
      <c r="F712" s="90"/>
      <c r="AE712" s="90"/>
      <c r="AF712" s="90"/>
      <c r="AG712" s="90"/>
      <c r="AH712" s="90"/>
      <c r="AI712" s="90"/>
    </row>
    <row r="713">
      <c r="A713" s="32"/>
      <c r="D713" s="187"/>
      <c r="E713" s="90"/>
      <c r="F713" s="90"/>
      <c r="AE713" s="90"/>
      <c r="AF713" s="90"/>
      <c r="AG713" s="90"/>
      <c r="AH713" s="90"/>
      <c r="AI713" s="90"/>
    </row>
    <row r="714">
      <c r="A714" s="32"/>
      <c r="D714" s="187"/>
      <c r="E714" s="90"/>
      <c r="F714" s="90"/>
      <c r="AE714" s="90"/>
      <c r="AF714" s="90"/>
      <c r="AG714" s="90"/>
      <c r="AH714" s="90"/>
      <c r="AI714" s="90"/>
    </row>
    <row r="715">
      <c r="A715" s="32"/>
      <c r="D715" s="187"/>
      <c r="E715" s="90"/>
      <c r="F715" s="90"/>
      <c r="AE715" s="90"/>
      <c r="AF715" s="90"/>
      <c r="AG715" s="90"/>
      <c r="AH715" s="90"/>
      <c r="AI715" s="90"/>
    </row>
    <row r="716">
      <c r="A716" s="32"/>
      <c r="D716" s="187"/>
      <c r="E716" s="90"/>
      <c r="F716" s="90"/>
      <c r="AE716" s="90"/>
      <c r="AF716" s="90"/>
      <c r="AG716" s="90"/>
      <c r="AH716" s="90"/>
      <c r="AI716" s="90"/>
    </row>
    <row r="717">
      <c r="A717" s="32"/>
      <c r="D717" s="187"/>
      <c r="E717" s="90"/>
      <c r="F717" s="90"/>
      <c r="AE717" s="90"/>
      <c r="AF717" s="90"/>
      <c r="AG717" s="90"/>
      <c r="AH717" s="90"/>
      <c r="AI717" s="90"/>
    </row>
    <row r="718">
      <c r="A718" s="32"/>
      <c r="D718" s="187"/>
      <c r="E718" s="90"/>
      <c r="F718" s="90"/>
      <c r="AE718" s="90"/>
      <c r="AF718" s="90"/>
      <c r="AG718" s="90"/>
      <c r="AH718" s="90"/>
      <c r="AI718" s="90"/>
    </row>
    <row r="719">
      <c r="A719" s="32"/>
      <c r="D719" s="187"/>
      <c r="E719" s="90"/>
      <c r="F719" s="90"/>
      <c r="AE719" s="90"/>
      <c r="AF719" s="90"/>
      <c r="AG719" s="90"/>
      <c r="AH719" s="90"/>
      <c r="AI719" s="90"/>
    </row>
    <row r="720">
      <c r="A720" s="32"/>
      <c r="D720" s="187"/>
      <c r="E720" s="90"/>
      <c r="F720" s="90"/>
      <c r="AE720" s="90"/>
      <c r="AF720" s="90"/>
      <c r="AG720" s="90"/>
      <c r="AH720" s="90"/>
      <c r="AI720" s="90"/>
    </row>
    <row r="721">
      <c r="A721" s="32"/>
      <c r="D721" s="187"/>
      <c r="E721" s="90"/>
      <c r="F721" s="90"/>
      <c r="AE721" s="90"/>
      <c r="AF721" s="90"/>
      <c r="AG721" s="90"/>
      <c r="AH721" s="90"/>
      <c r="AI721" s="90"/>
    </row>
    <row r="722">
      <c r="A722" s="32"/>
      <c r="D722" s="187"/>
      <c r="E722" s="90"/>
      <c r="F722" s="90"/>
      <c r="AE722" s="90"/>
      <c r="AF722" s="90"/>
      <c r="AG722" s="90"/>
      <c r="AH722" s="90"/>
      <c r="AI722" s="90"/>
    </row>
    <row r="723">
      <c r="A723" s="32"/>
      <c r="D723" s="187"/>
      <c r="E723" s="90"/>
      <c r="F723" s="90"/>
      <c r="AE723" s="90"/>
      <c r="AF723" s="90"/>
      <c r="AG723" s="90"/>
      <c r="AH723" s="90"/>
      <c r="AI723" s="90"/>
    </row>
    <row r="724">
      <c r="A724" s="32"/>
      <c r="D724" s="187"/>
      <c r="E724" s="90"/>
      <c r="F724" s="90"/>
      <c r="AE724" s="90"/>
      <c r="AF724" s="90"/>
      <c r="AG724" s="90"/>
      <c r="AH724" s="90"/>
      <c r="AI724" s="90"/>
    </row>
    <row r="725">
      <c r="A725" s="32"/>
      <c r="D725" s="187"/>
      <c r="E725" s="90"/>
      <c r="F725" s="90"/>
      <c r="AE725" s="90"/>
      <c r="AF725" s="90"/>
      <c r="AG725" s="90"/>
      <c r="AH725" s="90"/>
      <c r="AI725" s="90"/>
    </row>
    <row r="726">
      <c r="A726" s="32"/>
      <c r="D726" s="187"/>
      <c r="E726" s="90"/>
      <c r="F726" s="90"/>
      <c r="AE726" s="90"/>
      <c r="AF726" s="90"/>
      <c r="AG726" s="90"/>
      <c r="AH726" s="90"/>
      <c r="AI726" s="90"/>
    </row>
    <row r="727">
      <c r="A727" s="32"/>
      <c r="D727" s="187"/>
      <c r="E727" s="90"/>
      <c r="F727" s="90"/>
      <c r="AE727" s="90"/>
      <c r="AF727" s="90"/>
      <c r="AG727" s="90"/>
      <c r="AH727" s="90"/>
      <c r="AI727" s="90"/>
    </row>
    <row r="728">
      <c r="A728" s="32"/>
      <c r="D728" s="187"/>
      <c r="E728" s="90"/>
      <c r="F728" s="90"/>
      <c r="AE728" s="90"/>
      <c r="AF728" s="90"/>
      <c r="AG728" s="90"/>
      <c r="AH728" s="90"/>
      <c r="AI728" s="90"/>
    </row>
    <row r="729">
      <c r="A729" s="32"/>
      <c r="D729" s="187"/>
      <c r="E729" s="90"/>
      <c r="F729" s="90"/>
      <c r="AE729" s="90"/>
      <c r="AF729" s="90"/>
      <c r="AG729" s="90"/>
      <c r="AH729" s="90"/>
      <c r="AI729" s="90"/>
    </row>
    <row r="730">
      <c r="A730" s="32"/>
      <c r="D730" s="187"/>
      <c r="E730" s="90"/>
      <c r="F730" s="90"/>
      <c r="AE730" s="90"/>
      <c r="AF730" s="90"/>
      <c r="AG730" s="90"/>
      <c r="AH730" s="90"/>
      <c r="AI730" s="90"/>
    </row>
    <row r="731">
      <c r="A731" s="32"/>
      <c r="D731" s="187"/>
      <c r="E731" s="90"/>
      <c r="F731" s="90"/>
      <c r="AE731" s="90"/>
      <c r="AF731" s="90"/>
      <c r="AG731" s="90"/>
      <c r="AH731" s="90"/>
      <c r="AI731" s="90"/>
    </row>
    <row r="732">
      <c r="A732" s="32"/>
      <c r="D732" s="187"/>
      <c r="E732" s="90"/>
      <c r="F732" s="90"/>
      <c r="AE732" s="90"/>
      <c r="AF732" s="90"/>
      <c r="AG732" s="90"/>
      <c r="AH732" s="90"/>
      <c r="AI732" s="90"/>
    </row>
    <row r="733">
      <c r="A733" s="32"/>
      <c r="D733" s="187"/>
      <c r="E733" s="90"/>
      <c r="F733" s="90"/>
      <c r="AE733" s="90"/>
      <c r="AF733" s="90"/>
      <c r="AG733" s="90"/>
      <c r="AH733" s="90"/>
      <c r="AI733" s="90"/>
    </row>
    <row r="734">
      <c r="A734" s="32"/>
      <c r="D734" s="187"/>
      <c r="E734" s="90"/>
      <c r="F734" s="90"/>
      <c r="AE734" s="90"/>
      <c r="AF734" s="90"/>
      <c r="AG734" s="90"/>
      <c r="AH734" s="90"/>
      <c r="AI734" s="90"/>
    </row>
    <row r="735">
      <c r="A735" s="32"/>
      <c r="D735" s="187"/>
      <c r="E735" s="90"/>
      <c r="F735" s="90"/>
      <c r="AE735" s="90"/>
      <c r="AF735" s="90"/>
      <c r="AG735" s="90"/>
      <c r="AH735" s="90"/>
      <c r="AI735" s="90"/>
    </row>
    <row r="736">
      <c r="A736" s="32"/>
      <c r="D736" s="187"/>
      <c r="E736" s="90"/>
      <c r="F736" s="90"/>
      <c r="AE736" s="90"/>
      <c r="AF736" s="90"/>
      <c r="AG736" s="90"/>
      <c r="AH736" s="90"/>
      <c r="AI736" s="90"/>
    </row>
    <row r="737">
      <c r="A737" s="32"/>
      <c r="D737" s="187"/>
      <c r="E737" s="90"/>
      <c r="F737" s="90"/>
      <c r="AE737" s="90"/>
      <c r="AF737" s="90"/>
      <c r="AG737" s="90"/>
      <c r="AH737" s="90"/>
      <c r="AI737" s="90"/>
    </row>
    <row r="738">
      <c r="A738" s="32"/>
      <c r="D738" s="187"/>
      <c r="E738" s="90"/>
      <c r="F738" s="90"/>
      <c r="AE738" s="90"/>
      <c r="AF738" s="90"/>
      <c r="AG738" s="90"/>
      <c r="AH738" s="90"/>
      <c r="AI738" s="90"/>
    </row>
    <row r="739">
      <c r="A739" s="32"/>
      <c r="D739" s="187"/>
      <c r="E739" s="90"/>
      <c r="F739" s="90"/>
      <c r="AE739" s="90"/>
      <c r="AF739" s="90"/>
      <c r="AG739" s="90"/>
      <c r="AH739" s="90"/>
      <c r="AI739" s="90"/>
    </row>
    <row r="740">
      <c r="A740" s="32"/>
      <c r="D740" s="187"/>
      <c r="E740" s="90"/>
      <c r="F740" s="90"/>
      <c r="AE740" s="90"/>
      <c r="AF740" s="90"/>
      <c r="AG740" s="90"/>
      <c r="AH740" s="90"/>
      <c r="AI740" s="90"/>
    </row>
    <row r="741">
      <c r="A741" s="32"/>
      <c r="D741" s="187"/>
      <c r="E741" s="90"/>
      <c r="F741" s="90"/>
      <c r="AE741" s="90"/>
      <c r="AF741" s="90"/>
      <c r="AG741" s="90"/>
      <c r="AH741" s="90"/>
      <c r="AI741" s="90"/>
    </row>
    <row r="742">
      <c r="A742" s="32"/>
      <c r="D742" s="187"/>
      <c r="E742" s="90"/>
      <c r="F742" s="90"/>
      <c r="AE742" s="90"/>
      <c r="AF742" s="90"/>
      <c r="AG742" s="90"/>
      <c r="AH742" s="90"/>
      <c r="AI742" s="90"/>
    </row>
    <row r="743">
      <c r="A743" s="32"/>
      <c r="D743" s="187"/>
      <c r="E743" s="90"/>
      <c r="F743" s="90"/>
      <c r="AE743" s="90"/>
      <c r="AF743" s="90"/>
      <c r="AG743" s="90"/>
      <c r="AH743" s="90"/>
      <c r="AI743" s="90"/>
    </row>
    <row r="744">
      <c r="A744" s="32"/>
      <c r="D744" s="187"/>
      <c r="E744" s="90"/>
      <c r="F744" s="90"/>
      <c r="AE744" s="90"/>
      <c r="AF744" s="90"/>
      <c r="AG744" s="90"/>
      <c r="AH744" s="90"/>
      <c r="AI744" s="90"/>
    </row>
    <row r="745">
      <c r="A745" s="32"/>
      <c r="D745" s="187"/>
      <c r="E745" s="90"/>
      <c r="F745" s="90"/>
      <c r="AE745" s="90"/>
      <c r="AF745" s="90"/>
      <c r="AG745" s="90"/>
      <c r="AH745" s="90"/>
      <c r="AI745" s="90"/>
    </row>
    <row r="746">
      <c r="A746" s="32"/>
      <c r="D746" s="187"/>
      <c r="E746" s="90"/>
      <c r="F746" s="90"/>
      <c r="AE746" s="90"/>
      <c r="AF746" s="90"/>
      <c r="AG746" s="90"/>
      <c r="AH746" s="90"/>
      <c r="AI746" s="90"/>
    </row>
    <row r="747">
      <c r="A747" s="32"/>
      <c r="D747" s="187"/>
      <c r="E747" s="90"/>
      <c r="F747" s="90"/>
      <c r="AE747" s="90"/>
      <c r="AF747" s="90"/>
      <c r="AG747" s="90"/>
      <c r="AH747" s="90"/>
      <c r="AI747" s="90"/>
    </row>
    <row r="748">
      <c r="A748" s="32"/>
      <c r="D748" s="187"/>
      <c r="E748" s="90"/>
      <c r="F748" s="90"/>
      <c r="AE748" s="90"/>
      <c r="AF748" s="90"/>
      <c r="AG748" s="90"/>
      <c r="AH748" s="90"/>
      <c r="AI748" s="90"/>
    </row>
    <row r="749">
      <c r="A749" s="32"/>
      <c r="D749" s="187"/>
      <c r="E749" s="90"/>
      <c r="F749" s="90"/>
      <c r="AE749" s="90"/>
      <c r="AF749" s="90"/>
      <c r="AG749" s="90"/>
      <c r="AH749" s="90"/>
      <c r="AI749" s="90"/>
    </row>
    <row r="750">
      <c r="A750" s="32"/>
      <c r="D750" s="187"/>
      <c r="E750" s="90"/>
      <c r="F750" s="90"/>
      <c r="AE750" s="90"/>
      <c r="AF750" s="90"/>
      <c r="AG750" s="90"/>
      <c r="AH750" s="90"/>
      <c r="AI750" s="90"/>
    </row>
    <row r="751">
      <c r="A751" s="32"/>
      <c r="D751" s="187"/>
      <c r="E751" s="90"/>
      <c r="F751" s="90"/>
      <c r="AE751" s="90"/>
      <c r="AF751" s="90"/>
      <c r="AG751" s="90"/>
      <c r="AH751" s="90"/>
      <c r="AI751" s="90"/>
    </row>
    <row r="752">
      <c r="A752" s="32"/>
      <c r="D752" s="187"/>
      <c r="E752" s="90"/>
      <c r="F752" s="90"/>
      <c r="AE752" s="90"/>
      <c r="AF752" s="90"/>
      <c r="AG752" s="90"/>
      <c r="AH752" s="90"/>
      <c r="AI752" s="90"/>
    </row>
    <row r="753">
      <c r="A753" s="32"/>
      <c r="D753" s="187"/>
      <c r="E753" s="90"/>
      <c r="F753" s="90"/>
      <c r="AE753" s="90"/>
      <c r="AF753" s="90"/>
      <c r="AG753" s="90"/>
      <c r="AH753" s="90"/>
      <c r="AI753" s="90"/>
    </row>
    <row r="754">
      <c r="A754" s="32"/>
      <c r="D754" s="187"/>
      <c r="E754" s="90"/>
      <c r="F754" s="90"/>
      <c r="AE754" s="90"/>
      <c r="AF754" s="90"/>
      <c r="AG754" s="90"/>
      <c r="AH754" s="90"/>
      <c r="AI754" s="90"/>
    </row>
    <row r="755">
      <c r="A755" s="32"/>
      <c r="D755" s="187"/>
      <c r="E755" s="90"/>
      <c r="F755" s="90"/>
      <c r="AE755" s="90"/>
      <c r="AF755" s="90"/>
      <c r="AG755" s="90"/>
      <c r="AH755" s="90"/>
      <c r="AI755" s="90"/>
    </row>
    <row r="756">
      <c r="A756" s="32"/>
      <c r="D756" s="187"/>
      <c r="E756" s="90"/>
      <c r="F756" s="90"/>
      <c r="AE756" s="90"/>
      <c r="AF756" s="90"/>
      <c r="AG756" s="90"/>
      <c r="AH756" s="90"/>
      <c r="AI756" s="90"/>
    </row>
    <row r="757">
      <c r="A757" s="32"/>
      <c r="D757" s="187"/>
      <c r="E757" s="90"/>
      <c r="F757" s="90"/>
      <c r="AE757" s="90"/>
      <c r="AF757" s="90"/>
      <c r="AG757" s="90"/>
      <c r="AH757" s="90"/>
      <c r="AI757" s="90"/>
    </row>
    <row r="758">
      <c r="A758" s="32"/>
      <c r="D758" s="187"/>
      <c r="E758" s="90"/>
      <c r="F758" s="90"/>
      <c r="AE758" s="90"/>
      <c r="AF758" s="90"/>
      <c r="AG758" s="90"/>
      <c r="AH758" s="90"/>
      <c r="AI758" s="90"/>
    </row>
    <row r="759">
      <c r="A759" s="32"/>
      <c r="D759" s="187"/>
      <c r="E759" s="90"/>
      <c r="F759" s="90"/>
      <c r="AE759" s="90"/>
      <c r="AF759" s="90"/>
      <c r="AG759" s="90"/>
      <c r="AH759" s="90"/>
      <c r="AI759" s="90"/>
    </row>
    <row r="760">
      <c r="A760" s="32"/>
      <c r="D760" s="187"/>
      <c r="E760" s="90"/>
      <c r="F760" s="90"/>
      <c r="AE760" s="90"/>
      <c r="AF760" s="90"/>
      <c r="AG760" s="90"/>
      <c r="AH760" s="90"/>
      <c r="AI760" s="90"/>
    </row>
    <row r="761">
      <c r="A761" s="32"/>
      <c r="D761" s="187"/>
      <c r="E761" s="90"/>
      <c r="F761" s="90"/>
      <c r="AE761" s="90"/>
      <c r="AF761" s="90"/>
      <c r="AG761" s="90"/>
      <c r="AH761" s="90"/>
      <c r="AI761" s="90"/>
    </row>
    <row r="762">
      <c r="A762" s="32"/>
      <c r="D762" s="187"/>
      <c r="E762" s="90"/>
      <c r="F762" s="90"/>
      <c r="AE762" s="90"/>
      <c r="AF762" s="90"/>
      <c r="AG762" s="90"/>
      <c r="AH762" s="90"/>
      <c r="AI762" s="90"/>
    </row>
    <row r="763">
      <c r="A763" s="32"/>
      <c r="D763" s="187"/>
      <c r="E763" s="90"/>
      <c r="F763" s="90"/>
      <c r="AE763" s="90"/>
      <c r="AF763" s="90"/>
      <c r="AG763" s="90"/>
      <c r="AH763" s="90"/>
      <c r="AI763" s="90"/>
    </row>
    <row r="764">
      <c r="A764" s="32"/>
      <c r="D764" s="187"/>
      <c r="E764" s="90"/>
      <c r="F764" s="90"/>
      <c r="AE764" s="90"/>
      <c r="AF764" s="90"/>
      <c r="AG764" s="90"/>
      <c r="AH764" s="90"/>
      <c r="AI764" s="90"/>
    </row>
    <row r="765">
      <c r="A765" s="32"/>
      <c r="D765" s="187"/>
      <c r="E765" s="90"/>
      <c r="F765" s="90"/>
      <c r="AE765" s="90"/>
      <c r="AF765" s="90"/>
      <c r="AG765" s="90"/>
      <c r="AH765" s="90"/>
      <c r="AI765" s="90"/>
    </row>
    <row r="766">
      <c r="A766" s="32"/>
      <c r="D766" s="187"/>
      <c r="E766" s="90"/>
      <c r="F766" s="90"/>
      <c r="AE766" s="90"/>
      <c r="AF766" s="90"/>
      <c r="AG766" s="90"/>
      <c r="AH766" s="90"/>
      <c r="AI766" s="90"/>
    </row>
    <row r="767">
      <c r="A767" s="32"/>
      <c r="D767" s="187"/>
      <c r="E767" s="90"/>
      <c r="F767" s="90"/>
      <c r="AE767" s="90"/>
      <c r="AF767" s="90"/>
      <c r="AG767" s="90"/>
      <c r="AH767" s="90"/>
      <c r="AI767" s="90"/>
    </row>
    <row r="768">
      <c r="A768" s="32"/>
      <c r="D768" s="187"/>
      <c r="E768" s="90"/>
      <c r="F768" s="90"/>
      <c r="AE768" s="90"/>
      <c r="AF768" s="90"/>
      <c r="AG768" s="90"/>
      <c r="AH768" s="90"/>
      <c r="AI768" s="90"/>
    </row>
    <row r="769">
      <c r="A769" s="32"/>
      <c r="D769" s="187"/>
      <c r="E769" s="90"/>
      <c r="F769" s="90"/>
      <c r="AE769" s="90"/>
      <c r="AF769" s="90"/>
      <c r="AG769" s="90"/>
      <c r="AH769" s="90"/>
      <c r="AI769" s="90"/>
    </row>
    <row r="770">
      <c r="A770" s="32"/>
      <c r="D770" s="187"/>
      <c r="E770" s="90"/>
      <c r="F770" s="90"/>
      <c r="AE770" s="90"/>
      <c r="AF770" s="90"/>
      <c r="AG770" s="90"/>
      <c r="AH770" s="90"/>
      <c r="AI770" s="90"/>
    </row>
    <row r="771">
      <c r="A771" s="32"/>
      <c r="D771" s="187"/>
      <c r="E771" s="90"/>
      <c r="F771" s="90"/>
      <c r="AE771" s="90"/>
      <c r="AF771" s="90"/>
      <c r="AG771" s="90"/>
      <c r="AH771" s="90"/>
      <c r="AI771" s="90"/>
    </row>
    <row r="772">
      <c r="A772" s="32"/>
      <c r="D772" s="187"/>
      <c r="E772" s="90"/>
      <c r="F772" s="90"/>
      <c r="AE772" s="90"/>
      <c r="AF772" s="90"/>
      <c r="AG772" s="90"/>
      <c r="AH772" s="90"/>
      <c r="AI772" s="90"/>
    </row>
    <row r="773">
      <c r="A773" s="32"/>
      <c r="D773" s="187"/>
      <c r="E773" s="90"/>
      <c r="F773" s="90"/>
      <c r="AE773" s="90"/>
      <c r="AF773" s="90"/>
      <c r="AG773" s="90"/>
      <c r="AH773" s="90"/>
      <c r="AI773" s="90"/>
    </row>
    <row r="774">
      <c r="A774" s="32"/>
      <c r="D774" s="187"/>
      <c r="E774" s="90"/>
      <c r="F774" s="90"/>
      <c r="AE774" s="90"/>
      <c r="AF774" s="90"/>
      <c r="AG774" s="90"/>
      <c r="AH774" s="90"/>
      <c r="AI774" s="90"/>
    </row>
    <row r="775">
      <c r="A775" s="32"/>
      <c r="D775" s="187"/>
      <c r="E775" s="90"/>
      <c r="F775" s="90"/>
      <c r="AE775" s="90"/>
      <c r="AF775" s="90"/>
      <c r="AG775" s="90"/>
      <c r="AH775" s="90"/>
      <c r="AI775" s="90"/>
    </row>
    <row r="776">
      <c r="A776" s="32"/>
      <c r="D776" s="187"/>
      <c r="E776" s="90"/>
      <c r="F776" s="90"/>
      <c r="AE776" s="90"/>
      <c r="AF776" s="90"/>
      <c r="AG776" s="90"/>
      <c r="AH776" s="90"/>
      <c r="AI776" s="90"/>
    </row>
    <row r="777">
      <c r="A777" s="32"/>
      <c r="D777" s="187"/>
      <c r="E777" s="90"/>
      <c r="F777" s="90"/>
      <c r="AE777" s="90"/>
      <c r="AF777" s="90"/>
      <c r="AG777" s="90"/>
      <c r="AH777" s="90"/>
      <c r="AI777" s="90"/>
    </row>
    <row r="778">
      <c r="A778" s="32"/>
      <c r="D778" s="187"/>
      <c r="E778" s="90"/>
      <c r="F778" s="90"/>
      <c r="AE778" s="90"/>
      <c r="AF778" s="90"/>
      <c r="AG778" s="90"/>
      <c r="AH778" s="90"/>
      <c r="AI778" s="90"/>
    </row>
    <row r="779">
      <c r="A779" s="32"/>
      <c r="D779" s="187"/>
      <c r="E779" s="90"/>
      <c r="F779" s="90"/>
      <c r="AE779" s="90"/>
      <c r="AF779" s="90"/>
      <c r="AG779" s="90"/>
      <c r="AH779" s="90"/>
      <c r="AI779" s="90"/>
    </row>
    <row r="780">
      <c r="A780" s="32"/>
      <c r="D780" s="187"/>
      <c r="E780" s="90"/>
      <c r="F780" s="90"/>
      <c r="AE780" s="90"/>
      <c r="AF780" s="90"/>
      <c r="AG780" s="90"/>
      <c r="AH780" s="90"/>
      <c r="AI780" s="90"/>
    </row>
    <row r="781">
      <c r="A781" s="32"/>
      <c r="D781" s="187"/>
      <c r="E781" s="90"/>
      <c r="F781" s="90"/>
      <c r="AE781" s="90"/>
      <c r="AF781" s="90"/>
      <c r="AG781" s="90"/>
      <c r="AH781" s="90"/>
      <c r="AI781" s="90"/>
    </row>
    <row r="782">
      <c r="A782" s="32"/>
      <c r="D782" s="187"/>
      <c r="E782" s="90"/>
      <c r="F782" s="90"/>
      <c r="AE782" s="90"/>
      <c r="AF782" s="90"/>
      <c r="AG782" s="90"/>
      <c r="AH782" s="90"/>
      <c r="AI782" s="90"/>
    </row>
    <row r="783">
      <c r="A783" s="32"/>
      <c r="D783" s="187"/>
      <c r="E783" s="90"/>
      <c r="F783" s="90"/>
      <c r="AE783" s="90"/>
      <c r="AF783" s="90"/>
      <c r="AG783" s="90"/>
      <c r="AH783" s="90"/>
      <c r="AI783" s="90"/>
    </row>
    <row r="784">
      <c r="A784" s="32"/>
      <c r="D784" s="187"/>
      <c r="E784" s="90"/>
      <c r="F784" s="90"/>
      <c r="AE784" s="90"/>
      <c r="AF784" s="90"/>
      <c r="AG784" s="90"/>
      <c r="AH784" s="90"/>
      <c r="AI784" s="90"/>
    </row>
    <row r="785">
      <c r="A785" s="32"/>
      <c r="D785" s="187"/>
      <c r="E785" s="90"/>
      <c r="F785" s="90"/>
      <c r="AE785" s="90"/>
      <c r="AF785" s="90"/>
      <c r="AG785" s="90"/>
      <c r="AH785" s="90"/>
      <c r="AI785" s="90"/>
    </row>
    <row r="786">
      <c r="A786" s="32"/>
      <c r="D786" s="187"/>
      <c r="E786" s="90"/>
      <c r="F786" s="90"/>
      <c r="AE786" s="90"/>
      <c r="AF786" s="90"/>
      <c r="AG786" s="90"/>
      <c r="AH786" s="90"/>
      <c r="AI786" s="90"/>
    </row>
    <row r="787">
      <c r="A787" s="32"/>
      <c r="D787" s="187"/>
      <c r="E787" s="90"/>
      <c r="F787" s="90"/>
      <c r="AE787" s="90"/>
      <c r="AF787" s="90"/>
      <c r="AG787" s="90"/>
      <c r="AH787" s="90"/>
      <c r="AI787" s="90"/>
    </row>
    <row r="788">
      <c r="A788" s="32"/>
      <c r="D788" s="187"/>
      <c r="E788" s="90"/>
      <c r="F788" s="90"/>
      <c r="AE788" s="90"/>
      <c r="AF788" s="90"/>
      <c r="AG788" s="90"/>
      <c r="AH788" s="90"/>
      <c r="AI788" s="90"/>
    </row>
    <row r="789">
      <c r="A789" s="32"/>
      <c r="D789" s="187"/>
      <c r="E789" s="90"/>
      <c r="F789" s="90"/>
      <c r="AE789" s="90"/>
      <c r="AF789" s="90"/>
      <c r="AG789" s="90"/>
      <c r="AH789" s="90"/>
      <c r="AI789" s="90"/>
    </row>
    <row r="790">
      <c r="A790" s="32"/>
      <c r="D790" s="187"/>
      <c r="E790" s="90"/>
      <c r="F790" s="90"/>
      <c r="AE790" s="90"/>
      <c r="AF790" s="90"/>
      <c r="AG790" s="90"/>
      <c r="AH790" s="90"/>
      <c r="AI790" s="90"/>
    </row>
    <row r="791">
      <c r="A791" s="32"/>
      <c r="D791" s="187"/>
      <c r="E791" s="90"/>
      <c r="F791" s="90"/>
      <c r="AE791" s="90"/>
      <c r="AF791" s="90"/>
      <c r="AG791" s="90"/>
      <c r="AH791" s="90"/>
      <c r="AI791" s="90"/>
    </row>
    <row r="792">
      <c r="A792" s="32"/>
      <c r="D792" s="187"/>
      <c r="E792" s="90"/>
      <c r="F792" s="90"/>
      <c r="AE792" s="90"/>
      <c r="AF792" s="90"/>
      <c r="AG792" s="90"/>
      <c r="AH792" s="90"/>
      <c r="AI792" s="90"/>
    </row>
    <row r="793">
      <c r="A793" s="32"/>
      <c r="D793" s="187"/>
      <c r="E793" s="90"/>
      <c r="F793" s="90"/>
      <c r="AE793" s="90"/>
      <c r="AF793" s="90"/>
      <c r="AG793" s="90"/>
      <c r="AH793" s="90"/>
      <c r="AI793" s="90"/>
    </row>
    <row r="794">
      <c r="A794" s="32"/>
      <c r="D794" s="187"/>
      <c r="E794" s="90"/>
      <c r="F794" s="90"/>
      <c r="AE794" s="90"/>
      <c r="AF794" s="90"/>
      <c r="AG794" s="90"/>
      <c r="AH794" s="90"/>
      <c r="AI794" s="90"/>
    </row>
    <row r="795">
      <c r="A795" s="32"/>
      <c r="D795" s="187"/>
      <c r="E795" s="90"/>
      <c r="F795" s="90"/>
      <c r="AE795" s="90"/>
      <c r="AF795" s="90"/>
      <c r="AG795" s="90"/>
      <c r="AH795" s="90"/>
      <c r="AI795" s="90"/>
    </row>
    <row r="796">
      <c r="A796" s="32"/>
      <c r="D796" s="187"/>
      <c r="E796" s="90"/>
      <c r="F796" s="90"/>
      <c r="AE796" s="90"/>
      <c r="AF796" s="90"/>
      <c r="AG796" s="90"/>
      <c r="AH796" s="90"/>
      <c r="AI796" s="90"/>
    </row>
    <row r="797">
      <c r="A797" s="32"/>
      <c r="D797" s="187"/>
      <c r="E797" s="90"/>
      <c r="F797" s="90"/>
      <c r="AE797" s="90"/>
      <c r="AF797" s="90"/>
      <c r="AG797" s="90"/>
      <c r="AH797" s="90"/>
      <c r="AI797" s="90"/>
    </row>
    <row r="798">
      <c r="A798" s="32"/>
      <c r="D798" s="187"/>
      <c r="E798" s="90"/>
      <c r="F798" s="90"/>
      <c r="AE798" s="90"/>
      <c r="AF798" s="90"/>
      <c r="AG798" s="90"/>
      <c r="AH798" s="90"/>
      <c r="AI798" s="90"/>
    </row>
    <row r="799">
      <c r="A799" s="32"/>
      <c r="D799" s="187"/>
      <c r="E799" s="90"/>
      <c r="F799" s="90"/>
      <c r="AE799" s="90"/>
      <c r="AF799" s="90"/>
      <c r="AG799" s="90"/>
      <c r="AH799" s="90"/>
      <c r="AI799" s="90"/>
    </row>
    <row r="800">
      <c r="A800" s="32"/>
      <c r="D800" s="187"/>
      <c r="E800" s="90"/>
      <c r="F800" s="90"/>
      <c r="AE800" s="90"/>
      <c r="AF800" s="90"/>
      <c r="AG800" s="90"/>
      <c r="AH800" s="90"/>
      <c r="AI800" s="90"/>
    </row>
    <row r="801">
      <c r="A801" s="32"/>
      <c r="D801" s="187"/>
      <c r="E801" s="90"/>
      <c r="F801" s="90"/>
      <c r="AE801" s="90"/>
      <c r="AF801" s="90"/>
      <c r="AG801" s="90"/>
      <c r="AH801" s="90"/>
      <c r="AI801" s="90"/>
    </row>
    <row r="802">
      <c r="A802" s="32"/>
      <c r="D802" s="187"/>
      <c r="E802" s="90"/>
      <c r="F802" s="90"/>
      <c r="AE802" s="90"/>
      <c r="AF802" s="90"/>
      <c r="AG802" s="90"/>
      <c r="AH802" s="90"/>
      <c r="AI802" s="90"/>
    </row>
    <row r="803">
      <c r="A803" s="32"/>
      <c r="D803" s="187"/>
      <c r="E803" s="90"/>
      <c r="F803" s="90"/>
      <c r="AE803" s="90"/>
      <c r="AF803" s="90"/>
      <c r="AG803" s="90"/>
      <c r="AH803" s="90"/>
      <c r="AI803" s="90"/>
    </row>
    <row r="804">
      <c r="A804" s="32"/>
      <c r="D804" s="187"/>
      <c r="E804" s="90"/>
      <c r="F804" s="90"/>
      <c r="AE804" s="90"/>
      <c r="AF804" s="90"/>
      <c r="AG804" s="90"/>
      <c r="AH804" s="90"/>
      <c r="AI804" s="90"/>
    </row>
    <row r="805">
      <c r="A805" s="32"/>
      <c r="D805" s="187"/>
      <c r="E805" s="90"/>
      <c r="F805" s="90"/>
      <c r="AE805" s="90"/>
      <c r="AF805" s="90"/>
      <c r="AG805" s="90"/>
      <c r="AH805" s="90"/>
      <c r="AI805" s="90"/>
    </row>
    <row r="806">
      <c r="A806" s="32"/>
      <c r="D806" s="187"/>
      <c r="E806" s="90"/>
      <c r="F806" s="90"/>
      <c r="AE806" s="90"/>
      <c r="AF806" s="90"/>
      <c r="AG806" s="90"/>
      <c r="AH806" s="90"/>
      <c r="AI806" s="90"/>
    </row>
    <row r="807">
      <c r="A807" s="32"/>
      <c r="D807" s="187"/>
      <c r="E807" s="90"/>
      <c r="F807" s="90"/>
      <c r="AE807" s="90"/>
      <c r="AF807" s="90"/>
      <c r="AG807" s="90"/>
      <c r="AH807" s="90"/>
      <c r="AI807" s="90"/>
    </row>
    <row r="808">
      <c r="A808" s="32"/>
      <c r="D808" s="187"/>
      <c r="E808" s="90"/>
      <c r="F808" s="90"/>
      <c r="AE808" s="90"/>
      <c r="AF808" s="90"/>
      <c r="AG808" s="90"/>
      <c r="AH808" s="90"/>
      <c r="AI808" s="90"/>
    </row>
    <row r="809">
      <c r="A809" s="32"/>
      <c r="D809" s="187"/>
      <c r="E809" s="90"/>
      <c r="F809" s="90"/>
      <c r="AE809" s="90"/>
      <c r="AF809" s="90"/>
      <c r="AG809" s="90"/>
      <c r="AH809" s="90"/>
      <c r="AI809" s="90"/>
    </row>
    <row r="810">
      <c r="A810" s="32"/>
      <c r="D810" s="187"/>
      <c r="E810" s="90"/>
      <c r="F810" s="90"/>
      <c r="AE810" s="90"/>
      <c r="AF810" s="90"/>
      <c r="AG810" s="90"/>
      <c r="AH810" s="90"/>
      <c r="AI810" s="90"/>
    </row>
    <row r="811">
      <c r="A811" s="32"/>
      <c r="D811" s="187"/>
      <c r="E811" s="90"/>
      <c r="F811" s="90"/>
      <c r="AE811" s="90"/>
      <c r="AF811" s="90"/>
      <c r="AG811" s="90"/>
      <c r="AH811" s="90"/>
      <c r="AI811" s="90"/>
    </row>
    <row r="812">
      <c r="A812" s="32"/>
      <c r="D812" s="187"/>
      <c r="E812" s="90"/>
      <c r="F812" s="90"/>
      <c r="AE812" s="90"/>
      <c r="AF812" s="90"/>
      <c r="AG812" s="90"/>
      <c r="AH812" s="90"/>
      <c r="AI812" s="90"/>
    </row>
    <row r="813">
      <c r="A813" s="32"/>
      <c r="D813" s="187"/>
      <c r="E813" s="90"/>
      <c r="F813" s="90"/>
      <c r="AE813" s="90"/>
      <c r="AF813" s="90"/>
      <c r="AG813" s="90"/>
      <c r="AH813" s="90"/>
      <c r="AI813" s="90"/>
    </row>
    <row r="814">
      <c r="A814" s="32"/>
      <c r="D814" s="187"/>
      <c r="E814" s="90"/>
      <c r="F814" s="90"/>
      <c r="AE814" s="90"/>
      <c r="AF814" s="90"/>
      <c r="AG814" s="90"/>
      <c r="AH814" s="90"/>
      <c r="AI814" s="90"/>
    </row>
    <row r="815">
      <c r="A815" s="32"/>
      <c r="D815" s="187"/>
      <c r="E815" s="90"/>
      <c r="F815" s="90"/>
      <c r="AE815" s="90"/>
      <c r="AF815" s="90"/>
      <c r="AG815" s="90"/>
      <c r="AH815" s="90"/>
      <c r="AI815" s="90"/>
    </row>
    <row r="816">
      <c r="A816" s="32"/>
      <c r="D816" s="187"/>
      <c r="E816" s="90"/>
      <c r="F816" s="90"/>
      <c r="AE816" s="90"/>
      <c r="AF816" s="90"/>
      <c r="AG816" s="90"/>
      <c r="AH816" s="90"/>
      <c r="AI816" s="90"/>
    </row>
    <row r="817">
      <c r="A817" s="32"/>
      <c r="D817" s="187"/>
      <c r="E817" s="90"/>
      <c r="F817" s="90"/>
      <c r="AE817" s="90"/>
      <c r="AF817" s="90"/>
      <c r="AG817" s="90"/>
      <c r="AH817" s="90"/>
      <c r="AI817" s="90"/>
    </row>
    <row r="818">
      <c r="A818" s="32"/>
      <c r="D818" s="187"/>
      <c r="E818" s="90"/>
      <c r="F818" s="90"/>
      <c r="AE818" s="90"/>
      <c r="AF818" s="90"/>
      <c r="AG818" s="90"/>
      <c r="AH818" s="90"/>
      <c r="AI818" s="90"/>
    </row>
    <row r="819">
      <c r="A819" s="32"/>
      <c r="D819" s="187"/>
      <c r="E819" s="90"/>
      <c r="F819" s="90"/>
      <c r="AE819" s="90"/>
      <c r="AF819" s="90"/>
      <c r="AG819" s="90"/>
      <c r="AH819" s="90"/>
      <c r="AI819" s="90"/>
    </row>
    <row r="820">
      <c r="A820" s="32"/>
      <c r="D820" s="187"/>
      <c r="E820" s="90"/>
      <c r="F820" s="90"/>
      <c r="AE820" s="90"/>
      <c r="AF820" s="90"/>
      <c r="AG820" s="90"/>
      <c r="AH820" s="90"/>
      <c r="AI820" s="90"/>
    </row>
    <row r="821">
      <c r="A821" s="32"/>
      <c r="D821" s="187"/>
      <c r="E821" s="90"/>
      <c r="F821" s="90"/>
      <c r="AE821" s="90"/>
      <c r="AF821" s="90"/>
      <c r="AG821" s="90"/>
      <c r="AH821" s="90"/>
      <c r="AI821" s="90"/>
    </row>
    <row r="822">
      <c r="A822" s="32"/>
      <c r="D822" s="187"/>
      <c r="E822" s="90"/>
      <c r="F822" s="90"/>
      <c r="AE822" s="90"/>
      <c r="AF822" s="90"/>
      <c r="AG822" s="90"/>
      <c r="AH822" s="90"/>
      <c r="AI822" s="90"/>
    </row>
    <row r="823">
      <c r="A823" s="32"/>
      <c r="D823" s="187"/>
      <c r="E823" s="90"/>
      <c r="F823" s="90"/>
      <c r="AE823" s="90"/>
      <c r="AF823" s="90"/>
      <c r="AG823" s="90"/>
      <c r="AH823" s="90"/>
      <c r="AI823" s="90"/>
    </row>
    <row r="824">
      <c r="A824" s="32"/>
      <c r="D824" s="187"/>
      <c r="E824" s="90"/>
      <c r="F824" s="90"/>
      <c r="AE824" s="90"/>
      <c r="AF824" s="90"/>
      <c r="AG824" s="90"/>
      <c r="AH824" s="90"/>
      <c r="AI824" s="90"/>
    </row>
    <row r="825">
      <c r="A825" s="32"/>
      <c r="D825" s="187"/>
      <c r="E825" s="90"/>
      <c r="F825" s="90"/>
      <c r="AE825" s="90"/>
      <c r="AF825" s="90"/>
      <c r="AG825" s="90"/>
      <c r="AH825" s="90"/>
      <c r="AI825" s="90"/>
    </row>
    <row r="826">
      <c r="A826" s="32"/>
      <c r="D826" s="187"/>
      <c r="E826" s="90"/>
      <c r="F826" s="90"/>
      <c r="AE826" s="90"/>
      <c r="AF826" s="90"/>
      <c r="AG826" s="90"/>
      <c r="AH826" s="90"/>
      <c r="AI826" s="90"/>
    </row>
    <row r="827">
      <c r="A827" s="32"/>
      <c r="D827" s="187"/>
      <c r="E827" s="90"/>
      <c r="F827" s="90"/>
      <c r="AE827" s="90"/>
      <c r="AF827" s="90"/>
      <c r="AG827" s="90"/>
      <c r="AH827" s="90"/>
      <c r="AI827" s="90"/>
    </row>
    <row r="828">
      <c r="A828" s="32"/>
      <c r="D828" s="187"/>
      <c r="E828" s="90"/>
      <c r="F828" s="90"/>
      <c r="AE828" s="90"/>
      <c r="AF828" s="90"/>
      <c r="AG828" s="90"/>
      <c r="AH828" s="90"/>
      <c r="AI828" s="90"/>
    </row>
    <row r="829">
      <c r="A829" s="32"/>
      <c r="D829" s="187"/>
      <c r="E829" s="90"/>
      <c r="F829" s="90"/>
      <c r="AE829" s="90"/>
      <c r="AF829" s="90"/>
      <c r="AG829" s="90"/>
      <c r="AH829" s="90"/>
      <c r="AI829" s="90"/>
    </row>
    <row r="830">
      <c r="A830" s="32"/>
      <c r="D830" s="187"/>
      <c r="E830" s="90"/>
      <c r="F830" s="90"/>
      <c r="AE830" s="90"/>
      <c r="AF830" s="90"/>
      <c r="AG830" s="90"/>
      <c r="AH830" s="90"/>
      <c r="AI830" s="90"/>
    </row>
    <row r="831">
      <c r="A831" s="32"/>
      <c r="D831" s="187"/>
      <c r="E831" s="90"/>
      <c r="F831" s="90"/>
      <c r="AE831" s="90"/>
      <c r="AF831" s="90"/>
      <c r="AG831" s="90"/>
      <c r="AH831" s="90"/>
      <c r="AI831" s="90"/>
    </row>
    <row r="832">
      <c r="A832" s="32"/>
      <c r="D832" s="187"/>
      <c r="E832" s="90"/>
      <c r="F832" s="90"/>
      <c r="AE832" s="90"/>
      <c r="AF832" s="90"/>
      <c r="AG832" s="90"/>
      <c r="AH832" s="90"/>
      <c r="AI832" s="90"/>
    </row>
    <row r="833">
      <c r="A833" s="32"/>
      <c r="D833" s="187"/>
      <c r="E833" s="90"/>
      <c r="F833" s="90"/>
      <c r="AE833" s="90"/>
      <c r="AF833" s="90"/>
      <c r="AG833" s="90"/>
      <c r="AH833" s="90"/>
      <c r="AI833" s="90"/>
    </row>
    <row r="834">
      <c r="A834" s="32"/>
      <c r="D834" s="187"/>
      <c r="E834" s="90"/>
      <c r="F834" s="90"/>
      <c r="AE834" s="90"/>
      <c r="AF834" s="90"/>
      <c r="AG834" s="90"/>
      <c r="AH834" s="90"/>
      <c r="AI834" s="90"/>
    </row>
    <row r="835">
      <c r="A835" s="32"/>
      <c r="D835" s="187"/>
      <c r="E835" s="90"/>
      <c r="F835" s="90"/>
      <c r="AE835" s="90"/>
      <c r="AF835" s="90"/>
      <c r="AG835" s="90"/>
      <c r="AH835" s="90"/>
      <c r="AI835" s="90"/>
    </row>
    <row r="836">
      <c r="A836" s="32"/>
      <c r="D836" s="187"/>
      <c r="E836" s="90"/>
      <c r="F836" s="90"/>
      <c r="AE836" s="90"/>
      <c r="AF836" s="90"/>
      <c r="AG836" s="90"/>
      <c r="AH836" s="90"/>
      <c r="AI836" s="90"/>
    </row>
    <row r="837">
      <c r="A837" s="32"/>
      <c r="D837" s="187"/>
      <c r="E837" s="90"/>
      <c r="F837" s="90"/>
      <c r="AE837" s="90"/>
      <c r="AF837" s="90"/>
      <c r="AG837" s="90"/>
      <c r="AH837" s="90"/>
      <c r="AI837" s="90"/>
    </row>
    <row r="838">
      <c r="A838" s="32"/>
      <c r="D838" s="187"/>
      <c r="E838" s="90"/>
      <c r="F838" s="90"/>
      <c r="AE838" s="90"/>
      <c r="AF838" s="90"/>
      <c r="AG838" s="90"/>
      <c r="AH838" s="90"/>
      <c r="AI838" s="90"/>
    </row>
    <row r="839">
      <c r="A839" s="32"/>
      <c r="D839" s="187"/>
      <c r="E839" s="90"/>
      <c r="F839" s="90"/>
      <c r="AE839" s="90"/>
      <c r="AF839" s="90"/>
      <c r="AG839" s="90"/>
      <c r="AH839" s="90"/>
      <c r="AI839" s="90"/>
    </row>
    <row r="840">
      <c r="A840" s="32"/>
      <c r="D840" s="187"/>
      <c r="E840" s="90"/>
      <c r="F840" s="90"/>
      <c r="AE840" s="90"/>
      <c r="AF840" s="90"/>
      <c r="AG840" s="90"/>
      <c r="AH840" s="90"/>
      <c r="AI840" s="90"/>
    </row>
    <row r="841">
      <c r="A841" s="32"/>
      <c r="D841" s="187"/>
      <c r="E841" s="90"/>
      <c r="F841" s="90"/>
      <c r="AE841" s="90"/>
      <c r="AF841" s="90"/>
      <c r="AG841" s="90"/>
      <c r="AH841" s="90"/>
      <c r="AI841" s="90"/>
    </row>
    <row r="842">
      <c r="A842" s="32"/>
      <c r="D842" s="187"/>
      <c r="E842" s="90"/>
      <c r="F842" s="90"/>
      <c r="AE842" s="90"/>
      <c r="AF842" s="90"/>
      <c r="AG842" s="90"/>
      <c r="AH842" s="90"/>
      <c r="AI842" s="90"/>
    </row>
    <row r="843">
      <c r="A843" s="32"/>
      <c r="D843" s="187"/>
      <c r="E843" s="90"/>
      <c r="F843" s="90"/>
      <c r="AE843" s="90"/>
      <c r="AF843" s="90"/>
      <c r="AG843" s="90"/>
      <c r="AH843" s="90"/>
      <c r="AI843" s="90"/>
    </row>
    <row r="844">
      <c r="A844" s="32"/>
      <c r="D844" s="187"/>
      <c r="E844" s="90"/>
      <c r="F844" s="90"/>
      <c r="AE844" s="90"/>
      <c r="AF844" s="90"/>
      <c r="AG844" s="90"/>
      <c r="AH844" s="90"/>
      <c r="AI844" s="90"/>
    </row>
    <row r="845">
      <c r="A845" s="32"/>
      <c r="D845" s="187"/>
      <c r="E845" s="90"/>
      <c r="F845" s="90"/>
      <c r="AE845" s="90"/>
      <c r="AF845" s="90"/>
      <c r="AG845" s="90"/>
      <c r="AH845" s="90"/>
      <c r="AI845" s="90"/>
    </row>
    <row r="846">
      <c r="A846" s="32"/>
      <c r="D846" s="187"/>
      <c r="E846" s="90"/>
      <c r="F846" s="90"/>
      <c r="AE846" s="90"/>
      <c r="AF846" s="90"/>
      <c r="AG846" s="90"/>
      <c r="AH846" s="90"/>
      <c r="AI846" s="90"/>
    </row>
    <row r="847">
      <c r="A847" s="32"/>
      <c r="D847" s="187"/>
      <c r="E847" s="90"/>
      <c r="F847" s="90"/>
      <c r="AE847" s="90"/>
      <c r="AF847" s="90"/>
      <c r="AG847" s="90"/>
      <c r="AH847" s="90"/>
      <c r="AI847" s="90"/>
    </row>
    <row r="848">
      <c r="A848" s="32"/>
      <c r="D848" s="187"/>
      <c r="E848" s="90"/>
      <c r="F848" s="90"/>
      <c r="AE848" s="90"/>
      <c r="AF848" s="90"/>
      <c r="AG848" s="90"/>
      <c r="AH848" s="90"/>
      <c r="AI848" s="90"/>
    </row>
    <row r="849">
      <c r="A849" s="32"/>
      <c r="D849" s="187"/>
      <c r="E849" s="90"/>
      <c r="F849" s="90"/>
      <c r="AE849" s="90"/>
      <c r="AF849" s="90"/>
      <c r="AG849" s="90"/>
      <c r="AH849" s="90"/>
      <c r="AI849" s="90"/>
    </row>
    <row r="850">
      <c r="A850" s="32"/>
      <c r="D850" s="187"/>
      <c r="E850" s="90"/>
      <c r="F850" s="90"/>
      <c r="AE850" s="90"/>
      <c r="AF850" s="90"/>
      <c r="AG850" s="90"/>
      <c r="AH850" s="90"/>
      <c r="AI850" s="90"/>
    </row>
    <row r="851">
      <c r="A851" s="32"/>
      <c r="D851" s="187"/>
      <c r="E851" s="90"/>
      <c r="F851" s="90"/>
      <c r="AE851" s="90"/>
      <c r="AF851" s="90"/>
      <c r="AG851" s="90"/>
      <c r="AH851" s="90"/>
      <c r="AI851" s="90"/>
    </row>
    <row r="852">
      <c r="A852" s="32"/>
      <c r="D852" s="187"/>
      <c r="E852" s="90"/>
      <c r="F852" s="90"/>
      <c r="AE852" s="90"/>
      <c r="AF852" s="90"/>
      <c r="AG852" s="90"/>
      <c r="AH852" s="90"/>
      <c r="AI852" s="90"/>
    </row>
    <row r="853">
      <c r="A853" s="32"/>
      <c r="D853" s="187"/>
      <c r="E853" s="90"/>
      <c r="F853" s="90"/>
      <c r="AE853" s="90"/>
      <c r="AF853" s="90"/>
      <c r="AG853" s="90"/>
      <c r="AH853" s="90"/>
      <c r="AI853" s="90"/>
    </row>
    <row r="854">
      <c r="A854" s="32"/>
      <c r="D854" s="187"/>
      <c r="E854" s="90"/>
      <c r="F854" s="90"/>
      <c r="AE854" s="90"/>
      <c r="AF854" s="90"/>
      <c r="AG854" s="90"/>
      <c r="AH854" s="90"/>
      <c r="AI854" s="90"/>
    </row>
    <row r="855">
      <c r="A855" s="32"/>
      <c r="D855" s="187"/>
      <c r="E855" s="90"/>
      <c r="F855" s="90"/>
      <c r="AE855" s="90"/>
      <c r="AF855" s="90"/>
      <c r="AG855" s="90"/>
      <c r="AH855" s="90"/>
      <c r="AI855" s="90"/>
    </row>
    <row r="856">
      <c r="A856" s="32"/>
      <c r="D856" s="187"/>
      <c r="E856" s="90"/>
      <c r="F856" s="90"/>
      <c r="AE856" s="90"/>
      <c r="AF856" s="90"/>
      <c r="AG856" s="90"/>
      <c r="AH856" s="90"/>
      <c r="AI856" s="90"/>
    </row>
    <row r="857">
      <c r="A857" s="32"/>
      <c r="D857" s="187"/>
      <c r="E857" s="90"/>
      <c r="F857" s="90"/>
      <c r="AE857" s="90"/>
      <c r="AF857" s="90"/>
      <c r="AG857" s="90"/>
      <c r="AH857" s="90"/>
      <c r="AI857" s="90"/>
    </row>
    <row r="858">
      <c r="A858" s="32"/>
      <c r="D858" s="187"/>
      <c r="E858" s="90"/>
      <c r="F858" s="90"/>
      <c r="AE858" s="90"/>
      <c r="AF858" s="90"/>
      <c r="AG858" s="90"/>
      <c r="AH858" s="90"/>
      <c r="AI858" s="90"/>
    </row>
    <row r="859">
      <c r="A859" s="32"/>
      <c r="D859" s="187"/>
      <c r="E859" s="90"/>
      <c r="F859" s="90"/>
      <c r="AE859" s="90"/>
      <c r="AF859" s="90"/>
      <c r="AG859" s="90"/>
      <c r="AH859" s="90"/>
      <c r="AI859" s="90"/>
    </row>
    <row r="860">
      <c r="A860" s="32"/>
      <c r="D860" s="187"/>
      <c r="E860" s="90"/>
      <c r="F860" s="90"/>
      <c r="AE860" s="90"/>
      <c r="AF860" s="90"/>
      <c r="AG860" s="90"/>
      <c r="AH860" s="90"/>
      <c r="AI860" s="90"/>
    </row>
    <row r="861">
      <c r="A861" s="32"/>
      <c r="D861" s="187"/>
      <c r="E861" s="90"/>
      <c r="F861" s="90"/>
      <c r="AE861" s="90"/>
      <c r="AF861" s="90"/>
      <c r="AG861" s="90"/>
      <c r="AH861" s="90"/>
      <c r="AI861" s="90"/>
    </row>
    <row r="862">
      <c r="A862" s="32"/>
      <c r="D862" s="187"/>
      <c r="E862" s="90"/>
      <c r="F862" s="90"/>
      <c r="AE862" s="90"/>
      <c r="AF862" s="90"/>
      <c r="AG862" s="90"/>
      <c r="AH862" s="90"/>
      <c r="AI862" s="90"/>
    </row>
    <row r="863">
      <c r="A863" s="32"/>
      <c r="D863" s="187"/>
      <c r="E863" s="90"/>
      <c r="F863" s="90"/>
      <c r="AE863" s="90"/>
      <c r="AF863" s="90"/>
      <c r="AG863" s="90"/>
      <c r="AH863" s="90"/>
      <c r="AI863" s="90"/>
    </row>
    <row r="864">
      <c r="A864" s="32"/>
      <c r="D864" s="187"/>
      <c r="E864" s="90"/>
      <c r="F864" s="90"/>
      <c r="AE864" s="90"/>
      <c r="AF864" s="90"/>
      <c r="AG864" s="90"/>
      <c r="AH864" s="90"/>
      <c r="AI864" s="90"/>
    </row>
    <row r="865">
      <c r="A865" s="32"/>
      <c r="D865" s="187"/>
      <c r="E865" s="90"/>
      <c r="F865" s="90"/>
      <c r="AE865" s="90"/>
      <c r="AF865" s="90"/>
      <c r="AG865" s="90"/>
      <c r="AH865" s="90"/>
      <c r="AI865" s="90"/>
    </row>
    <row r="866">
      <c r="A866" s="32"/>
      <c r="D866" s="187"/>
      <c r="E866" s="90"/>
      <c r="F866" s="90"/>
      <c r="AE866" s="90"/>
      <c r="AF866" s="90"/>
      <c r="AG866" s="90"/>
      <c r="AH866" s="90"/>
      <c r="AI866" s="90"/>
    </row>
    <row r="867">
      <c r="A867" s="32"/>
      <c r="D867" s="187"/>
      <c r="E867" s="90"/>
      <c r="F867" s="90"/>
      <c r="AE867" s="90"/>
      <c r="AF867" s="90"/>
      <c r="AG867" s="90"/>
      <c r="AH867" s="90"/>
      <c r="AI867" s="90"/>
    </row>
    <row r="868">
      <c r="A868" s="32"/>
      <c r="D868" s="187"/>
      <c r="E868" s="90"/>
      <c r="F868" s="90"/>
      <c r="AE868" s="90"/>
      <c r="AF868" s="90"/>
      <c r="AG868" s="90"/>
      <c r="AH868" s="90"/>
      <c r="AI868" s="90"/>
    </row>
    <row r="869">
      <c r="A869" s="32"/>
      <c r="D869" s="187"/>
      <c r="E869" s="90"/>
      <c r="F869" s="90"/>
      <c r="AE869" s="90"/>
      <c r="AF869" s="90"/>
      <c r="AG869" s="90"/>
      <c r="AH869" s="90"/>
      <c r="AI869" s="90"/>
    </row>
    <row r="870">
      <c r="A870" s="32"/>
      <c r="D870" s="187"/>
      <c r="E870" s="90"/>
      <c r="F870" s="90"/>
      <c r="AE870" s="90"/>
      <c r="AF870" s="90"/>
      <c r="AG870" s="90"/>
      <c r="AH870" s="90"/>
      <c r="AI870" s="90"/>
    </row>
    <row r="871">
      <c r="A871" s="32"/>
      <c r="D871" s="187"/>
      <c r="E871" s="90"/>
      <c r="F871" s="90"/>
      <c r="AE871" s="90"/>
      <c r="AF871" s="90"/>
      <c r="AG871" s="90"/>
      <c r="AH871" s="90"/>
      <c r="AI871" s="90"/>
    </row>
    <row r="872">
      <c r="A872" s="32"/>
      <c r="D872" s="187"/>
      <c r="E872" s="90"/>
      <c r="F872" s="90"/>
      <c r="AE872" s="90"/>
      <c r="AF872" s="90"/>
      <c r="AG872" s="90"/>
      <c r="AH872" s="90"/>
      <c r="AI872" s="90"/>
    </row>
    <row r="873">
      <c r="A873" s="32"/>
      <c r="D873" s="187"/>
      <c r="E873" s="90"/>
      <c r="F873" s="90"/>
      <c r="AE873" s="90"/>
      <c r="AF873" s="90"/>
      <c r="AG873" s="90"/>
      <c r="AH873" s="90"/>
      <c r="AI873" s="90"/>
    </row>
    <row r="874">
      <c r="A874" s="32"/>
      <c r="D874" s="187"/>
      <c r="E874" s="90"/>
      <c r="F874" s="90"/>
      <c r="AE874" s="90"/>
      <c r="AF874" s="90"/>
      <c r="AG874" s="90"/>
      <c r="AH874" s="90"/>
      <c r="AI874" s="90"/>
    </row>
    <row r="875">
      <c r="A875" s="32"/>
      <c r="D875" s="187"/>
      <c r="E875" s="90"/>
      <c r="F875" s="90"/>
      <c r="AE875" s="90"/>
      <c r="AF875" s="90"/>
      <c r="AG875" s="90"/>
      <c r="AH875" s="90"/>
      <c r="AI875" s="90"/>
    </row>
    <row r="876">
      <c r="A876" s="32"/>
      <c r="D876" s="187"/>
      <c r="E876" s="90"/>
      <c r="F876" s="90"/>
      <c r="AE876" s="90"/>
      <c r="AF876" s="90"/>
      <c r="AG876" s="90"/>
      <c r="AH876" s="90"/>
      <c r="AI876" s="90"/>
    </row>
    <row r="877">
      <c r="A877" s="32"/>
      <c r="D877" s="187"/>
      <c r="E877" s="90"/>
      <c r="F877" s="90"/>
      <c r="AE877" s="90"/>
      <c r="AF877" s="90"/>
      <c r="AG877" s="90"/>
      <c r="AH877" s="90"/>
      <c r="AI877" s="90"/>
    </row>
    <row r="878">
      <c r="A878" s="32"/>
      <c r="D878" s="187"/>
      <c r="E878" s="90"/>
      <c r="F878" s="90"/>
      <c r="AE878" s="90"/>
      <c r="AF878" s="90"/>
      <c r="AG878" s="90"/>
      <c r="AH878" s="90"/>
      <c r="AI878" s="90"/>
    </row>
    <row r="879">
      <c r="A879" s="32"/>
      <c r="D879" s="187"/>
      <c r="E879" s="90"/>
      <c r="F879" s="90"/>
      <c r="AE879" s="90"/>
      <c r="AF879" s="90"/>
      <c r="AG879" s="90"/>
      <c r="AH879" s="90"/>
      <c r="AI879" s="90"/>
    </row>
    <row r="880">
      <c r="A880" s="32"/>
      <c r="D880" s="187"/>
      <c r="E880" s="90"/>
      <c r="F880" s="90"/>
      <c r="AE880" s="90"/>
      <c r="AF880" s="90"/>
      <c r="AG880" s="90"/>
      <c r="AH880" s="90"/>
      <c r="AI880" s="90"/>
    </row>
    <row r="881">
      <c r="A881" s="32"/>
      <c r="D881" s="187"/>
      <c r="E881" s="90"/>
      <c r="F881" s="90"/>
      <c r="AE881" s="90"/>
      <c r="AF881" s="90"/>
      <c r="AG881" s="90"/>
      <c r="AH881" s="90"/>
      <c r="AI881" s="90"/>
    </row>
    <row r="882">
      <c r="A882" s="32"/>
      <c r="D882" s="187"/>
      <c r="E882" s="90"/>
      <c r="F882" s="90"/>
      <c r="AE882" s="90"/>
      <c r="AF882" s="90"/>
      <c r="AG882" s="90"/>
      <c r="AH882" s="90"/>
      <c r="AI882" s="90"/>
    </row>
    <row r="883">
      <c r="A883" s="32"/>
      <c r="D883" s="187"/>
      <c r="E883" s="90"/>
      <c r="F883" s="90"/>
      <c r="AE883" s="90"/>
      <c r="AF883" s="90"/>
      <c r="AG883" s="90"/>
      <c r="AH883" s="90"/>
      <c r="AI883" s="90"/>
    </row>
    <row r="884">
      <c r="A884" s="32"/>
      <c r="D884" s="187"/>
      <c r="E884" s="90"/>
      <c r="F884" s="90"/>
      <c r="AE884" s="90"/>
      <c r="AF884" s="90"/>
      <c r="AG884" s="90"/>
      <c r="AH884" s="90"/>
      <c r="AI884" s="90"/>
    </row>
    <row r="885">
      <c r="A885" s="32"/>
      <c r="D885" s="187"/>
      <c r="E885" s="90"/>
      <c r="F885" s="90"/>
      <c r="AE885" s="90"/>
      <c r="AF885" s="90"/>
      <c r="AG885" s="90"/>
      <c r="AH885" s="90"/>
      <c r="AI885" s="90"/>
    </row>
    <row r="886">
      <c r="A886" s="32"/>
      <c r="D886" s="187"/>
      <c r="E886" s="90"/>
      <c r="F886" s="90"/>
      <c r="AE886" s="90"/>
      <c r="AF886" s="90"/>
      <c r="AG886" s="90"/>
      <c r="AH886" s="90"/>
      <c r="AI886" s="90"/>
    </row>
    <row r="887">
      <c r="A887" s="32"/>
      <c r="D887" s="187"/>
      <c r="E887" s="90"/>
      <c r="F887" s="90"/>
      <c r="AE887" s="90"/>
      <c r="AF887" s="90"/>
      <c r="AG887" s="90"/>
      <c r="AH887" s="90"/>
      <c r="AI887" s="90"/>
    </row>
    <row r="888">
      <c r="A888" s="32"/>
      <c r="D888" s="187"/>
      <c r="E888" s="90"/>
      <c r="F888" s="90"/>
      <c r="AE888" s="90"/>
      <c r="AF888" s="90"/>
      <c r="AG888" s="90"/>
      <c r="AH888" s="90"/>
      <c r="AI888" s="90"/>
    </row>
    <row r="889">
      <c r="A889" s="32"/>
      <c r="D889" s="187"/>
      <c r="E889" s="90"/>
      <c r="F889" s="90"/>
      <c r="AE889" s="90"/>
      <c r="AF889" s="90"/>
      <c r="AG889" s="90"/>
      <c r="AH889" s="90"/>
      <c r="AI889" s="90"/>
    </row>
    <row r="890">
      <c r="A890" s="32"/>
      <c r="D890" s="187"/>
      <c r="E890" s="90"/>
      <c r="F890" s="90"/>
      <c r="AE890" s="90"/>
      <c r="AF890" s="90"/>
      <c r="AG890" s="90"/>
      <c r="AH890" s="90"/>
      <c r="AI890" s="90"/>
    </row>
    <row r="891">
      <c r="A891" s="32"/>
      <c r="D891" s="187"/>
      <c r="E891" s="90"/>
      <c r="F891" s="90"/>
      <c r="AE891" s="90"/>
      <c r="AF891" s="90"/>
      <c r="AG891" s="90"/>
      <c r="AH891" s="90"/>
      <c r="AI891" s="90"/>
    </row>
    <row r="892">
      <c r="A892" s="32"/>
      <c r="D892" s="187"/>
      <c r="E892" s="90"/>
      <c r="F892" s="90"/>
      <c r="AE892" s="90"/>
      <c r="AF892" s="90"/>
      <c r="AG892" s="90"/>
      <c r="AH892" s="90"/>
      <c r="AI892" s="90"/>
    </row>
    <row r="893">
      <c r="A893" s="32"/>
      <c r="D893" s="187"/>
      <c r="E893" s="90"/>
      <c r="F893" s="90"/>
      <c r="AE893" s="90"/>
      <c r="AF893" s="90"/>
      <c r="AG893" s="90"/>
      <c r="AH893" s="90"/>
      <c r="AI893" s="90"/>
    </row>
    <row r="894">
      <c r="A894" s="32"/>
      <c r="D894" s="187"/>
      <c r="E894" s="90"/>
      <c r="F894" s="90"/>
      <c r="AE894" s="90"/>
      <c r="AF894" s="90"/>
      <c r="AG894" s="90"/>
      <c r="AH894" s="90"/>
      <c r="AI894" s="90"/>
    </row>
    <row r="895">
      <c r="A895" s="32"/>
      <c r="D895" s="187"/>
      <c r="E895" s="90"/>
      <c r="F895" s="90"/>
      <c r="AE895" s="90"/>
      <c r="AF895" s="90"/>
      <c r="AG895" s="90"/>
      <c r="AH895" s="90"/>
      <c r="AI895" s="90"/>
    </row>
    <row r="896">
      <c r="A896" s="32"/>
      <c r="D896" s="187"/>
      <c r="E896" s="90"/>
      <c r="F896" s="90"/>
      <c r="AE896" s="90"/>
      <c r="AF896" s="90"/>
      <c r="AG896" s="90"/>
      <c r="AH896" s="90"/>
      <c r="AI896" s="90"/>
    </row>
    <row r="897">
      <c r="A897" s="32"/>
      <c r="D897" s="187"/>
      <c r="E897" s="90"/>
      <c r="F897" s="90"/>
      <c r="AE897" s="90"/>
      <c r="AF897" s="90"/>
      <c r="AG897" s="90"/>
      <c r="AH897" s="90"/>
      <c r="AI897" s="90"/>
    </row>
    <row r="898">
      <c r="A898" s="32"/>
      <c r="D898" s="187"/>
      <c r="E898" s="90"/>
      <c r="F898" s="90"/>
      <c r="AE898" s="90"/>
      <c r="AF898" s="90"/>
      <c r="AG898" s="90"/>
      <c r="AH898" s="90"/>
      <c r="AI898" s="90"/>
    </row>
    <row r="899">
      <c r="A899" s="32"/>
      <c r="D899" s="187"/>
      <c r="E899" s="90"/>
      <c r="F899" s="90"/>
      <c r="AE899" s="90"/>
      <c r="AF899" s="90"/>
      <c r="AG899" s="90"/>
      <c r="AH899" s="90"/>
      <c r="AI899" s="90"/>
    </row>
    <row r="900">
      <c r="A900" s="32"/>
      <c r="D900" s="187"/>
      <c r="E900" s="90"/>
      <c r="F900" s="90"/>
      <c r="AE900" s="90"/>
      <c r="AF900" s="90"/>
      <c r="AG900" s="90"/>
      <c r="AH900" s="90"/>
      <c r="AI900" s="90"/>
    </row>
    <row r="901">
      <c r="A901" s="32"/>
      <c r="D901" s="187"/>
      <c r="E901" s="90"/>
      <c r="F901" s="90"/>
      <c r="AE901" s="90"/>
      <c r="AF901" s="90"/>
      <c r="AG901" s="90"/>
      <c r="AH901" s="90"/>
      <c r="AI901" s="90"/>
    </row>
    <row r="902">
      <c r="A902" s="32"/>
      <c r="D902" s="187"/>
      <c r="E902" s="90"/>
      <c r="F902" s="90"/>
      <c r="AE902" s="90"/>
      <c r="AF902" s="90"/>
      <c r="AG902" s="90"/>
      <c r="AH902" s="90"/>
      <c r="AI902" s="90"/>
    </row>
    <row r="903">
      <c r="A903" s="32"/>
      <c r="D903" s="187"/>
      <c r="E903" s="90"/>
      <c r="F903" s="90"/>
      <c r="AE903" s="90"/>
      <c r="AF903" s="90"/>
      <c r="AG903" s="90"/>
      <c r="AH903" s="90"/>
      <c r="AI903" s="90"/>
    </row>
    <row r="904">
      <c r="A904" s="32"/>
      <c r="D904" s="187"/>
      <c r="E904" s="90"/>
      <c r="F904" s="90"/>
      <c r="AE904" s="90"/>
      <c r="AF904" s="90"/>
      <c r="AG904" s="90"/>
      <c r="AH904" s="90"/>
      <c r="AI904" s="90"/>
    </row>
    <row r="905">
      <c r="A905" s="32"/>
      <c r="D905" s="187"/>
      <c r="E905" s="90"/>
      <c r="F905" s="90"/>
      <c r="AE905" s="90"/>
      <c r="AF905" s="90"/>
      <c r="AG905" s="90"/>
      <c r="AH905" s="90"/>
      <c r="AI905" s="90"/>
    </row>
    <row r="906">
      <c r="A906" s="32"/>
      <c r="D906" s="187"/>
      <c r="E906" s="90"/>
      <c r="F906" s="90"/>
      <c r="AE906" s="90"/>
      <c r="AF906" s="90"/>
      <c r="AG906" s="90"/>
      <c r="AH906" s="90"/>
      <c r="AI906" s="90"/>
    </row>
    <row r="907">
      <c r="A907" s="32"/>
      <c r="D907" s="187"/>
      <c r="E907" s="90"/>
      <c r="F907" s="90"/>
      <c r="AE907" s="90"/>
      <c r="AF907" s="90"/>
      <c r="AG907" s="90"/>
      <c r="AH907" s="90"/>
      <c r="AI907" s="90"/>
    </row>
    <row r="908">
      <c r="A908" s="32"/>
      <c r="D908" s="187"/>
      <c r="E908" s="90"/>
      <c r="F908" s="90"/>
      <c r="AE908" s="90"/>
      <c r="AF908" s="90"/>
      <c r="AG908" s="90"/>
      <c r="AH908" s="90"/>
      <c r="AI908" s="90"/>
    </row>
    <row r="909">
      <c r="A909" s="32"/>
      <c r="D909" s="187"/>
      <c r="E909" s="90"/>
      <c r="F909" s="90"/>
      <c r="AE909" s="90"/>
      <c r="AF909" s="90"/>
      <c r="AG909" s="90"/>
      <c r="AH909" s="90"/>
      <c r="AI909" s="90"/>
    </row>
    <row r="910">
      <c r="A910" s="32"/>
      <c r="D910" s="187"/>
      <c r="E910" s="90"/>
      <c r="F910" s="90"/>
      <c r="AE910" s="90"/>
      <c r="AF910" s="90"/>
      <c r="AG910" s="90"/>
      <c r="AH910" s="90"/>
      <c r="AI910" s="90"/>
    </row>
    <row r="911">
      <c r="A911" s="32"/>
      <c r="D911" s="187"/>
      <c r="E911" s="90"/>
      <c r="F911" s="90"/>
      <c r="AE911" s="90"/>
      <c r="AF911" s="90"/>
      <c r="AG911" s="90"/>
      <c r="AH911" s="90"/>
      <c r="AI911" s="90"/>
    </row>
    <row r="912">
      <c r="A912" s="32"/>
      <c r="D912" s="187"/>
      <c r="E912" s="90"/>
      <c r="F912" s="90"/>
      <c r="AE912" s="90"/>
      <c r="AF912" s="90"/>
      <c r="AG912" s="90"/>
      <c r="AH912" s="90"/>
      <c r="AI912" s="90"/>
    </row>
    <row r="913">
      <c r="A913" s="32"/>
      <c r="D913" s="187"/>
      <c r="E913" s="90"/>
      <c r="F913" s="90"/>
      <c r="AE913" s="90"/>
      <c r="AF913" s="90"/>
      <c r="AG913" s="90"/>
      <c r="AH913" s="90"/>
      <c r="AI913" s="90"/>
    </row>
    <row r="914">
      <c r="A914" s="32"/>
      <c r="D914" s="187"/>
      <c r="E914" s="90"/>
      <c r="F914" s="90"/>
      <c r="AE914" s="90"/>
      <c r="AF914" s="90"/>
      <c r="AG914" s="90"/>
      <c r="AH914" s="90"/>
      <c r="AI914" s="90"/>
    </row>
    <row r="915">
      <c r="A915" s="32"/>
      <c r="D915" s="187"/>
      <c r="E915" s="90"/>
      <c r="F915" s="90"/>
      <c r="AE915" s="90"/>
      <c r="AF915" s="90"/>
      <c r="AG915" s="90"/>
      <c r="AH915" s="90"/>
      <c r="AI915" s="90"/>
    </row>
    <row r="916">
      <c r="A916" s="32"/>
      <c r="D916" s="187"/>
      <c r="E916" s="90"/>
      <c r="F916" s="90"/>
      <c r="AE916" s="90"/>
      <c r="AF916" s="90"/>
      <c r="AG916" s="90"/>
      <c r="AH916" s="90"/>
      <c r="AI916" s="90"/>
    </row>
    <row r="917">
      <c r="A917" s="32"/>
      <c r="D917" s="187"/>
      <c r="E917" s="90"/>
      <c r="F917" s="90"/>
      <c r="AE917" s="90"/>
      <c r="AF917" s="90"/>
      <c r="AG917" s="90"/>
      <c r="AH917" s="90"/>
      <c r="AI917" s="90"/>
    </row>
    <row r="918">
      <c r="A918" s="32"/>
      <c r="D918" s="187"/>
      <c r="E918" s="90"/>
      <c r="F918" s="90"/>
      <c r="AE918" s="90"/>
      <c r="AF918" s="90"/>
      <c r="AG918" s="90"/>
      <c r="AH918" s="90"/>
      <c r="AI918" s="90"/>
    </row>
    <row r="919">
      <c r="A919" s="32"/>
      <c r="D919" s="187"/>
      <c r="E919" s="90"/>
      <c r="F919" s="90"/>
      <c r="AE919" s="90"/>
      <c r="AF919" s="90"/>
      <c r="AG919" s="90"/>
      <c r="AH919" s="90"/>
      <c r="AI919" s="90"/>
    </row>
    <row r="920">
      <c r="A920" s="32"/>
      <c r="D920" s="187"/>
      <c r="E920" s="90"/>
      <c r="F920" s="90"/>
      <c r="AE920" s="90"/>
      <c r="AF920" s="90"/>
      <c r="AG920" s="90"/>
      <c r="AH920" s="90"/>
      <c r="AI920" s="90"/>
    </row>
    <row r="921">
      <c r="A921" s="32"/>
      <c r="D921" s="187"/>
      <c r="E921" s="90"/>
      <c r="F921" s="90"/>
      <c r="AE921" s="90"/>
      <c r="AF921" s="90"/>
      <c r="AG921" s="90"/>
      <c r="AH921" s="90"/>
      <c r="AI921" s="90"/>
    </row>
    <row r="922">
      <c r="A922" s="32"/>
      <c r="D922" s="187"/>
      <c r="E922" s="90"/>
      <c r="F922" s="90"/>
      <c r="AE922" s="90"/>
      <c r="AF922" s="90"/>
      <c r="AG922" s="90"/>
      <c r="AH922" s="90"/>
      <c r="AI922" s="90"/>
    </row>
    <row r="923">
      <c r="A923" s="32"/>
      <c r="D923" s="187"/>
      <c r="E923" s="90"/>
      <c r="F923" s="90"/>
      <c r="AE923" s="90"/>
      <c r="AF923" s="90"/>
      <c r="AG923" s="90"/>
      <c r="AH923" s="90"/>
      <c r="AI923" s="90"/>
    </row>
    <row r="924">
      <c r="A924" s="32"/>
      <c r="D924" s="187"/>
      <c r="E924" s="90"/>
      <c r="F924" s="90"/>
      <c r="AE924" s="90"/>
      <c r="AF924" s="90"/>
      <c r="AG924" s="90"/>
      <c r="AH924" s="90"/>
      <c r="AI924" s="90"/>
    </row>
    <row r="925">
      <c r="A925" s="32"/>
      <c r="D925" s="187"/>
      <c r="E925" s="90"/>
      <c r="F925" s="90"/>
      <c r="AE925" s="90"/>
      <c r="AF925" s="90"/>
      <c r="AG925" s="90"/>
      <c r="AH925" s="90"/>
      <c r="AI925" s="90"/>
    </row>
    <row r="926">
      <c r="A926" s="32"/>
      <c r="D926" s="187"/>
      <c r="E926" s="90"/>
      <c r="F926" s="90"/>
      <c r="AE926" s="90"/>
      <c r="AF926" s="90"/>
      <c r="AG926" s="90"/>
      <c r="AH926" s="90"/>
      <c r="AI926" s="90"/>
    </row>
    <row r="927">
      <c r="A927" s="32"/>
      <c r="D927" s="187"/>
      <c r="E927" s="90"/>
      <c r="F927" s="90"/>
      <c r="AE927" s="90"/>
      <c r="AF927" s="90"/>
      <c r="AG927" s="90"/>
      <c r="AH927" s="90"/>
      <c r="AI927" s="90"/>
    </row>
    <row r="928">
      <c r="A928" s="32"/>
      <c r="D928" s="187"/>
      <c r="E928" s="90"/>
      <c r="F928" s="90"/>
      <c r="AE928" s="90"/>
      <c r="AF928" s="90"/>
      <c r="AG928" s="90"/>
      <c r="AH928" s="90"/>
      <c r="AI928" s="90"/>
    </row>
    <row r="929">
      <c r="A929" s="32"/>
      <c r="D929" s="187"/>
      <c r="E929" s="90"/>
      <c r="F929" s="90"/>
      <c r="AE929" s="90"/>
      <c r="AF929" s="90"/>
      <c r="AG929" s="90"/>
      <c r="AH929" s="90"/>
      <c r="AI929" s="90"/>
    </row>
    <row r="930">
      <c r="A930" s="32"/>
      <c r="D930" s="187"/>
      <c r="E930" s="90"/>
      <c r="F930" s="90"/>
      <c r="AE930" s="90"/>
      <c r="AF930" s="90"/>
      <c r="AG930" s="90"/>
      <c r="AH930" s="90"/>
      <c r="AI930" s="90"/>
    </row>
    <row r="931">
      <c r="A931" s="32"/>
      <c r="D931" s="187"/>
      <c r="E931" s="90"/>
      <c r="F931" s="90"/>
      <c r="AE931" s="90"/>
      <c r="AF931" s="90"/>
      <c r="AG931" s="90"/>
      <c r="AH931" s="90"/>
      <c r="AI931" s="90"/>
    </row>
    <row r="932">
      <c r="A932" s="32"/>
      <c r="D932" s="187"/>
      <c r="E932" s="90"/>
      <c r="F932" s="90"/>
      <c r="AE932" s="90"/>
      <c r="AF932" s="90"/>
      <c r="AG932" s="90"/>
      <c r="AH932" s="90"/>
      <c r="AI932" s="90"/>
    </row>
    <row r="933">
      <c r="A933" s="32"/>
      <c r="D933" s="187"/>
      <c r="E933" s="90"/>
      <c r="F933" s="90"/>
      <c r="AE933" s="90"/>
      <c r="AF933" s="90"/>
      <c r="AG933" s="90"/>
      <c r="AH933" s="90"/>
      <c r="AI933" s="90"/>
    </row>
    <row r="934">
      <c r="A934" s="32"/>
      <c r="D934" s="187"/>
      <c r="E934" s="90"/>
      <c r="F934" s="90"/>
      <c r="AE934" s="90"/>
      <c r="AF934" s="90"/>
      <c r="AG934" s="90"/>
      <c r="AH934" s="90"/>
      <c r="AI934" s="90"/>
    </row>
    <row r="935">
      <c r="A935" s="32"/>
      <c r="D935" s="187"/>
      <c r="E935" s="90"/>
      <c r="F935" s="90"/>
      <c r="AE935" s="90"/>
      <c r="AF935" s="90"/>
      <c r="AG935" s="90"/>
      <c r="AH935" s="90"/>
      <c r="AI935" s="90"/>
    </row>
    <row r="936">
      <c r="A936" s="32"/>
      <c r="D936" s="187"/>
      <c r="E936" s="90"/>
      <c r="F936" s="90"/>
      <c r="AE936" s="90"/>
      <c r="AF936" s="90"/>
      <c r="AG936" s="90"/>
      <c r="AH936" s="90"/>
      <c r="AI936" s="90"/>
    </row>
    <row r="937">
      <c r="A937" s="32"/>
      <c r="D937" s="187"/>
      <c r="E937" s="90"/>
      <c r="F937" s="90"/>
      <c r="AE937" s="90"/>
      <c r="AF937" s="90"/>
      <c r="AG937" s="90"/>
      <c r="AH937" s="90"/>
      <c r="AI937" s="90"/>
    </row>
    <row r="938">
      <c r="A938" s="32"/>
      <c r="D938" s="187"/>
      <c r="E938" s="90"/>
      <c r="F938" s="90"/>
      <c r="AE938" s="90"/>
      <c r="AF938" s="90"/>
      <c r="AG938" s="90"/>
      <c r="AH938" s="90"/>
      <c r="AI938" s="90"/>
    </row>
    <row r="939">
      <c r="A939" s="32"/>
      <c r="D939" s="187"/>
      <c r="E939" s="90"/>
      <c r="F939" s="90"/>
      <c r="AE939" s="90"/>
      <c r="AF939" s="90"/>
      <c r="AG939" s="90"/>
      <c r="AH939" s="90"/>
      <c r="AI939" s="90"/>
    </row>
    <row r="940">
      <c r="A940" s="32"/>
      <c r="D940" s="187"/>
      <c r="E940" s="90"/>
      <c r="F940" s="90"/>
      <c r="AE940" s="90"/>
      <c r="AF940" s="90"/>
      <c r="AG940" s="90"/>
      <c r="AH940" s="90"/>
      <c r="AI940" s="90"/>
    </row>
    <row r="941">
      <c r="A941" s="32"/>
      <c r="D941" s="187"/>
      <c r="E941" s="90"/>
      <c r="F941" s="90"/>
      <c r="AE941" s="90"/>
      <c r="AF941" s="90"/>
      <c r="AG941" s="90"/>
      <c r="AH941" s="90"/>
      <c r="AI941" s="90"/>
    </row>
    <row r="942">
      <c r="A942" s="32"/>
      <c r="D942" s="187"/>
      <c r="E942" s="90"/>
      <c r="F942" s="90"/>
      <c r="AE942" s="90"/>
      <c r="AF942" s="90"/>
      <c r="AG942" s="90"/>
      <c r="AH942" s="90"/>
      <c r="AI942" s="90"/>
    </row>
    <row r="943">
      <c r="A943" s="32"/>
      <c r="D943" s="187"/>
      <c r="E943" s="90"/>
      <c r="F943" s="90"/>
      <c r="AE943" s="90"/>
      <c r="AF943" s="90"/>
      <c r="AG943" s="90"/>
      <c r="AH943" s="90"/>
      <c r="AI943" s="90"/>
    </row>
    <row r="944">
      <c r="A944" s="32"/>
      <c r="D944" s="187"/>
      <c r="E944" s="90"/>
      <c r="F944" s="90"/>
      <c r="AE944" s="90"/>
      <c r="AF944" s="90"/>
      <c r="AG944" s="90"/>
      <c r="AH944" s="90"/>
      <c r="AI944" s="90"/>
    </row>
    <row r="945">
      <c r="A945" s="32"/>
      <c r="D945" s="187"/>
      <c r="E945" s="90"/>
      <c r="F945" s="90"/>
      <c r="AE945" s="90"/>
      <c r="AF945" s="90"/>
      <c r="AG945" s="90"/>
      <c r="AH945" s="90"/>
      <c r="AI945" s="90"/>
    </row>
    <row r="946">
      <c r="A946" s="32"/>
      <c r="D946" s="187"/>
      <c r="E946" s="90"/>
      <c r="F946" s="90"/>
      <c r="AE946" s="90"/>
      <c r="AF946" s="90"/>
      <c r="AG946" s="90"/>
      <c r="AH946" s="90"/>
      <c r="AI946" s="90"/>
    </row>
    <row r="947">
      <c r="A947" s="32"/>
      <c r="D947" s="187"/>
      <c r="E947" s="90"/>
      <c r="F947" s="90"/>
      <c r="AE947" s="90"/>
      <c r="AF947" s="90"/>
      <c r="AG947" s="90"/>
      <c r="AH947" s="90"/>
      <c r="AI947" s="90"/>
    </row>
    <row r="948">
      <c r="A948" s="32"/>
      <c r="D948" s="187"/>
      <c r="E948" s="90"/>
      <c r="F948" s="90"/>
      <c r="AE948" s="90"/>
      <c r="AF948" s="90"/>
      <c r="AG948" s="90"/>
      <c r="AH948" s="90"/>
      <c r="AI948" s="90"/>
    </row>
    <row r="949">
      <c r="A949" s="32"/>
      <c r="D949" s="187"/>
      <c r="E949" s="90"/>
      <c r="F949" s="90"/>
      <c r="AE949" s="90"/>
      <c r="AF949" s="90"/>
      <c r="AG949" s="90"/>
      <c r="AH949" s="90"/>
      <c r="AI949" s="90"/>
    </row>
    <row r="950">
      <c r="A950" s="32"/>
      <c r="D950" s="187"/>
      <c r="E950" s="90"/>
      <c r="F950" s="90"/>
      <c r="AE950" s="90"/>
      <c r="AF950" s="90"/>
      <c r="AG950" s="90"/>
      <c r="AH950" s="90"/>
      <c r="AI950" s="90"/>
    </row>
    <row r="951">
      <c r="A951" s="32"/>
      <c r="D951" s="187"/>
      <c r="E951" s="90"/>
      <c r="F951" s="90"/>
      <c r="AE951" s="90"/>
      <c r="AF951" s="90"/>
      <c r="AG951" s="90"/>
      <c r="AH951" s="90"/>
      <c r="AI951" s="90"/>
    </row>
    <row r="952">
      <c r="A952" s="32"/>
      <c r="D952" s="187"/>
      <c r="E952" s="90"/>
      <c r="F952" s="90"/>
      <c r="AE952" s="90"/>
      <c r="AF952" s="90"/>
      <c r="AG952" s="90"/>
      <c r="AH952" s="90"/>
      <c r="AI952" s="90"/>
    </row>
    <row r="953">
      <c r="A953" s="32"/>
      <c r="D953" s="187"/>
      <c r="E953" s="90"/>
      <c r="F953" s="90"/>
      <c r="AE953" s="90"/>
      <c r="AF953" s="90"/>
      <c r="AG953" s="90"/>
      <c r="AH953" s="90"/>
      <c r="AI953" s="90"/>
    </row>
    <row r="954">
      <c r="A954" s="32"/>
      <c r="D954" s="187"/>
      <c r="E954" s="90"/>
      <c r="F954" s="90"/>
      <c r="AE954" s="90"/>
      <c r="AF954" s="90"/>
      <c r="AG954" s="90"/>
      <c r="AH954" s="90"/>
      <c r="AI954" s="90"/>
    </row>
    <row r="955">
      <c r="A955" s="32"/>
      <c r="D955" s="187"/>
      <c r="E955" s="90"/>
      <c r="F955" s="90"/>
      <c r="AE955" s="90"/>
      <c r="AF955" s="90"/>
      <c r="AG955" s="90"/>
      <c r="AH955" s="90"/>
      <c r="AI955" s="90"/>
    </row>
    <row r="956">
      <c r="A956" s="32"/>
      <c r="D956" s="187"/>
      <c r="E956" s="90"/>
      <c r="F956" s="90"/>
      <c r="AE956" s="90"/>
      <c r="AF956" s="90"/>
      <c r="AG956" s="90"/>
      <c r="AH956" s="90"/>
      <c r="AI956" s="90"/>
    </row>
    <row r="957">
      <c r="A957" s="32"/>
      <c r="D957" s="187"/>
      <c r="E957" s="90"/>
      <c r="F957" s="90"/>
      <c r="AE957" s="90"/>
      <c r="AF957" s="90"/>
      <c r="AG957" s="90"/>
      <c r="AH957" s="90"/>
      <c r="AI957" s="90"/>
    </row>
    <row r="958">
      <c r="A958" s="32"/>
      <c r="D958" s="187"/>
      <c r="E958" s="90"/>
      <c r="F958" s="90"/>
      <c r="AE958" s="90"/>
      <c r="AF958" s="90"/>
      <c r="AG958" s="90"/>
      <c r="AH958" s="90"/>
      <c r="AI958" s="90"/>
    </row>
    <row r="959">
      <c r="A959" s="32"/>
      <c r="D959" s="187"/>
      <c r="E959" s="90"/>
      <c r="F959" s="90"/>
      <c r="AE959" s="90"/>
      <c r="AF959" s="90"/>
      <c r="AG959" s="90"/>
      <c r="AH959" s="90"/>
      <c r="AI959" s="90"/>
    </row>
    <row r="960">
      <c r="A960" s="32"/>
      <c r="D960" s="187"/>
      <c r="E960" s="90"/>
      <c r="F960" s="90"/>
      <c r="AE960" s="90"/>
      <c r="AF960" s="90"/>
      <c r="AG960" s="90"/>
      <c r="AH960" s="90"/>
      <c r="AI960" s="90"/>
    </row>
    <row r="961">
      <c r="A961" s="32"/>
      <c r="D961" s="187"/>
      <c r="E961" s="90"/>
      <c r="F961" s="90"/>
      <c r="AE961" s="90"/>
      <c r="AF961" s="90"/>
      <c r="AG961" s="90"/>
      <c r="AH961" s="90"/>
      <c r="AI961" s="90"/>
    </row>
    <row r="962">
      <c r="A962" s="32"/>
      <c r="D962" s="187"/>
      <c r="E962" s="90"/>
      <c r="F962" s="90"/>
      <c r="AE962" s="90"/>
      <c r="AF962" s="90"/>
      <c r="AG962" s="90"/>
      <c r="AH962" s="90"/>
      <c r="AI962" s="90"/>
    </row>
    <row r="963">
      <c r="A963" s="32"/>
      <c r="D963" s="187"/>
      <c r="E963" s="90"/>
      <c r="F963" s="90"/>
      <c r="AE963" s="90"/>
      <c r="AF963" s="90"/>
      <c r="AG963" s="90"/>
      <c r="AH963" s="90"/>
      <c r="AI963" s="90"/>
    </row>
    <row r="964">
      <c r="A964" s="32"/>
      <c r="D964" s="187"/>
      <c r="E964" s="90"/>
      <c r="F964" s="90"/>
      <c r="AE964" s="90"/>
      <c r="AF964" s="90"/>
      <c r="AG964" s="90"/>
      <c r="AH964" s="90"/>
      <c r="AI964" s="90"/>
    </row>
    <row r="965">
      <c r="A965" s="32"/>
      <c r="D965" s="187"/>
      <c r="E965" s="90"/>
      <c r="F965" s="90"/>
      <c r="AE965" s="90"/>
      <c r="AF965" s="90"/>
      <c r="AG965" s="90"/>
      <c r="AH965" s="90"/>
      <c r="AI965" s="90"/>
    </row>
    <row r="966">
      <c r="A966" s="32"/>
      <c r="D966" s="187"/>
      <c r="E966" s="90"/>
      <c r="F966" s="90"/>
      <c r="AE966" s="90"/>
      <c r="AF966" s="90"/>
      <c r="AG966" s="90"/>
      <c r="AH966" s="90"/>
      <c r="AI966" s="90"/>
    </row>
    <row r="967">
      <c r="A967" s="32"/>
      <c r="D967" s="187"/>
      <c r="E967" s="90"/>
      <c r="F967" s="90"/>
      <c r="AE967" s="90"/>
      <c r="AF967" s="90"/>
      <c r="AG967" s="90"/>
      <c r="AH967" s="90"/>
      <c r="AI967" s="90"/>
    </row>
    <row r="968">
      <c r="A968" s="32"/>
      <c r="D968" s="187"/>
      <c r="E968" s="90"/>
      <c r="F968" s="90"/>
      <c r="AE968" s="90"/>
      <c r="AF968" s="90"/>
      <c r="AG968" s="90"/>
      <c r="AH968" s="90"/>
      <c r="AI968" s="90"/>
    </row>
    <row r="969">
      <c r="A969" s="32"/>
      <c r="D969" s="187"/>
      <c r="E969" s="90"/>
      <c r="F969" s="90"/>
      <c r="AE969" s="90"/>
      <c r="AF969" s="90"/>
      <c r="AG969" s="90"/>
      <c r="AH969" s="90"/>
      <c r="AI969" s="90"/>
    </row>
    <row r="970">
      <c r="A970" s="32"/>
      <c r="D970" s="187"/>
      <c r="E970" s="90"/>
      <c r="F970" s="90"/>
      <c r="AE970" s="90"/>
      <c r="AF970" s="90"/>
      <c r="AG970" s="90"/>
      <c r="AH970" s="90"/>
      <c r="AI970" s="90"/>
    </row>
    <row r="971">
      <c r="A971" s="32"/>
      <c r="D971" s="187"/>
      <c r="E971" s="90"/>
      <c r="F971" s="90"/>
      <c r="AE971" s="90"/>
      <c r="AF971" s="90"/>
      <c r="AG971" s="90"/>
      <c r="AH971" s="90"/>
      <c r="AI971" s="90"/>
    </row>
    <row r="972">
      <c r="A972" s="32"/>
      <c r="D972" s="187"/>
      <c r="E972" s="90"/>
      <c r="F972" s="90"/>
      <c r="AE972" s="90"/>
      <c r="AF972" s="90"/>
      <c r="AG972" s="90"/>
      <c r="AH972" s="90"/>
      <c r="AI972" s="90"/>
    </row>
    <row r="973">
      <c r="A973" s="32"/>
      <c r="D973" s="187"/>
      <c r="E973" s="90"/>
      <c r="F973" s="90"/>
      <c r="AE973" s="90"/>
      <c r="AF973" s="90"/>
      <c r="AG973" s="90"/>
      <c r="AH973" s="90"/>
      <c r="AI973" s="90"/>
    </row>
    <row r="974">
      <c r="A974" s="32"/>
      <c r="D974" s="187"/>
      <c r="E974" s="90"/>
      <c r="F974" s="90"/>
      <c r="AE974" s="90"/>
      <c r="AF974" s="90"/>
      <c r="AG974" s="90"/>
      <c r="AH974" s="90"/>
      <c r="AI974" s="90"/>
    </row>
    <row r="975">
      <c r="A975" s="32"/>
      <c r="D975" s="187"/>
      <c r="E975" s="90"/>
      <c r="F975" s="90"/>
      <c r="AE975" s="90"/>
      <c r="AF975" s="90"/>
      <c r="AG975" s="90"/>
      <c r="AH975" s="90"/>
      <c r="AI975" s="90"/>
    </row>
    <row r="976">
      <c r="A976" s="32"/>
      <c r="D976" s="187"/>
      <c r="E976" s="90"/>
      <c r="F976" s="90"/>
      <c r="AE976" s="90"/>
      <c r="AF976" s="90"/>
      <c r="AG976" s="90"/>
      <c r="AH976" s="90"/>
      <c r="AI976" s="90"/>
    </row>
    <row r="977">
      <c r="A977" s="32"/>
      <c r="D977" s="187"/>
      <c r="E977" s="90"/>
      <c r="F977" s="90"/>
      <c r="AE977" s="90"/>
      <c r="AF977" s="90"/>
      <c r="AG977" s="90"/>
      <c r="AH977" s="90"/>
      <c r="AI977" s="90"/>
    </row>
    <row r="978">
      <c r="A978" s="32"/>
      <c r="D978" s="187"/>
      <c r="E978" s="90"/>
      <c r="F978" s="90"/>
      <c r="AE978" s="90"/>
      <c r="AF978" s="90"/>
      <c r="AG978" s="90"/>
      <c r="AH978" s="90"/>
      <c r="AI978" s="90"/>
    </row>
    <row r="979">
      <c r="A979" s="32"/>
      <c r="D979" s="187"/>
      <c r="E979" s="90"/>
      <c r="F979" s="90"/>
      <c r="AE979" s="90"/>
      <c r="AF979" s="90"/>
      <c r="AG979" s="90"/>
      <c r="AH979" s="90"/>
      <c r="AI979" s="90"/>
    </row>
    <row r="980">
      <c r="A980" s="32"/>
      <c r="D980" s="187"/>
      <c r="E980" s="90"/>
      <c r="F980" s="90"/>
      <c r="AE980" s="90"/>
      <c r="AF980" s="90"/>
      <c r="AG980" s="90"/>
      <c r="AH980" s="90"/>
      <c r="AI980" s="90"/>
    </row>
    <row r="981">
      <c r="A981" s="32"/>
      <c r="D981" s="187"/>
      <c r="E981" s="90"/>
      <c r="F981" s="90"/>
      <c r="AE981" s="90"/>
      <c r="AF981" s="90"/>
      <c r="AG981" s="90"/>
      <c r="AH981" s="90"/>
      <c r="AI981" s="90"/>
    </row>
    <row r="982">
      <c r="A982" s="32"/>
      <c r="D982" s="187"/>
      <c r="E982" s="90"/>
      <c r="F982" s="90"/>
      <c r="AE982" s="90"/>
      <c r="AF982" s="90"/>
      <c r="AG982" s="90"/>
      <c r="AH982" s="90"/>
      <c r="AI982" s="90"/>
    </row>
    <row r="983">
      <c r="A983" s="32"/>
      <c r="D983" s="187"/>
      <c r="E983" s="90"/>
      <c r="F983" s="90"/>
      <c r="AE983" s="90"/>
      <c r="AF983" s="90"/>
      <c r="AG983" s="90"/>
      <c r="AH983" s="90"/>
      <c r="AI983" s="90"/>
    </row>
    <row r="984">
      <c r="A984" s="32"/>
      <c r="D984" s="187"/>
      <c r="E984" s="90"/>
      <c r="F984" s="90"/>
      <c r="AE984" s="90"/>
      <c r="AF984" s="90"/>
      <c r="AG984" s="90"/>
      <c r="AH984" s="90"/>
      <c r="AI984" s="90"/>
    </row>
    <row r="985">
      <c r="A985" s="32"/>
      <c r="D985" s="187"/>
      <c r="E985" s="90"/>
      <c r="F985" s="90"/>
      <c r="AE985" s="90"/>
      <c r="AF985" s="90"/>
      <c r="AG985" s="90"/>
      <c r="AH985" s="90"/>
      <c r="AI985" s="90"/>
    </row>
    <row r="986">
      <c r="A986" s="32"/>
      <c r="D986" s="187"/>
      <c r="E986" s="90"/>
      <c r="F986" s="90"/>
      <c r="AE986" s="90"/>
      <c r="AF986" s="90"/>
      <c r="AG986" s="90"/>
      <c r="AH986" s="90"/>
      <c r="AI986" s="90"/>
    </row>
    <row r="987">
      <c r="A987" s="32"/>
      <c r="D987" s="187"/>
      <c r="E987" s="90"/>
      <c r="F987" s="90"/>
      <c r="AE987" s="90"/>
      <c r="AF987" s="90"/>
      <c r="AG987" s="90"/>
      <c r="AH987" s="90"/>
      <c r="AI987" s="90"/>
    </row>
    <row r="988">
      <c r="A988" s="32"/>
      <c r="D988" s="187"/>
      <c r="E988" s="90"/>
      <c r="F988" s="90"/>
      <c r="AE988" s="90"/>
      <c r="AF988" s="90"/>
      <c r="AG988" s="90"/>
      <c r="AH988" s="90"/>
      <c r="AI988" s="90"/>
    </row>
    <row r="989">
      <c r="A989" s="32"/>
      <c r="D989" s="187"/>
      <c r="E989" s="90"/>
      <c r="F989" s="90"/>
      <c r="AE989" s="90"/>
      <c r="AF989" s="90"/>
      <c r="AG989" s="90"/>
      <c r="AH989" s="90"/>
      <c r="AI989" s="90"/>
    </row>
    <row r="990">
      <c r="A990" s="32"/>
      <c r="D990" s="187"/>
      <c r="E990" s="90"/>
      <c r="F990" s="90"/>
      <c r="AE990" s="90"/>
      <c r="AF990" s="90"/>
      <c r="AG990" s="90"/>
      <c r="AH990" s="90"/>
      <c r="AI990" s="90"/>
    </row>
    <row r="991">
      <c r="A991" s="32"/>
      <c r="D991" s="187"/>
      <c r="E991" s="90"/>
      <c r="F991" s="90"/>
      <c r="AE991" s="90"/>
      <c r="AF991" s="90"/>
      <c r="AG991" s="90"/>
      <c r="AH991" s="90"/>
      <c r="AI991" s="90"/>
    </row>
    <row r="992">
      <c r="A992" s="32"/>
      <c r="D992" s="187"/>
      <c r="E992" s="90"/>
      <c r="F992" s="90"/>
      <c r="AE992" s="90"/>
      <c r="AF992" s="90"/>
      <c r="AG992" s="90"/>
      <c r="AH992" s="90"/>
      <c r="AI992" s="90"/>
    </row>
    <row r="993">
      <c r="A993" s="32"/>
      <c r="D993" s="187"/>
      <c r="E993" s="90"/>
      <c r="F993" s="90"/>
      <c r="AE993" s="90"/>
      <c r="AF993" s="90"/>
      <c r="AG993" s="90"/>
      <c r="AH993" s="90"/>
      <c r="AI993" s="90"/>
    </row>
    <row r="994">
      <c r="A994" s="32"/>
      <c r="D994" s="187"/>
      <c r="E994" s="90"/>
      <c r="F994" s="90"/>
      <c r="AE994" s="90"/>
      <c r="AF994" s="90"/>
      <c r="AG994" s="90"/>
      <c r="AH994" s="90"/>
      <c r="AI994" s="90"/>
    </row>
    <row r="995">
      <c r="A995" s="32"/>
      <c r="D995" s="187"/>
      <c r="E995" s="90"/>
      <c r="F995" s="90"/>
      <c r="AE995" s="90"/>
      <c r="AF995" s="90"/>
      <c r="AG995" s="90"/>
      <c r="AH995" s="90"/>
      <c r="AI995" s="90"/>
    </row>
    <row r="996">
      <c r="A996" s="32"/>
      <c r="D996" s="187"/>
      <c r="E996" s="90"/>
      <c r="F996" s="90"/>
      <c r="AE996" s="90"/>
      <c r="AF996" s="90"/>
      <c r="AG996" s="90"/>
      <c r="AH996" s="90"/>
      <c r="AI996" s="90"/>
    </row>
    <row r="997">
      <c r="A997" s="32"/>
      <c r="D997" s="187"/>
      <c r="E997" s="90"/>
      <c r="F997" s="90"/>
      <c r="AE997" s="90"/>
      <c r="AF997" s="90"/>
      <c r="AG997" s="90"/>
      <c r="AH997" s="90"/>
      <c r="AI997" s="90"/>
    </row>
    <row r="998">
      <c r="A998" s="32"/>
      <c r="D998" s="187"/>
      <c r="E998" s="90"/>
      <c r="F998" s="90"/>
      <c r="AE998" s="90"/>
      <c r="AF998" s="90"/>
      <c r="AG998" s="90"/>
      <c r="AH998" s="90"/>
      <c r="AI998" s="90"/>
    </row>
    <row r="999">
      <c r="A999" s="32"/>
      <c r="D999" s="187"/>
      <c r="E999" s="90"/>
      <c r="F999" s="90"/>
      <c r="AE999" s="90"/>
      <c r="AF999" s="90"/>
      <c r="AG999" s="90"/>
      <c r="AH999" s="90"/>
      <c r="AI999" s="90"/>
    </row>
    <row r="1000">
      <c r="A1000" s="32"/>
      <c r="D1000" s="187"/>
      <c r="E1000" s="90"/>
      <c r="F1000" s="90"/>
      <c r="AE1000" s="90"/>
      <c r="AF1000" s="90"/>
      <c r="AG1000" s="90"/>
      <c r="AH1000" s="90"/>
      <c r="AI1000" s="90"/>
    </row>
    <row r="1001">
      <c r="A1001" s="32"/>
      <c r="D1001" s="187"/>
      <c r="E1001" s="90"/>
      <c r="F1001" s="90"/>
      <c r="AE1001" s="90"/>
      <c r="AF1001" s="90"/>
      <c r="AG1001" s="90"/>
      <c r="AH1001" s="90"/>
      <c r="AI1001" s="90"/>
    </row>
    <row r="1002">
      <c r="A1002" s="32"/>
      <c r="D1002" s="187"/>
      <c r="E1002" s="90"/>
      <c r="F1002" s="90"/>
      <c r="AE1002" s="90"/>
      <c r="AF1002" s="90"/>
      <c r="AG1002" s="90"/>
      <c r="AH1002" s="90"/>
      <c r="AI1002" s="90"/>
    </row>
    <row r="1003">
      <c r="A1003" s="32"/>
      <c r="D1003" s="187"/>
      <c r="E1003" s="90"/>
      <c r="F1003" s="90"/>
      <c r="AE1003" s="90"/>
      <c r="AF1003" s="90"/>
      <c r="AG1003" s="90"/>
      <c r="AH1003" s="90"/>
      <c r="AI1003" s="90"/>
    </row>
    <row r="1004">
      <c r="A1004" s="32"/>
      <c r="D1004" s="187"/>
      <c r="E1004" s="90"/>
      <c r="F1004" s="90"/>
      <c r="AE1004" s="90"/>
      <c r="AF1004" s="90"/>
      <c r="AG1004" s="90"/>
      <c r="AH1004" s="90"/>
      <c r="AI1004" s="90"/>
    </row>
    <row r="1005">
      <c r="A1005" s="32"/>
      <c r="D1005" s="187"/>
      <c r="E1005" s="90"/>
      <c r="F1005" s="90"/>
      <c r="AE1005" s="90"/>
      <c r="AF1005" s="90"/>
      <c r="AG1005" s="90"/>
      <c r="AH1005" s="90"/>
      <c r="AI1005" s="90"/>
    </row>
    <row r="1006">
      <c r="A1006" s="32"/>
      <c r="D1006" s="187"/>
      <c r="E1006" s="90"/>
      <c r="F1006" s="90"/>
      <c r="AE1006" s="90"/>
      <c r="AF1006" s="90"/>
      <c r="AG1006" s="90"/>
      <c r="AH1006" s="90"/>
      <c r="AI1006" s="90"/>
    </row>
    <row r="1007">
      <c r="A1007" s="32"/>
      <c r="D1007" s="187"/>
      <c r="E1007" s="90"/>
      <c r="F1007" s="90"/>
      <c r="AE1007" s="90"/>
      <c r="AF1007" s="90"/>
      <c r="AG1007" s="90"/>
      <c r="AH1007" s="90"/>
      <c r="AI1007" s="90"/>
    </row>
    <row r="1008">
      <c r="A1008" s="32"/>
      <c r="D1008" s="187"/>
      <c r="E1008" s="90"/>
      <c r="F1008" s="90"/>
      <c r="AE1008" s="90"/>
      <c r="AF1008" s="90"/>
      <c r="AG1008" s="90"/>
      <c r="AH1008" s="90"/>
      <c r="AI1008" s="90"/>
    </row>
    <row r="1009">
      <c r="A1009" s="32"/>
      <c r="D1009" s="187"/>
      <c r="E1009" s="90"/>
      <c r="F1009" s="90"/>
      <c r="AE1009" s="90"/>
      <c r="AF1009" s="90"/>
      <c r="AG1009" s="90"/>
      <c r="AH1009" s="90"/>
      <c r="AI1009" s="90"/>
    </row>
    <row r="1010">
      <c r="A1010" s="32"/>
      <c r="D1010" s="187"/>
      <c r="E1010" s="90"/>
      <c r="F1010" s="90"/>
      <c r="AE1010" s="90"/>
      <c r="AF1010" s="90"/>
      <c r="AG1010" s="90"/>
      <c r="AH1010" s="90"/>
      <c r="AI1010" s="90"/>
    </row>
    <row r="1011">
      <c r="A1011" s="32"/>
      <c r="D1011" s="187"/>
      <c r="E1011" s="90"/>
      <c r="F1011" s="90"/>
      <c r="AE1011" s="90"/>
      <c r="AF1011" s="90"/>
      <c r="AG1011" s="90"/>
      <c r="AH1011" s="90"/>
      <c r="AI1011" s="90"/>
    </row>
    <row r="1012">
      <c r="A1012" s="32"/>
      <c r="D1012" s="187"/>
      <c r="E1012" s="90"/>
      <c r="F1012" s="90"/>
      <c r="AE1012" s="90"/>
      <c r="AF1012" s="90"/>
      <c r="AG1012" s="90"/>
      <c r="AH1012" s="90"/>
      <c r="AI1012" s="90"/>
    </row>
    <row r="1013">
      <c r="A1013" s="32"/>
      <c r="D1013" s="187"/>
      <c r="E1013" s="90"/>
      <c r="F1013" s="90"/>
      <c r="AE1013" s="90"/>
      <c r="AF1013" s="90"/>
      <c r="AG1013" s="90"/>
      <c r="AH1013" s="90"/>
      <c r="AI1013" s="90"/>
    </row>
    <row r="1014">
      <c r="A1014" s="32"/>
      <c r="D1014" s="187"/>
      <c r="E1014" s="90"/>
      <c r="F1014" s="90"/>
      <c r="AE1014" s="90"/>
      <c r="AF1014" s="90"/>
      <c r="AG1014" s="90"/>
      <c r="AH1014" s="90"/>
      <c r="AI1014" s="90"/>
    </row>
    <row r="1015">
      <c r="A1015" s="32"/>
      <c r="D1015" s="187"/>
      <c r="E1015" s="90"/>
      <c r="F1015" s="90"/>
      <c r="AE1015" s="90"/>
      <c r="AF1015" s="90"/>
      <c r="AG1015" s="90"/>
      <c r="AH1015" s="90"/>
      <c r="AI1015" s="90"/>
    </row>
    <row r="1016">
      <c r="A1016" s="32"/>
      <c r="D1016" s="187"/>
      <c r="E1016" s="90"/>
      <c r="F1016" s="90"/>
      <c r="AE1016" s="90"/>
      <c r="AF1016" s="90"/>
      <c r="AG1016" s="90"/>
      <c r="AH1016" s="77">
        <v>45706.0</v>
      </c>
      <c r="AI1016" s="90"/>
    </row>
  </sheetData>
  <autoFilter ref="$A$1:$AB$78"/>
  <mergeCells count="14">
    <mergeCell ref="AA1:AB1"/>
    <mergeCell ref="AC1:AD1"/>
    <mergeCell ref="AE1:AF1"/>
    <mergeCell ref="AG1:AH1"/>
    <mergeCell ref="AI1:AJ1"/>
    <mergeCell ref="G42:L42"/>
    <mergeCell ref="G59:L59"/>
    <mergeCell ref="M1:N1"/>
    <mergeCell ref="O1:P1"/>
    <mergeCell ref="Q1:R1"/>
    <mergeCell ref="S1:T1"/>
    <mergeCell ref="U1:V1"/>
    <mergeCell ref="W1:X1"/>
    <mergeCell ref="Y1:Z1"/>
  </mergeCells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7"/>
    <hyperlink r:id="rId15" ref="E18"/>
    <hyperlink r:id="rId16" ref="E20"/>
    <hyperlink r:id="rId17" ref="E21"/>
    <hyperlink r:id="rId18" ref="E23"/>
    <hyperlink r:id="rId19" ref="E27"/>
    <hyperlink r:id="rId20" ref="E28"/>
    <hyperlink r:id="rId21" ref="E29"/>
    <hyperlink r:id="rId22" ref="E30"/>
    <hyperlink r:id="rId23" ref="E33"/>
    <hyperlink r:id="rId24" ref="E34"/>
    <hyperlink r:id="rId25" ref="E35"/>
    <hyperlink r:id="rId26" ref="E36"/>
    <hyperlink r:id="rId27" ref="E37"/>
    <hyperlink r:id="rId28" ref="E38"/>
    <hyperlink r:id="rId29" ref="E39"/>
    <hyperlink r:id="rId30" ref="E40"/>
    <hyperlink r:id="rId31" ref="E41"/>
  </hyperlinks>
  <drawing r:id="rId32"/>
  <legacyDrawing r:id="rId3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5"/>
    <col customWidth="1" min="2" max="2" width="3.63"/>
    <col customWidth="1" min="3" max="3" width="21.63"/>
    <col customWidth="1" min="4" max="4" width="7.13"/>
    <col customWidth="1" min="5" max="5" width="18.88"/>
    <col customWidth="1" min="6" max="6" width="12.0"/>
    <col customWidth="1" min="7" max="7" width="29.5"/>
    <col customWidth="1" min="8" max="8" width="10.63"/>
    <col customWidth="1" min="9" max="9" width="11.25"/>
    <col customWidth="1" min="10" max="10" width="13.25"/>
    <col customWidth="1" min="11" max="11" width="10.5"/>
    <col customWidth="1" min="12" max="36" width="9.75"/>
  </cols>
  <sheetData>
    <row r="1">
      <c r="A1" s="215"/>
      <c r="B1" s="216"/>
      <c r="C1" s="55"/>
      <c r="D1" s="55"/>
      <c r="E1" s="57"/>
      <c r="F1" s="57"/>
      <c r="G1" s="58"/>
      <c r="H1" s="58"/>
      <c r="I1" s="55"/>
      <c r="J1" s="55"/>
      <c r="K1" s="55"/>
      <c r="L1" s="59"/>
      <c r="M1" s="217"/>
      <c r="N1" s="217"/>
      <c r="O1" s="217"/>
      <c r="P1" s="217"/>
      <c r="Q1" s="218" t="s">
        <v>231</v>
      </c>
      <c r="R1" s="219"/>
      <c r="S1" s="218" t="s">
        <v>232</v>
      </c>
      <c r="T1" s="219"/>
      <c r="U1" s="218" t="s">
        <v>233</v>
      </c>
      <c r="V1" s="219"/>
      <c r="W1" s="218" t="s">
        <v>234</v>
      </c>
      <c r="X1" s="219"/>
      <c r="Y1" s="218" t="s">
        <v>235</v>
      </c>
      <c r="Z1" s="219"/>
      <c r="AA1" s="218" t="s">
        <v>236</v>
      </c>
      <c r="AB1" s="219"/>
      <c r="AC1" s="218" t="s">
        <v>237</v>
      </c>
      <c r="AD1" s="219"/>
      <c r="AE1" s="218" t="s">
        <v>238</v>
      </c>
      <c r="AF1" s="219"/>
      <c r="AG1" s="218" t="s">
        <v>239</v>
      </c>
      <c r="AH1" s="219"/>
      <c r="AI1" s="218" t="s">
        <v>240</v>
      </c>
      <c r="AJ1" s="219"/>
    </row>
    <row r="2" ht="42.0" customHeight="1">
      <c r="A2" s="220" t="s">
        <v>241</v>
      </c>
      <c r="B2" s="221"/>
      <c r="C2" s="55" t="s">
        <v>56</v>
      </c>
      <c r="D2" s="55" t="s">
        <v>57</v>
      </c>
      <c r="E2" s="54" t="s">
        <v>58</v>
      </c>
      <c r="F2" s="222" t="s">
        <v>59</v>
      </c>
      <c r="G2" s="58" t="s">
        <v>60</v>
      </c>
      <c r="H2" s="58" t="s">
        <v>61</v>
      </c>
      <c r="I2" s="55" t="s">
        <v>62</v>
      </c>
      <c r="J2" s="54" t="s">
        <v>63</v>
      </c>
      <c r="K2" s="54" t="s">
        <v>242</v>
      </c>
      <c r="L2" s="59" t="s">
        <v>65</v>
      </c>
      <c r="M2" s="60" t="s">
        <v>66</v>
      </c>
      <c r="N2" s="6"/>
      <c r="O2" s="60" t="s">
        <v>243</v>
      </c>
      <c r="P2" s="6"/>
      <c r="Q2" s="223" t="s">
        <v>244</v>
      </c>
      <c r="R2" s="223" t="s">
        <v>245</v>
      </c>
      <c r="S2" s="223" t="s">
        <v>244</v>
      </c>
      <c r="T2" s="223" t="s">
        <v>245</v>
      </c>
      <c r="U2" s="223" t="s">
        <v>244</v>
      </c>
      <c r="V2" s="223" t="s">
        <v>245</v>
      </c>
      <c r="W2" s="223" t="s">
        <v>244</v>
      </c>
      <c r="X2" s="223" t="s">
        <v>245</v>
      </c>
      <c r="Y2" s="223" t="s">
        <v>244</v>
      </c>
      <c r="Z2" s="223" t="s">
        <v>245</v>
      </c>
      <c r="AA2" s="223" t="s">
        <v>244</v>
      </c>
      <c r="AB2" s="223" t="s">
        <v>245</v>
      </c>
      <c r="AC2" s="223" t="s">
        <v>244</v>
      </c>
      <c r="AD2" s="223" t="s">
        <v>245</v>
      </c>
      <c r="AE2" s="223" t="s">
        <v>244</v>
      </c>
      <c r="AF2" s="223" t="s">
        <v>245</v>
      </c>
      <c r="AG2" s="223" t="s">
        <v>244</v>
      </c>
      <c r="AH2" s="223" t="s">
        <v>245</v>
      </c>
      <c r="AI2" s="223" t="s">
        <v>244</v>
      </c>
      <c r="AJ2" s="223" t="s">
        <v>245</v>
      </c>
    </row>
    <row r="3">
      <c r="A3" s="224">
        <v>44013.0</v>
      </c>
      <c r="B3" s="225">
        <v>1.0</v>
      </c>
      <c r="C3" s="226" t="s">
        <v>246</v>
      </c>
      <c r="D3" s="227">
        <v>1.0</v>
      </c>
      <c r="E3" s="228" t="s">
        <v>247</v>
      </c>
      <c r="F3" s="229" t="s">
        <v>248</v>
      </c>
      <c r="G3" s="229" t="s">
        <v>249</v>
      </c>
      <c r="H3" s="227" t="s">
        <v>50</v>
      </c>
      <c r="I3" s="230">
        <v>1.00790035E8</v>
      </c>
      <c r="J3" s="230" t="s">
        <v>82</v>
      </c>
      <c r="K3" s="230" t="s">
        <v>250</v>
      </c>
      <c r="L3" s="231">
        <v>730.0</v>
      </c>
      <c r="M3" s="232">
        <v>730.0</v>
      </c>
      <c r="N3" s="233">
        <v>46009.0</v>
      </c>
      <c r="O3" s="232">
        <v>730.0</v>
      </c>
      <c r="P3" s="233">
        <v>45980.0</v>
      </c>
      <c r="Q3" s="232">
        <v>730.0</v>
      </c>
      <c r="R3" s="233">
        <v>45947.0</v>
      </c>
      <c r="S3" s="232">
        <v>730.0</v>
      </c>
      <c r="T3" s="234">
        <v>45919.0</v>
      </c>
      <c r="U3" s="232">
        <v>730.0</v>
      </c>
      <c r="V3" s="225">
        <v>730.0</v>
      </c>
      <c r="W3" s="232">
        <v>730.0</v>
      </c>
      <c r="X3" s="224">
        <v>45861.0</v>
      </c>
      <c r="Y3" s="232">
        <v>730.0</v>
      </c>
      <c r="Z3" s="224">
        <v>45827.0</v>
      </c>
      <c r="AA3" s="232">
        <v>700.0</v>
      </c>
      <c r="AB3" s="235">
        <v>45797.0</v>
      </c>
      <c r="AC3" s="232">
        <v>700.0</v>
      </c>
      <c r="AD3" s="235">
        <v>45763.0</v>
      </c>
      <c r="AE3" s="232">
        <v>700.0</v>
      </c>
      <c r="AF3" s="235">
        <v>45735.0</v>
      </c>
      <c r="AG3" s="236">
        <v>670.0</v>
      </c>
      <c r="AH3" s="224">
        <v>45706.0</v>
      </c>
      <c r="AI3" s="236">
        <v>670.0</v>
      </c>
      <c r="AJ3" s="224">
        <v>45678.0</v>
      </c>
      <c r="AK3" s="237"/>
      <c r="AL3" s="237"/>
      <c r="AM3" s="237"/>
      <c r="AN3" s="237"/>
      <c r="AO3" s="237"/>
      <c r="AP3" s="237"/>
      <c r="AQ3" s="237"/>
      <c r="AR3" s="237"/>
      <c r="AS3" s="237"/>
      <c r="AT3" s="237"/>
    </row>
    <row r="4">
      <c r="A4" s="224">
        <v>44136.0</v>
      </c>
      <c r="B4" s="225">
        <v>2.0</v>
      </c>
      <c r="C4" s="226" t="s">
        <v>251</v>
      </c>
      <c r="D4" s="227">
        <v>1.0</v>
      </c>
      <c r="E4" s="228" t="s">
        <v>252</v>
      </c>
      <c r="F4" s="229" t="s">
        <v>248</v>
      </c>
      <c r="G4" s="238" t="s">
        <v>253</v>
      </c>
      <c r="H4" s="227" t="s">
        <v>50</v>
      </c>
      <c r="I4" s="230">
        <v>1.06758698E8</v>
      </c>
      <c r="J4" s="230" t="s">
        <v>82</v>
      </c>
      <c r="K4" s="230" t="s">
        <v>250</v>
      </c>
      <c r="L4" s="231">
        <v>550.0</v>
      </c>
      <c r="M4" s="232">
        <v>550.0</v>
      </c>
      <c r="N4" s="233">
        <v>46009.0</v>
      </c>
      <c r="O4" s="232">
        <v>550.0</v>
      </c>
      <c r="P4" s="233">
        <v>45980.0</v>
      </c>
      <c r="Q4" s="232">
        <v>550.0</v>
      </c>
      <c r="R4" s="233">
        <v>45947.0</v>
      </c>
      <c r="S4" s="232">
        <v>550.0</v>
      </c>
      <c r="T4" s="234">
        <v>45919.0</v>
      </c>
      <c r="U4" s="232">
        <v>550.0</v>
      </c>
      <c r="V4" s="225">
        <v>550.0</v>
      </c>
      <c r="W4" s="232">
        <v>550.0</v>
      </c>
      <c r="X4" s="224">
        <v>45861.0</v>
      </c>
      <c r="Y4" s="232">
        <v>550.0</v>
      </c>
      <c r="Z4" s="224">
        <v>45827.0</v>
      </c>
      <c r="AA4" s="232">
        <v>550.0</v>
      </c>
      <c r="AB4" s="235">
        <v>45797.0</v>
      </c>
      <c r="AC4" s="232">
        <v>550.0</v>
      </c>
      <c r="AD4" s="235">
        <v>45763.0</v>
      </c>
      <c r="AE4" s="232">
        <v>550.0</v>
      </c>
      <c r="AF4" s="235">
        <v>45735.0</v>
      </c>
      <c r="AG4" s="239">
        <v>550.0</v>
      </c>
      <c r="AH4" s="224">
        <v>45706.0</v>
      </c>
      <c r="AI4" s="239">
        <v>550.0</v>
      </c>
      <c r="AJ4" s="224">
        <v>45678.0</v>
      </c>
      <c r="AK4" s="237"/>
      <c r="AL4" s="237"/>
      <c r="AM4" s="237"/>
      <c r="AN4" s="237"/>
      <c r="AO4" s="237"/>
      <c r="AP4" s="237"/>
      <c r="AQ4" s="237"/>
      <c r="AR4" s="237"/>
      <c r="AS4" s="237"/>
      <c r="AT4" s="237"/>
    </row>
    <row r="5">
      <c r="A5" s="224">
        <v>44136.0</v>
      </c>
      <c r="B5" s="225">
        <v>3.0</v>
      </c>
      <c r="C5" s="226" t="s">
        <v>254</v>
      </c>
      <c r="D5" s="227">
        <v>1.0</v>
      </c>
      <c r="E5" s="240" t="s">
        <v>255</v>
      </c>
      <c r="F5" s="229" t="s">
        <v>248</v>
      </c>
      <c r="G5" s="241" t="s">
        <v>256</v>
      </c>
      <c r="H5" s="227" t="s">
        <v>50</v>
      </c>
      <c r="I5" s="242">
        <v>1.00896498E8</v>
      </c>
      <c r="J5" s="230" t="s">
        <v>82</v>
      </c>
      <c r="K5" s="230" t="s">
        <v>250</v>
      </c>
      <c r="L5" s="231">
        <v>500.0</v>
      </c>
      <c r="M5" s="232">
        <v>500.0</v>
      </c>
      <c r="N5" s="233">
        <v>46009.0</v>
      </c>
      <c r="O5" s="232">
        <v>500.0</v>
      </c>
      <c r="P5" s="233">
        <v>45980.0</v>
      </c>
      <c r="Q5" s="232">
        <v>500.0</v>
      </c>
      <c r="R5" s="233">
        <v>45947.0</v>
      </c>
      <c r="S5" s="232">
        <v>500.0</v>
      </c>
      <c r="T5" s="234">
        <v>45919.0</v>
      </c>
      <c r="U5" s="232">
        <v>500.0</v>
      </c>
      <c r="V5" s="225">
        <v>500.0</v>
      </c>
      <c r="W5" s="232">
        <v>500.0</v>
      </c>
      <c r="X5" s="224">
        <v>45861.0</v>
      </c>
      <c r="Y5" s="232">
        <v>500.0</v>
      </c>
      <c r="Z5" s="224">
        <v>45827.0</v>
      </c>
      <c r="AA5" s="232">
        <v>500.0</v>
      </c>
      <c r="AB5" s="235">
        <v>45797.0</v>
      </c>
      <c r="AC5" s="232">
        <v>500.0</v>
      </c>
      <c r="AD5" s="235">
        <v>45763.0</v>
      </c>
      <c r="AE5" s="232">
        <v>500.0</v>
      </c>
      <c r="AF5" s="235">
        <v>45735.0</v>
      </c>
      <c r="AG5" s="239">
        <v>550.0</v>
      </c>
      <c r="AH5" s="224">
        <v>45706.0</v>
      </c>
      <c r="AI5" s="239">
        <v>500.0</v>
      </c>
      <c r="AJ5" s="224">
        <v>45678.0</v>
      </c>
      <c r="AK5" s="237"/>
      <c r="AL5" s="237"/>
      <c r="AM5" s="237"/>
      <c r="AN5" s="237"/>
      <c r="AO5" s="237"/>
      <c r="AP5" s="237"/>
      <c r="AQ5" s="237"/>
      <c r="AR5" s="237"/>
      <c r="AS5" s="237"/>
      <c r="AT5" s="237"/>
    </row>
    <row r="6">
      <c r="A6" s="243">
        <v>45200.0</v>
      </c>
      <c r="B6" s="244">
        <v>4.0</v>
      </c>
      <c r="C6" s="245" t="s">
        <v>257</v>
      </c>
      <c r="D6" s="246">
        <v>4.0</v>
      </c>
      <c r="E6" s="247"/>
      <c r="F6" s="247" t="s">
        <v>258</v>
      </c>
      <c r="G6" s="247" t="s">
        <v>259</v>
      </c>
      <c r="H6" s="246" t="s">
        <v>260</v>
      </c>
      <c r="I6" s="248">
        <v>1364654.0</v>
      </c>
      <c r="J6" s="249" t="s">
        <v>261</v>
      </c>
      <c r="K6" s="249" t="s">
        <v>250</v>
      </c>
      <c r="L6" s="250">
        <v>502.0</v>
      </c>
      <c r="M6" s="251">
        <v>502.0</v>
      </c>
      <c r="N6" s="252">
        <v>46009.0</v>
      </c>
      <c r="O6" s="251">
        <v>502.0</v>
      </c>
      <c r="P6" s="251" t="s">
        <v>262</v>
      </c>
      <c r="Q6" s="251">
        <v>502.0</v>
      </c>
      <c r="R6" s="252">
        <v>45947.0</v>
      </c>
      <c r="S6" s="251">
        <v>502.0</v>
      </c>
      <c r="T6" s="253">
        <v>45919.0</v>
      </c>
      <c r="U6" s="251">
        <v>502.0</v>
      </c>
      <c r="V6" s="244">
        <v>502.0</v>
      </c>
      <c r="W6" s="251">
        <v>502.0</v>
      </c>
      <c r="X6" s="243">
        <v>45861.0</v>
      </c>
      <c r="Y6" s="251">
        <v>502.0</v>
      </c>
      <c r="Z6" s="243">
        <v>45826.0</v>
      </c>
      <c r="AA6" s="251">
        <v>502.0</v>
      </c>
      <c r="AB6" s="254">
        <v>45797.0</v>
      </c>
      <c r="AC6" s="251">
        <v>502.0</v>
      </c>
      <c r="AD6" s="254">
        <v>45763.0</v>
      </c>
      <c r="AE6" s="251">
        <v>502.0</v>
      </c>
      <c r="AF6" s="254">
        <v>45735.0</v>
      </c>
      <c r="AG6" s="255">
        <v>502.0</v>
      </c>
      <c r="AH6" s="243">
        <v>45706.0</v>
      </c>
      <c r="AI6" s="255">
        <v>502.0</v>
      </c>
      <c r="AJ6" s="243">
        <v>45678.0</v>
      </c>
      <c r="AK6" s="256"/>
      <c r="AL6" s="256"/>
      <c r="AM6" s="256"/>
      <c r="AN6" s="256"/>
      <c r="AO6" s="256"/>
      <c r="AP6" s="256"/>
      <c r="AQ6" s="256"/>
      <c r="AR6" s="256"/>
      <c r="AS6" s="256"/>
      <c r="AT6" s="256"/>
    </row>
    <row r="7" hidden="1">
      <c r="A7" s="77"/>
      <c r="B7" s="74"/>
      <c r="C7" s="257" t="s">
        <v>263</v>
      </c>
      <c r="D7" s="258">
        <v>4.0</v>
      </c>
      <c r="E7" s="259"/>
      <c r="F7" s="121" t="s">
        <v>264</v>
      </c>
      <c r="G7" s="121" t="s">
        <v>265</v>
      </c>
      <c r="H7" s="72" t="s">
        <v>266</v>
      </c>
      <c r="I7" s="173">
        <v>6.063194562E9</v>
      </c>
      <c r="J7" s="260" t="s">
        <v>261</v>
      </c>
      <c r="K7" s="260" t="s">
        <v>267</v>
      </c>
      <c r="L7" s="231"/>
      <c r="M7" s="261"/>
      <c r="N7" s="262"/>
      <c r="O7" s="261"/>
      <c r="P7" s="263"/>
      <c r="Q7" s="261"/>
      <c r="R7" s="75"/>
      <c r="S7" s="261"/>
      <c r="T7" s="264"/>
      <c r="U7" s="261"/>
      <c r="V7" s="88"/>
      <c r="W7" s="265"/>
      <c r="X7" s="88"/>
      <c r="Y7" s="261"/>
      <c r="Z7" s="77"/>
      <c r="AA7" s="261"/>
      <c r="AB7" s="266"/>
      <c r="AC7" s="261"/>
      <c r="AD7" s="78"/>
      <c r="AE7" s="261"/>
      <c r="AF7" s="266"/>
      <c r="AG7" s="267"/>
      <c r="AH7" s="88"/>
      <c r="AI7" s="267"/>
      <c r="AJ7" s="77"/>
    </row>
    <row r="8">
      <c r="A8" s="268"/>
      <c r="B8" s="269"/>
      <c r="C8" s="270" t="s">
        <v>263</v>
      </c>
      <c r="D8" s="271">
        <v>4.0</v>
      </c>
      <c r="E8" s="272"/>
      <c r="F8" s="272" t="s">
        <v>264</v>
      </c>
      <c r="G8" s="272" t="s">
        <v>268</v>
      </c>
      <c r="H8" s="273" t="s">
        <v>50</v>
      </c>
      <c r="I8" s="274" t="s">
        <v>269</v>
      </c>
      <c r="J8" s="275" t="s">
        <v>261</v>
      </c>
      <c r="K8" s="275" t="s">
        <v>270</v>
      </c>
      <c r="L8" s="276">
        <v>550.0</v>
      </c>
      <c r="M8" s="277">
        <v>550.0</v>
      </c>
      <c r="N8" s="278">
        <v>46009.0</v>
      </c>
      <c r="O8" s="277">
        <v>550.0</v>
      </c>
      <c r="P8" s="278">
        <v>45980.0</v>
      </c>
      <c r="Q8" s="277">
        <v>550.0</v>
      </c>
      <c r="R8" s="278">
        <v>45947.0</v>
      </c>
      <c r="S8" s="277">
        <v>550.0</v>
      </c>
      <c r="T8" s="279">
        <v>45919.0</v>
      </c>
      <c r="U8" s="277">
        <v>550.0</v>
      </c>
      <c r="V8" s="269">
        <v>550.0</v>
      </c>
      <c r="W8" s="277">
        <v>550.0</v>
      </c>
      <c r="X8" s="268">
        <v>45859.0</v>
      </c>
      <c r="Y8" s="277">
        <v>550.0</v>
      </c>
      <c r="Z8" s="268">
        <v>45827.0</v>
      </c>
      <c r="AA8" s="277">
        <v>550.0</v>
      </c>
      <c r="AB8" s="280">
        <v>45796.0</v>
      </c>
      <c r="AC8" s="277">
        <v>500.0</v>
      </c>
      <c r="AD8" s="280">
        <v>45763.0</v>
      </c>
      <c r="AE8" s="277">
        <v>500.0</v>
      </c>
      <c r="AF8" s="280">
        <v>45735.0</v>
      </c>
      <c r="AG8" s="281">
        <v>500.0</v>
      </c>
      <c r="AH8" s="268">
        <v>45706.0</v>
      </c>
      <c r="AI8" s="281">
        <v>500.0</v>
      </c>
      <c r="AJ8" s="268">
        <v>45678.0</v>
      </c>
      <c r="AK8" s="282"/>
      <c r="AL8" s="282"/>
      <c r="AM8" s="282"/>
      <c r="AN8" s="282"/>
      <c r="AO8" s="282"/>
      <c r="AP8" s="282"/>
      <c r="AQ8" s="282"/>
      <c r="AR8" s="282"/>
      <c r="AS8" s="282"/>
      <c r="AT8" s="282"/>
    </row>
    <row r="9" hidden="1">
      <c r="A9" s="77">
        <v>44348.0</v>
      </c>
      <c r="B9" s="74">
        <v>5.0</v>
      </c>
      <c r="C9" s="283" t="s">
        <v>271</v>
      </c>
      <c r="D9" s="284">
        <v>2.0</v>
      </c>
      <c r="E9" s="259"/>
      <c r="F9" s="121" t="s">
        <v>264</v>
      </c>
      <c r="G9" s="121" t="s">
        <v>272</v>
      </c>
      <c r="H9" s="115" t="s">
        <v>273</v>
      </c>
      <c r="I9" s="285" t="s">
        <v>30</v>
      </c>
      <c r="J9" s="260" t="s">
        <v>261</v>
      </c>
      <c r="K9" s="260" t="s">
        <v>201</v>
      </c>
      <c r="L9" s="231" t="s">
        <v>274</v>
      </c>
      <c r="M9" s="261"/>
      <c r="N9" s="262"/>
      <c r="O9" s="261"/>
      <c r="P9" s="263"/>
      <c r="Q9" s="261"/>
      <c r="R9" s="75"/>
      <c r="S9" s="261"/>
      <c r="T9" s="264"/>
      <c r="U9" s="261"/>
      <c r="V9" s="88"/>
      <c r="W9" s="261"/>
      <c r="X9" s="88"/>
      <c r="Y9" s="261"/>
      <c r="Z9" s="88"/>
      <c r="AA9" s="261"/>
      <c r="AB9" s="266"/>
      <c r="AC9" s="261"/>
      <c r="AD9" s="78"/>
      <c r="AE9" s="261"/>
      <c r="AF9" s="266"/>
      <c r="AG9" s="267"/>
      <c r="AH9" s="88"/>
      <c r="AI9" s="267"/>
      <c r="AJ9" s="77"/>
    </row>
    <row r="10" hidden="1">
      <c r="A10" s="77">
        <v>44348.0</v>
      </c>
      <c r="B10" s="74">
        <v>6.0</v>
      </c>
      <c r="C10" s="286" t="s">
        <v>275</v>
      </c>
      <c r="D10" s="287">
        <v>1.0</v>
      </c>
      <c r="E10" s="259"/>
      <c r="F10" s="121" t="s">
        <v>264</v>
      </c>
      <c r="G10" s="121" t="s">
        <v>272</v>
      </c>
      <c r="H10" s="115" t="s">
        <v>273</v>
      </c>
      <c r="I10" s="285" t="s">
        <v>30</v>
      </c>
      <c r="J10" s="260" t="s">
        <v>261</v>
      </c>
      <c r="K10" s="260" t="s">
        <v>201</v>
      </c>
      <c r="L10" s="231" t="s">
        <v>274</v>
      </c>
      <c r="M10" s="261"/>
      <c r="N10" s="262"/>
      <c r="O10" s="261"/>
      <c r="P10" s="263"/>
      <c r="Q10" s="261"/>
      <c r="R10" s="75"/>
      <c r="S10" s="261"/>
      <c r="T10" s="264"/>
      <c r="U10" s="261"/>
      <c r="V10" s="88"/>
      <c r="W10" s="261"/>
      <c r="X10" s="88"/>
      <c r="Y10" s="261"/>
      <c r="Z10" s="88"/>
      <c r="AA10" s="261"/>
      <c r="AB10" s="266"/>
      <c r="AC10" s="261"/>
      <c r="AD10" s="78"/>
      <c r="AE10" s="261"/>
      <c r="AF10" s="266"/>
      <c r="AG10" s="267"/>
      <c r="AH10" s="88"/>
      <c r="AI10" s="267"/>
      <c r="AJ10" s="77"/>
    </row>
    <row r="11" hidden="1">
      <c r="A11" s="77">
        <v>44348.0</v>
      </c>
      <c r="B11" s="74">
        <v>7.0</v>
      </c>
      <c r="C11" s="286" t="s">
        <v>276</v>
      </c>
      <c r="D11" s="287">
        <v>2.0</v>
      </c>
      <c r="E11" s="259"/>
      <c r="F11" s="121" t="s">
        <v>264</v>
      </c>
      <c r="G11" s="121" t="s">
        <v>272</v>
      </c>
      <c r="H11" s="115" t="s">
        <v>273</v>
      </c>
      <c r="I11" s="285" t="s">
        <v>30</v>
      </c>
      <c r="J11" s="260" t="s">
        <v>261</v>
      </c>
      <c r="K11" s="260" t="s">
        <v>201</v>
      </c>
      <c r="L11" s="231" t="s">
        <v>274</v>
      </c>
      <c r="M11" s="261"/>
      <c r="N11" s="262"/>
      <c r="O11" s="261"/>
      <c r="P11" s="263"/>
      <c r="Q11" s="261"/>
      <c r="R11" s="75"/>
      <c r="S11" s="261"/>
      <c r="T11" s="264"/>
      <c r="U11" s="261"/>
      <c r="V11" s="88"/>
      <c r="W11" s="261"/>
      <c r="X11" s="88"/>
      <c r="Y11" s="261"/>
      <c r="Z11" s="88"/>
      <c r="AA11" s="261"/>
      <c r="AB11" s="266"/>
      <c r="AC11" s="261"/>
      <c r="AD11" s="78"/>
      <c r="AE11" s="261"/>
      <c r="AF11" s="266"/>
      <c r="AG11" s="267"/>
      <c r="AH11" s="88"/>
      <c r="AI11" s="267"/>
      <c r="AJ11" s="77"/>
    </row>
    <row r="12" hidden="1">
      <c r="A12" s="77">
        <v>44348.0</v>
      </c>
      <c r="B12" s="74">
        <v>8.0</v>
      </c>
      <c r="C12" s="286" t="s">
        <v>277</v>
      </c>
      <c r="D12" s="287">
        <v>1.0</v>
      </c>
      <c r="E12" s="259"/>
      <c r="F12" s="121" t="s">
        <v>264</v>
      </c>
      <c r="G12" s="121" t="s">
        <v>272</v>
      </c>
      <c r="H12" s="115" t="s">
        <v>273</v>
      </c>
      <c r="I12" s="285" t="s">
        <v>30</v>
      </c>
      <c r="J12" s="260" t="s">
        <v>261</v>
      </c>
      <c r="K12" s="260" t="s">
        <v>201</v>
      </c>
      <c r="L12" s="231" t="s">
        <v>274</v>
      </c>
      <c r="M12" s="261"/>
      <c r="N12" s="262"/>
      <c r="O12" s="261"/>
      <c r="P12" s="263"/>
      <c r="Q12" s="261"/>
      <c r="R12" s="75"/>
      <c r="S12" s="261"/>
      <c r="T12" s="264"/>
      <c r="U12" s="261"/>
      <c r="V12" s="88"/>
      <c r="W12" s="261"/>
      <c r="X12" s="88"/>
      <c r="Y12" s="261"/>
      <c r="Z12" s="88"/>
      <c r="AA12" s="261"/>
      <c r="AB12" s="266"/>
      <c r="AC12" s="261"/>
      <c r="AD12" s="78"/>
      <c r="AE12" s="261"/>
      <c r="AF12" s="266"/>
      <c r="AG12" s="267"/>
      <c r="AH12" s="88"/>
      <c r="AI12" s="267"/>
      <c r="AJ12" s="77"/>
    </row>
    <row r="13" hidden="1">
      <c r="A13" s="77">
        <v>44378.0</v>
      </c>
      <c r="B13" s="74">
        <v>9.0</v>
      </c>
      <c r="C13" s="286" t="s">
        <v>278</v>
      </c>
      <c r="D13" s="287">
        <v>3.0</v>
      </c>
      <c r="E13" s="259"/>
      <c r="F13" s="121" t="s">
        <v>264</v>
      </c>
      <c r="G13" s="121" t="s">
        <v>272</v>
      </c>
      <c r="H13" s="115" t="s">
        <v>273</v>
      </c>
      <c r="I13" s="285" t="s">
        <v>30</v>
      </c>
      <c r="J13" s="260" t="s">
        <v>261</v>
      </c>
      <c r="K13" s="260" t="s">
        <v>201</v>
      </c>
      <c r="L13" s="231" t="s">
        <v>274</v>
      </c>
      <c r="M13" s="261"/>
      <c r="N13" s="262"/>
      <c r="O13" s="261"/>
      <c r="P13" s="263"/>
      <c r="Q13" s="261"/>
      <c r="R13" s="75"/>
      <c r="S13" s="261"/>
      <c r="T13" s="264"/>
      <c r="U13" s="261"/>
      <c r="V13" s="88"/>
      <c r="W13" s="261"/>
      <c r="X13" s="88"/>
      <c r="Y13" s="261"/>
      <c r="Z13" s="88"/>
      <c r="AA13" s="261"/>
      <c r="AB13" s="266"/>
      <c r="AC13" s="261"/>
      <c r="AD13" s="78"/>
      <c r="AE13" s="261"/>
      <c r="AF13" s="266"/>
      <c r="AG13" s="267"/>
      <c r="AH13" s="88"/>
      <c r="AI13" s="267"/>
      <c r="AJ13" s="77"/>
    </row>
    <row r="14" hidden="1">
      <c r="A14" s="77">
        <v>44378.0</v>
      </c>
      <c r="B14" s="74">
        <v>10.0</v>
      </c>
      <c r="C14" s="286" t="s">
        <v>279</v>
      </c>
      <c r="D14" s="287">
        <v>3.0</v>
      </c>
      <c r="E14" s="259"/>
      <c r="F14" s="121" t="s">
        <v>264</v>
      </c>
      <c r="G14" s="121" t="s">
        <v>272</v>
      </c>
      <c r="H14" s="115" t="s">
        <v>273</v>
      </c>
      <c r="I14" s="285" t="s">
        <v>30</v>
      </c>
      <c r="J14" s="260" t="s">
        <v>261</v>
      </c>
      <c r="K14" s="260" t="s">
        <v>201</v>
      </c>
      <c r="L14" s="231" t="s">
        <v>274</v>
      </c>
      <c r="M14" s="261"/>
      <c r="N14" s="262"/>
      <c r="O14" s="261"/>
      <c r="P14" s="263"/>
      <c r="Q14" s="261"/>
      <c r="R14" s="75"/>
      <c r="S14" s="261"/>
      <c r="T14" s="264"/>
      <c r="U14" s="261"/>
      <c r="V14" s="88"/>
      <c r="W14" s="261"/>
      <c r="X14" s="88"/>
      <c r="Y14" s="261"/>
      <c r="Z14" s="88"/>
      <c r="AA14" s="261"/>
      <c r="AB14" s="266"/>
      <c r="AC14" s="261"/>
      <c r="AD14" s="78"/>
      <c r="AE14" s="261"/>
      <c r="AF14" s="266"/>
      <c r="AG14" s="267"/>
      <c r="AH14" s="88"/>
      <c r="AI14" s="267"/>
      <c r="AJ14" s="77"/>
    </row>
    <row r="15" hidden="1">
      <c r="A15" s="77">
        <v>44348.0</v>
      </c>
      <c r="B15" s="74">
        <v>11.0</v>
      </c>
      <c r="C15" s="286" t="s">
        <v>280</v>
      </c>
      <c r="D15" s="287">
        <v>1.0</v>
      </c>
      <c r="E15" s="259"/>
      <c r="F15" s="121" t="s">
        <v>264</v>
      </c>
      <c r="G15" s="121" t="s">
        <v>272</v>
      </c>
      <c r="H15" s="115" t="s">
        <v>273</v>
      </c>
      <c r="I15" s="285" t="s">
        <v>30</v>
      </c>
      <c r="J15" s="260" t="s">
        <v>261</v>
      </c>
      <c r="K15" s="260" t="s">
        <v>201</v>
      </c>
      <c r="L15" s="231" t="s">
        <v>274</v>
      </c>
      <c r="M15" s="261"/>
      <c r="N15" s="262"/>
      <c r="O15" s="261"/>
      <c r="P15" s="263"/>
      <c r="Q15" s="261"/>
      <c r="R15" s="75"/>
      <c r="S15" s="261"/>
      <c r="T15" s="264"/>
      <c r="U15" s="261"/>
      <c r="V15" s="88"/>
      <c r="W15" s="261"/>
      <c r="X15" s="88"/>
      <c r="Y15" s="261"/>
      <c r="Z15" s="88"/>
      <c r="AA15" s="261"/>
      <c r="AB15" s="266"/>
      <c r="AC15" s="261"/>
      <c r="AD15" s="78"/>
      <c r="AE15" s="261"/>
      <c r="AF15" s="266"/>
      <c r="AG15" s="267"/>
      <c r="AH15" s="88"/>
      <c r="AI15" s="267"/>
      <c r="AJ15" s="77"/>
    </row>
    <row r="16" hidden="1">
      <c r="A16" s="77">
        <v>45383.0</v>
      </c>
      <c r="B16" s="74">
        <v>12.0</v>
      </c>
      <c r="C16" s="286" t="s">
        <v>281</v>
      </c>
      <c r="D16" s="287">
        <v>1.0</v>
      </c>
      <c r="E16" s="177" t="s">
        <v>282</v>
      </c>
      <c r="F16" s="121" t="s">
        <v>264</v>
      </c>
      <c r="G16" s="121" t="s">
        <v>272</v>
      </c>
      <c r="H16" s="115" t="s">
        <v>273</v>
      </c>
      <c r="I16" s="285" t="s">
        <v>30</v>
      </c>
      <c r="J16" s="260" t="s">
        <v>261</v>
      </c>
      <c r="K16" s="260" t="s">
        <v>201</v>
      </c>
      <c r="L16" s="231" t="s">
        <v>274</v>
      </c>
      <c r="M16" s="261"/>
      <c r="N16" s="262"/>
      <c r="O16" s="261"/>
      <c r="P16" s="263"/>
      <c r="Q16" s="261"/>
      <c r="R16" s="75"/>
      <c r="S16" s="261"/>
      <c r="T16" s="264"/>
      <c r="U16" s="261"/>
      <c r="V16" s="88"/>
      <c r="W16" s="261"/>
      <c r="X16" s="88"/>
      <c r="Y16" s="261"/>
      <c r="Z16" s="88"/>
      <c r="AA16" s="261"/>
      <c r="AB16" s="266"/>
      <c r="AC16" s="261"/>
      <c r="AD16" s="78"/>
      <c r="AE16" s="261"/>
      <c r="AF16" s="266"/>
      <c r="AG16" s="267"/>
      <c r="AH16" s="88"/>
      <c r="AI16" s="267"/>
      <c r="AJ16" s="77"/>
    </row>
    <row r="17" hidden="1">
      <c r="A17" s="77">
        <v>45352.0</v>
      </c>
      <c r="B17" s="74">
        <v>13.0</v>
      </c>
      <c r="C17" s="288" t="s">
        <v>283</v>
      </c>
      <c r="D17" s="287">
        <v>4.0</v>
      </c>
      <c r="E17" s="177" t="s">
        <v>284</v>
      </c>
      <c r="F17" s="121" t="s">
        <v>264</v>
      </c>
      <c r="G17" s="121" t="s">
        <v>272</v>
      </c>
      <c r="H17" s="115" t="s">
        <v>273</v>
      </c>
      <c r="I17" s="285" t="s">
        <v>30</v>
      </c>
      <c r="J17" s="260" t="s">
        <v>261</v>
      </c>
      <c r="K17" s="260" t="s">
        <v>201</v>
      </c>
      <c r="L17" s="231" t="s">
        <v>274</v>
      </c>
      <c r="M17" s="261"/>
      <c r="N17" s="262"/>
      <c r="O17" s="261"/>
      <c r="P17" s="263"/>
      <c r="Q17" s="261"/>
      <c r="R17" s="75"/>
      <c r="S17" s="261"/>
      <c r="T17" s="264"/>
      <c r="U17" s="261"/>
      <c r="V17" s="88"/>
      <c r="W17" s="261"/>
      <c r="X17" s="88"/>
      <c r="Y17" s="261"/>
      <c r="Z17" s="88"/>
      <c r="AA17" s="261"/>
      <c r="AB17" s="266"/>
      <c r="AC17" s="261"/>
      <c r="AD17" s="78"/>
      <c r="AE17" s="261"/>
      <c r="AF17" s="266"/>
      <c r="AG17" s="267"/>
      <c r="AH17" s="88"/>
      <c r="AI17" s="267"/>
      <c r="AJ17" s="77"/>
    </row>
    <row r="18" hidden="1">
      <c r="A18" s="77">
        <v>45352.0</v>
      </c>
      <c r="B18" s="74">
        <v>14.0</v>
      </c>
      <c r="C18" s="288" t="s">
        <v>285</v>
      </c>
      <c r="D18" s="287">
        <v>5.0</v>
      </c>
      <c r="E18" s="177" t="s">
        <v>286</v>
      </c>
      <c r="F18" s="121" t="s">
        <v>264</v>
      </c>
      <c r="G18" s="121" t="s">
        <v>272</v>
      </c>
      <c r="H18" s="115" t="s">
        <v>273</v>
      </c>
      <c r="I18" s="285" t="s">
        <v>30</v>
      </c>
      <c r="J18" s="260" t="s">
        <v>261</v>
      </c>
      <c r="K18" s="260" t="s">
        <v>201</v>
      </c>
      <c r="L18" s="231" t="s">
        <v>274</v>
      </c>
      <c r="M18" s="261"/>
      <c r="N18" s="262"/>
      <c r="O18" s="261"/>
      <c r="P18" s="263"/>
      <c r="Q18" s="261"/>
      <c r="R18" s="75"/>
      <c r="S18" s="261"/>
      <c r="T18" s="264"/>
      <c r="U18" s="261"/>
      <c r="V18" s="88"/>
      <c r="W18" s="261"/>
      <c r="X18" s="88"/>
      <c r="Y18" s="261"/>
      <c r="Z18" s="88"/>
      <c r="AA18" s="261"/>
      <c r="AB18" s="266"/>
      <c r="AC18" s="261"/>
      <c r="AD18" s="78"/>
      <c r="AE18" s="261"/>
      <c r="AF18" s="266"/>
      <c r="AG18" s="267"/>
      <c r="AH18" s="88"/>
      <c r="AI18" s="267"/>
      <c r="AJ18" s="77"/>
    </row>
    <row r="19" hidden="1">
      <c r="A19" s="77">
        <v>45352.0</v>
      </c>
      <c r="B19" s="74">
        <v>15.0</v>
      </c>
      <c r="C19" s="288" t="s">
        <v>287</v>
      </c>
      <c r="D19" s="287">
        <v>4.0</v>
      </c>
      <c r="E19" s="259"/>
      <c r="F19" s="121" t="s">
        <v>264</v>
      </c>
      <c r="G19" s="121" t="s">
        <v>272</v>
      </c>
      <c r="H19" s="115" t="s">
        <v>273</v>
      </c>
      <c r="I19" s="285" t="s">
        <v>30</v>
      </c>
      <c r="J19" s="260" t="s">
        <v>261</v>
      </c>
      <c r="K19" s="260" t="s">
        <v>201</v>
      </c>
      <c r="L19" s="231" t="s">
        <v>274</v>
      </c>
      <c r="M19" s="261"/>
      <c r="N19" s="262"/>
      <c r="O19" s="261"/>
      <c r="P19" s="263"/>
      <c r="Q19" s="261"/>
      <c r="R19" s="75"/>
      <c r="S19" s="261"/>
      <c r="T19" s="264"/>
      <c r="U19" s="261"/>
      <c r="V19" s="88"/>
      <c r="W19" s="261"/>
      <c r="X19" s="88"/>
      <c r="Y19" s="261"/>
      <c r="Z19" s="88"/>
      <c r="AA19" s="261"/>
      <c r="AB19" s="266"/>
      <c r="AC19" s="261"/>
      <c r="AD19" s="78"/>
      <c r="AE19" s="261"/>
      <c r="AF19" s="266"/>
      <c r="AG19" s="267"/>
      <c r="AH19" s="88"/>
      <c r="AI19" s="267"/>
      <c r="AJ19" s="77"/>
    </row>
    <row r="20">
      <c r="A20" s="268">
        <v>45323.0</v>
      </c>
      <c r="B20" s="269">
        <v>16.0</v>
      </c>
      <c r="C20" s="289" t="s">
        <v>288</v>
      </c>
      <c r="D20" s="290">
        <v>3.0</v>
      </c>
      <c r="E20" s="291" t="s">
        <v>289</v>
      </c>
      <c r="F20" s="272"/>
      <c r="G20" s="269" t="s">
        <v>290</v>
      </c>
      <c r="H20" s="273" t="s">
        <v>18</v>
      </c>
      <c r="I20" s="292"/>
      <c r="J20" s="275" t="s">
        <v>261</v>
      </c>
      <c r="K20" s="275"/>
      <c r="L20" s="276">
        <v>0.0</v>
      </c>
      <c r="M20" s="277">
        <v>0.0</v>
      </c>
      <c r="N20" s="293"/>
      <c r="O20" s="277">
        <v>0.0</v>
      </c>
      <c r="P20" s="294"/>
      <c r="Q20" s="277"/>
      <c r="R20" s="278"/>
      <c r="S20" s="277"/>
      <c r="T20" s="279"/>
      <c r="U20" s="277"/>
      <c r="V20" s="268"/>
      <c r="W20" s="277"/>
      <c r="X20" s="268"/>
      <c r="Y20" s="277"/>
      <c r="Z20" s="268"/>
      <c r="AA20" s="277">
        <v>0.0</v>
      </c>
      <c r="AB20" s="280"/>
      <c r="AC20" s="277">
        <v>0.0</v>
      </c>
      <c r="AD20" s="280"/>
      <c r="AE20" s="277">
        <v>0.0</v>
      </c>
      <c r="AF20" s="280"/>
      <c r="AG20" s="281">
        <v>0.0</v>
      </c>
      <c r="AH20" s="268"/>
      <c r="AI20" s="281"/>
      <c r="AJ20" s="268"/>
      <c r="AK20" s="282"/>
      <c r="AL20" s="282"/>
      <c r="AM20" s="282"/>
      <c r="AN20" s="282"/>
      <c r="AO20" s="282"/>
      <c r="AP20" s="282"/>
      <c r="AQ20" s="282"/>
      <c r="AR20" s="282"/>
      <c r="AS20" s="282"/>
      <c r="AT20" s="282"/>
    </row>
    <row r="21" hidden="1">
      <c r="A21" s="77">
        <v>45383.0</v>
      </c>
      <c r="B21" s="74">
        <v>17.0</v>
      </c>
      <c r="C21" s="288" t="s">
        <v>291</v>
      </c>
      <c r="D21" s="287">
        <v>5.0</v>
      </c>
      <c r="E21" s="295" t="s">
        <v>292</v>
      </c>
      <c r="F21" s="121" t="s">
        <v>264</v>
      </c>
      <c r="G21" s="121" t="s">
        <v>272</v>
      </c>
      <c r="H21" s="115" t="s">
        <v>273</v>
      </c>
      <c r="I21" s="285" t="s">
        <v>30</v>
      </c>
      <c r="J21" s="260" t="s">
        <v>261</v>
      </c>
      <c r="K21" s="260" t="s">
        <v>201</v>
      </c>
      <c r="L21" s="231" t="s">
        <v>274</v>
      </c>
      <c r="M21" s="261"/>
      <c r="N21" s="262"/>
      <c r="O21" s="261"/>
      <c r="P21" s="263"/>
      <c r="Q21" s="261"/>
      <c r="R21" s="75"/>
      <c r="S21" s="261"/>
      <c r="T21" s="264"/>
      <c r="U21" s="261"/>
      <c r="V21" s="88"/>
      <c r="W21" s="261"/>
      <c r="X21" s="88"/>
      <c r="Y21" s="261"/>
      <c r="Z21" s="88"/>
      <c r="AA21" s="261"/>
      <c r="AB21" s="266"/>
      <c r="AC21" s="261"/>
      <c r="AD21" s="78"/>
      <c r="AE21" s="261"/>
      <c r="AF21" s="266"/>
      <c r="AG21" s="267"/>
      <c r="AH21" s="88"/>
      <c r="AI21" s="267"/>
      <c r="AJ21" s="77"/>
    </row>
    <row r="22" hidden="1">
      <c r="A22" s="77">
        <v>45413.0</v>
      </c>
      <c r="B22" s="74">
        <v>18.0</v>
      </c>
      <c r="C22" s="296" t="s">
        <v>293</v>
      </c>
      <c r="D22" s="179">
        <v>3.0</v>
      </c>
      <c r="E22" s="297" t="s">
        <v>294</v>
      </c>
      <c r="F22" s="121" t="s">
        <v>264</v>
      </c>
      <c r="G22" s="121" t="s">
        <v>272</v>
      </c>
      <c r="H22" s="115" t="s">
        <v>273</v>
      </c>
      <c r="I22" s="285" t="s">
        <v>295</v>
      </c>
      <c r="J22" s="260" t="s">
        <v>261</v>
      </c>
      <c r="K22" s="260" t="s">
        <v>201</v>
      </c>
      <c r="L22" s="231" t="s">
        <v>274</v>
      </c>
      <c r="M22" s="261"/>
      <c r="N22" s="262"/>
      <c r="O22" s="261"/>
      <c r="P22" s="263"/>
      <c r="Q22" s="261"/>
      <c r="R22" s="75"/>
      <c r="S22" s="261"/>
      <c r="T22" s="264"/>
      <c r="U22" s="261"/>
      <c r="V22" s="88"/>
      <c r="W22" s="261"/>
      <c r="X22" s="88"/>
      <c r="Y22" s="261"/>
      <c r="Z22" s="88"/>
      <c r="AA22" s="261"/>
      <c r="AB22" s="266"/>
      <c r="AC22" s="261"/>
      <c r="AD22" s="78"/>
      <c r="AE22" s="261"/>
      <c r="AF22" s="266"/>
      <c r="AG22" s="267"/>
      <c r="AH22" s="88"/>
      <c r="AI22" s="267"/>
      <c r="AJ22" s="77"/>
    </row>
    <row r="23" hidden="1">
      <c r="A23" s="77">
        <v>45444.0</v>
      </c>
      <c r="B23" s="74">
        <v>19.0</v>
      </c>
      <c r="C23" s="296" t="s">
        <v>296</v>
      </c>
      <c r="D23" s="179">
        <v>5.0</v>
      </c>
      <c r="E23" s="297" t="s">
        <v>297</v>
      </c>
      <c r="F23" s="121" t="s">
        <v>264</v>
      </c>
      <c r="G23" s="121" t="s">
        <v>272</v>
      </c>
      <c r="H23" s="115" t="s">
        <v>273</v>
      </c>
      <c r="I23" s="285" t="s">
        <v>298</v>
      </c>
      <c r="J23" s="260" t="s">
        <v>261</v>
      </c>
      <c r="K23" s="260" t="s">
        <v>201</v>
      </c>
      <c r="L23" s="231" t="s">
        <v>274</v>
      </c>
      <c r="M23" s="261"/>
      <c r="N23" s="262"/>
      <c r="O23" s="261"/>
      <c r="P23" s="263"/>
      <c r="Q23" s="261"/>
      <c r="R23" s="75"/>
      <c r="S23" s="261"/>
      <c r="T23" s="264"/>
      <c r="U23" s="261"/>
      <c r="V23" s="88"/>
      <c r="W23" s="261"/>
      <c r="X23" s="88"/>
      <c r="Y23" s="261"/>
      <c r="Z23" s="88"/>
      <c r="AA23" s="261"/>
      <c r="AB23" s="266"/>
      <c r="AC23" s="261"/>
      <c r="AD23" s="78"/>
      <c r="AE23" s="261"/>
      <c r="AF23" s="266"/>
      <c r="AG23" s="267"/>
      <c r="AH23" s="88"/>
      <c r="AI23" s="267"/>
      <c r="AJ23" s="77"/>
    </row>
    <row r="24">
      <c r="A24" s="269"/>
      <c r="B24" s="269"/>
      <c r="C24" s="298" t="s">
        <v>299</v>
      </c>
      <c r="D24" s="273">
        <v>2.0</v>
      </c>
      <c r="E24" s="272"/>
      <c r="F24" s="272" t="s">
        <v>264</v>
      </c>
      <c r="G24" s="272" t="s">
        <v>272</v>
      </c>
      <c r="H24" s="273" t="s">
        <v>266</v>
      </c>
      <c r="I24" s="292" t="s">
        <v>300</v>
      </c>
      <c r="J24" s="275" t="s">
        <v>261</v>
      </c>
      <c r="K24" s="275" t="s">
        <v>301</v>
      </c>
      <c r="L24" s="276">
        <v>665.0</v>
      </c>
      <c r="M24" s="277">
        <v>665.0</v>
      </c>
      <c r="N24" s="293">
        <v>46009.0</v>
      </c>
      <c r="O24" s="277">
        <v>665.0</v>
      </c>
      <c r="P24" s="294">
        <v>45979.0</v>
      </c>
      <c r="Q24" s="277">
        <v>0.0</v>
      </c>
      <c r="R24" s="278"/>
      <c r="S24" s="277">
        <v>0.0</v>
      </c>
      <c r="T24" s="279"/>
      <c r="U24" s="277">
        <v>665.0</v>
      </c>
      <c r="V24" s="269">
        <v>665.0</v>
      </c>
      <c r="W24" s="277"/>
      <c r="X24" s="268"/>
      <c r="Y24" s="277"/>
      <c r="Z24" s="268"/>
      <c r="AA24" s="277"/>
      <c r="AB24" s="280"/>
      <c r="AC24" s="277"/>
      <c r="AD24" s="280"/>
      <c r="AE24" s="277"/>
      <c r="AF24" s="280"/>
      <c r="AG24" s="281"/>
      <c r="AH24" s="268"/>
      <c r="AI24" s="281"/>
      <c r="AJ24" s="268"/>
      <c r="AK24" s="282"/>
      <c r="AL24" s="282"/>
      <c r="AM24" s="282"/>
      <c r="AN24" s="282"/>
      <c r="AO24" s="282"/>
      <c r="AP24" s="282"/>
      <c r="AQ24" s="282"/>
      <c r="AR24" s="282"/>
      <c r="AS24" s="282"/>
      <c r="AT24" s="282"/>
    </row>
    <row r="25" hidden="1">
      <c r="A25" s="74"/>
      <c r="B25" s="74"/>
      <c r="C25" s="296" t="s">
        <v>302</v>
      </c>
      <c r="D25" s="179">
        <v>4.0</v>
      </c>
      <c r="E25" s="121"/>
      <c r="F25" s="121" t="s">
        <v>264</v>
      </c>
      <c r="G25" s="121" t="s">
        <v>272</v>
      </c>
      <c r="H25" s="115" t="s">
        <v>273</v>
      </c>
      <c r="I25" s="285" t="s">
        <v>303</v>
      </c>
      <c r="J25" s="260" t="s">
        <v>261</v>
      </c>
      <c r="K25" s="260" t="s">
        <v>201</v>
      </c>
      <c r="L25" s="231" t="s">
        <v>274</v>
      </c>
      <c r="M25" s="261"/>
      <c r="N25" s="262"/>
      <c r="O25" s="261"/>
      <c r="P25" s="263"/>
      <c r="Q25" s="261"/>
      <c r="R25" s="75"/>
      <c r="S25" s="261"/>
      <c r="T25" s="264"/>
      <c r="U25" s="261"/>
      <c r="V25" s="88"/>
      <c r="W25" s="261"/>
      <c r="X25" s="88"/>
      <c r="Y25" s="261"/>
      <c r="Z25" s="88"/>
      <c r="AA25" s="261"/>
      <c r="AB25" s="266"/>
      <c r="AC25" s="261"/>
      <c r="AD25" s="78"/>
      <c r="AE25" s="261"/>
      <c r="AF25" s="266"/>
      <c r="AG25" s="267"/>
      <c r="AH25" s="88"/>
      <c r="AI25" s="267"/>
      <c r="AJ25" s="77"/>
    </row>
    <row r="26" hidden="1">
      <c r="A26" s="74"/>
      <c r="B26" s="74"/>
      <c r="C26" s="296" t="s">
        <v>304</v>
      </c>
      <c r="D26" s="179">
        <v>2.0</v>
      </c>
      <c r="E26" s="121"/>
      <c r="F26" s="121" t="s">
        <v>264</v>
      </c>
      <c r="G26" s="121" t="s">
        <v>272</v>
      </c>
      <c r="H26" s="115" t="s">
        <v>273</v>
      </c>
      <c r="I26" s="285" t="s">
        <v>303</v>
      </c>
      <c r="J26" s="260" t="s">
        <v>261</v>
      </c>
      <c r="K26" s="260" t="s">
        <v>201</v>
      </c>
      <c r="L26" s="231" t="s">
        <v>274</v>
      </c>
      <c r="M26" s="261"/>
      <c r="N26" s="262"/>
      <c r="O26" s="261"/>
      <c r="P26" s="263"/>
      <c r="Q26" s="261"/>
      <c r="R26" s="75"/>
      <c r="S26" s="261"/>
      <c r="T26" s="264"/>
      <c r="U26" s="261"/>
      <c r="V26" s="88"/>
      <c r="W26" s="261"/>
      <c r="X26" s="88"/>
      <c r="Y26" s="261"/>
      <c r="Z26" s="88"/>
      <c r="AA26" s="261"/>
      <c r="AB26" s="266"/>
      <c r="AC26" s="261"/>
      <c r="AD26" s="78"/>
      <c r="AE26" s="261"/>
      <c r="AF26" s="266"/>
      <c r="AG26" s="267"/>
      <c r="AH26" s="88"/>
      <c r="AI26" s="267"/>
      <c r="AJ26" s="77"/>
    </row>
    <row r="27" hidden="1">
      <c r="A27" s="74"/>
      <c r="B27" s="74"/>
      <c r="C27" s="296" t="s">
        <v>305</v>
      </c>
      <c r="D27" s="179">
        <v>1.0</v>
      </c>
      <c r="E27" s="121"/>
      <c r="F27" s="121" t="s">
        <v>264</v>
      </c>
      <c r="G27" s="121" t="s">
        <v>272</v>
      </c>
      <c r="H27" s="115" t="s">
        <v>273</v>
      </c>
      <c r="I27" s="285" t="s">
        <v>303</v>
      </c>
      <c r="J27" s="260" t="s">
        <v>261</v>
      </c>
      <c r="K27" s="260" t="s">
        <v>201</v>
      </c>
      <c r="L27" s="231" t="s">
        <v>274</v>
      </c>
      <c r="M27" s="261"/>
      <c r="N27" s="262"/>
      <c r="O27" s="261"/>
      <c r="P27" s="263"/>
      <c r="Q27" s="261"/>
      <c r="R27" s="75"/>
      <c r="S27" s="261"/>
      <c r="T27" s="264"/>
      <c r="U27" s="261"/>
      <c r="V27" s="88"/>
      <c r="W27" s="261"/>
      <c r="X27" s="88"/>
      <c r="Y27" s="261"/>
      <c r="Z27" s="88"/>
      <c r="AA27" s="261"/>
      <c r="AB27" s="266"/>
      <c r="AC27" s="261"/>
      <c r="AD27" s="78"/>
      <c r="AE27" s="261"/>
      <c r="AF27" s="266"/>
      <c r="AG27" s="267"/>
      <c r="AH27" s="88"/>
      <c r="AI27" s="267"/>
      <c r="AJ27" s="77"/>
    </row>
    <row r="28" hidden="1">
      <c r="A28" s="74"/>
      <c r="B28" s="74"/>
      <c r="C28" s="296" t="s">
        <v>306</v>
      </c>
      <c r="D28" s="179">
        <v>2.0</v>
      </c>
      <c r="E28" s="121"/>
      <c r="F28" s="121" t="s">
        <v>264</v>
      </c>
      <c r="G28" s="121" t="s">
        <v>272</v>
      </c>
      <c r="H28" s="115" t="s">
        <v>273</v>
      </c>
      <c r="I28" s="285" t="s">
        <v>303</v>
      </c>
      <c r="J28" s="260" t="s">
        <v>261</v>
      </c>
      <c r="K28" s="260" t="s">
        <v>201</v>
      </c>
      <c r="L28" s="231" t="s">
        <v>274</v>
      </c>
      <c r="M28" s="261"/>
      <c r="N28" s="262"/>
      <c r="O28" s="261"/>
      <c r="P28" s="263"/>
      <c r="Q28" s="261"/>
      <c r="R28" s="75"/>
      <c r="S28" s="261"/>
      <c r="T28" s="264"/>
      <c r="U28" s="261"/>
      <c r="V28" s="88"/>
      <c r="W28" s="261"/>
      <c r="X28" s="88"/>
      <c r="Y28" s="261"/>
      <c r="Z28" s="88"/>
      <c r="AA28" s="261"/>
      <c r="AB28" s="266"/>
      <c r="AC28" s="261"/>
      <c r="AD28" s="78"/>
      <c r="AE28" s="261"/>
      <c r="AF28" s="266"/>
      <c r="AG28" s="267"/>
      <c r="AH28" s="88"/>
      <c r="AI28" s="267"/>
      <c r="AJ28" s="77"/>
    </row>
    <row r="29" hidden="1">
      <c r="A29" s="74"/>
      <c r="B29" s="74"/>
      <c r="C29" s="296" t="s">
        <v>307</v>
      </c>
      <c r="D29" s="179">
        <v>4.0</v>
      </c>
      <c r="E29" s="121"/>
      <c r="F29" s="121" t="s">
        <v>264</v>
      </c>
      <c r="G29" s="121" t="s">
        <v>272</v>
      </c>
      <c r="H29" s="115" t="s">
        <v>273</v>
      </c>
      <c r="I29" s="285" t="s">
        <v>303</v>
      </c>
      <c r="J29" s="260" t="s">
        <v>261</v>
      </c>
      <c r="K29" s="260" t="s">
        <v>201</v>
      </c>
      <c r="L29" s="231" t="s">
        <v>274</v>
      </c>
      <c r="M29" s="261"/>
      <c r="N29" s="262"/>
      <c r="O29" s="261"/>
      <c r="P29" s="263"/>
      <c r="Q29" s="261"/>
      <c r="R29" s="75"/>
      <c r="S29" s="261"/>
      <c r="T29" s="264"/>
      <c r="U29" s="261"/>
      <c r="V29" s="88"/>
      <c r="W29" s="261"/>
      <c r="X29" s="88"/>
      <c r="Y29" s="261"/>
      <c r="Z29" s="88"/>
      <c r="AA29" s="261"/>
      <c r="AB29" s="266"/>
      <c r="AC29" s="261"/>
      <c r="AD29" s="78"/>
      <c r="AE29" s="261"/>
      <c r="AF29" s="266"/>
      <c r="AG29" s="267"/>
      <c r="AH29" s="88"/>
      <c r="AI29" s="267"/>
      <c r="AJ29" s="77"/>
    </row>
    <row r="30">
      <c r="A30" s="180"/>
      <c r="B30" s="181" t="s">
        <v>308</v>
      </c>
      <c r="C30" s="5"/>
      <c r="D30" s="5"/>
      <c r="E30" s="5"/>
      <c r="F30" s="5"/>
      <c r="G30" s="5"/>
      <c r="H30" s="5"/>
      <c r="I30" s="5"/>
      <c r="J30" s="5"/>
      <c r="K30" s="5"/>
      <c r="L30" s="6"/>
      <c r="M30" s="299">
        <f>SUM(M3:M24)</f>
        <v>3497</v>
      </c>
      <c r="N30" s="299"/>
      <c r="O30" s="299">
        <f>SUM(O3:O24)</f>
        <v>3497</v>
      </c>
      <c r="P30" s="299"/>
      <c r="Q30" s="299">
        <f>SUM(Q3:Q8)</f>
        <v>2832</v>
      </c>
      <c r="R30" s="299"/>
      <c r="S30" s="299">
        <f>SUM(S3:S27)</f>
        <v>2832</v>
      </c>
      <c r="T30" s="299"/>
      <c r="U30" s="299">
        <f>SUM(U3:U27)</f>
        <v>3497</v>
      </c>
      <c r="V30" s="299"/>
      <c r="W30" s="299">
        <f>SUM(W3:W27)</f>
        <v>2832</v>
      </c>
      <c r="X30" s="299"/>
      <c r="Y30" s="299">
        <f>SUM(Y3:Y27)</f>
        <v>2832</v>
      </c>
      <c r="Z30" s="299"/>
      <c r="AA30" s="299">
        <f>SUM(AA3:AA27)</f>
        <v>2802</v>
      </c>
      <c r="AB30" s="299"/>
      <c r="AC30" s="299">
        <f>SUM(AC3:AC20)</f>
        <v>2752</v>
      </c>
      <c r="AD30" s="299"/>
      <c r="AE30" s="299">
        <f>SUM(AE3:AE20)</f>
        <v>2752</v>
      </c>
      <c r="AF30" s="299"/>
      <c r="AG30" s="299">
        <f>SUM(AG3:AG20)</f>
        <v>2772</v>
      </c>
      <c r="AH30" s="299"/>
      <c r="AI30" s="299">
        <f>SUM(AI3:AI20)</f>
        <v>2722</v>
      </c>
      <c r="AJ30" s="299"/>
    </row>
    <row r="34">
      <c r="A34" s="300"/>
      <c r="B34" s="300"/>
      <c r="C34" s="300"/>
      <c r="D34" s="300"/>
      <c r="E34" s="300"/>
      <c r="F34" s="300"/>
      <c r="G34" s="300"/>
      <c r="H34" s="300"/>
      <c r="I34" s="300"/>
      <c r="J34" s="300"/>
      <c r="K34" s="300"/>
      <c r="L34" s="301" t="s">
        <v>248</v>
      </c>
      <c r="M34" s="300">
        <f>SUM(M3:M5)</f>
        <v>1780</v>
      </c>
      <c r="N34" s="300"/>
      <c r="O34" s="300">
        <f>SUM(O3:O5)</f>
        <v>1780</v>
      </c>
      <c r="P34" s="300"/>
      <c r="Q34" s="300">
        <f>SUM(Q3:Q5)</f>
        <v>1780</v>
      </c>
      <c r="R34" s="300"/>
      <c r="S34" s="300">
        <f>SUM(S3:S5)</f>
        <v>1780</v>
      </c>
      <c r="T34" s="300"/>
      <c r="U34" s="300">
        <f>SUM(U3:U5)</f>
        <v>1780</v>
      </c>
      <c r="V34" s="300"/>
      <c r="W34" s="300">
        <f>SUM(W3:W5)</f>
        <v>1780</v>
      </c>
      <c r="X34" s="300"/>
      <c r="Y34" s="300">
        <f>SUM(Y3:Y5)</f>
        <v>1780</v>
      </c>
      <c r="Z34" s="300"/>
      <c r="AA34" s="300">
        <f>SUM(AA3:AA5)</f>
        <v>1750</v>
      </c>
      <c r="AB34" s="300"/>
      <c r="AC34" s="300">
        <f>SUM(AC3:AC5)</f>
        <v>1750</v>
      </c>
      <c r="AD34" s="300"/>
      <c r="AE34" s="300">
        <f>SUM(AE3:AE5)</f>
        <v>1750</v>
      </c>
      <c r="AF34" s="300"/>
      <c r="AG34" s="300">
        <f>SUM(AG3:AG5)</f>
        <v>1770</v>
      </c>
      <c r="AH34" s="300"/>
      <c r="AI34" s="300">
        <f>SUM(AI3:AI5)</f>
        <v>1720</v>
      </c>
      <c r="AJ34" s="300"/>
      <c r="AK34" s="302">
        <f t="shared" ref="AK34:AK36" si="1">SUM(M34:AI34)</f>
        <v>21200</v>
      </c>
      <c r="AL34" s="300"/>
      <c r="AM34" s="300"/>
      <c r="AN34" s="300"/>
      <c r="AO34" s="300"/>
      <c r="AP34" s="300"/>
      <c r="AQ34" s="300"/>
      <c r="AR34" s="300"/>
      <c r="AS34" s="300"/>
      <c r="AT34" s="300"/>
    </row>
    <row r="35">
      <c r="A35" s="303"/>
      <c r="B35" s="303"/>
      <c r="C35" s="303"/>
      <c r="D35" s="303"/>
      <c r="E35" s="303"/>
      <c r="F35" s="303"/>
      <c r="G35" s="303"/>
      <c r="H35" s="303"/>
      <c r="I35" s="303"/>
      <c r="J35" s="303"/>
      <c r="K35" s="303"/>
      <c r="L35" s="247" t="s">
        <v>258</v>
      </c>
      <c r="M35" s="303">
        <f>SUM(M6)</f>
        <v>502</v>
      </c>
      <c r="N35" s="303"/>
      <c r="O35" s="303">
        <f>SUM(O6)</f>
        <v>502</v>
      </c>
      <c r="P35" s="303"/>
      <c r="Q35" s="303">
        <f>SUM(Q6)</f>
        <v>502</v>
      </c>
      <c r="R35" s="303"/>
      <c r="S35" s="303">
        <f>SUM(S6)</f>
        <v>502</v>
      </c>
      <c r="T35" s="303"/>
      <c r="U35" s="303">
        <f>U6</f>
        <v>502</v>
      </c>
      <c r="V35" s="303"/>
      <c r="W35" s="303">
        <f>W6</f>
        <v>502</v>
      </c>
      <c r="X35" s="303"/>
      <c r="Y35" s="303">
        <f>Y6</f>
        <v>502</v>
      </c>
      <c r="Z35" s="303"/>
      <c r="AA35" s="303">
        <f>SUM(AA6)</f>
        <v>502</v>
      </c>
      <c r="AB35" s="303"/>
      <c r="AC35" s="303">
        <f>AC6</f>
        <v>502</v>
      </c>
      <c r="AD35" s="303"/>
      <c r="AE35" s="303">
        <f>AE6</f>
        <v>502</v>
      </c>
      <c r="AF35" s="303"/>
      <c r="AG35" s="303">
        <f>AG6</f>
        <v>502</v>
      </c>
      <c r="AH35" s="303"/>
      <c r="AI35" s="303">
        <f>AI6</f>
        <v>502</v>
      </c>
      <c r="AJ35" s="303"/>
      <c r="AK35" s="302">
        <f t="shared" si="1"/>
        <v>6024</v>
      </c>
      <c r="AL35" s="303"/>
      <c r="AM35" s="303"/>
      <c r="AN35" s="303"/>
      <c r="AO35" s="303"/>
      <c r="AP35" s="303"/>
      <c r="AQ35" s="303"/>
      <c r="AR35" s="303"/>
      <c r="AS35" s="303"/>
      <c r="AT35" s="303"/>
    </row>
    <row r="36">
      <c r="A36" s="304"/>
      <c r="B36" s="304"/>
      <c r="C36" s="304"/>
      <c r="D36" s="304"/>
      <c r="E36" s="304"/>
      <c r="F36" s="304"/>
      <c r="G36" s="304"/>
      <c r="H36" s="304"/>
      <c r="I36" s="304"/>
      <c r="J36" s="304"/>
      <c r="K36" s="304"/>
      <c r="L36" s="272" t="s">
        <v>264</v>
      </c>
      <c r="M36" s="304">
        <f>SUM(M8:M24)</f>
        <v>1215</v>
      </c>
      <c r="N36" s="304"/>
      <c r="O36" s="304">
        <f>SUM(O8:O24)</f>
        <v>1215</v>
      </c>
      <c r="P36" s="304"/>
      <c r="Q36" s="304">
        <f>SUM(Q8:Q24)</f>
        <v>550</v>
      </c>
      <c r="R36" s="304"/>
      <c r="S36" s="304">
        <f>SUM(S8)</f>
        <v>550</v>
      </c>
      <c r="T36" s="304"/>
      <c r="U36" s="304">
        <f>SUM(U8:U24)</f>
        <v>1215</v>
      </c>
      <c r="V36" s="304"/>
      <c r="W36" s="304">
        <f>W8</f>
        <v>550</v>
      </c>
      <c r="X36" s="304"/>
      <c r="Y36" s="304">
        <f>Y8</f>
        <v>550</v>
      </c>
      <c r="Z36" s="304"/>
      <c r="AA36" s="304">
        <f>AA8</f>
        <v>550</v>
      </c>
      <c r="AB36" s="304"/>
      <c r="AC36" s="304">
        <f>AC8</f>
        <v>500</v>
      </c>
      <c r="AD36" s="304"/>
      <c r="AE36" s="304">
        <f>AE8</f>
        <v>500</v>
      </c>
      <c r="AF36" s="304"/>
      <c r="AG36" s="304">
        <f>AG8</f>
        <v>500</v>
      </c>
      <c r="AH36" s="304"/>
      <c r="AI36" s="304">
        <f>AI8</f>
        <v>500</v>
      </c>
      <c r="AJ36" s="304"/>
      <c r="AK36" s="302">
        <f t="shared" si="1"/>
        <v>8395</v>
      </c>
      <c r="AL36" s="304"/>
      <c r="AM36" s="304"/>
      <c r="AN36" s="304"/>
      <c r="AO36" s="304"/>
      <c r="AP36" s="304"/>
      <c r="AQ36" s="304"/>
      <c r="AR36" s="304"/>
      <c r="AS36" s="304"/>
      <c r="AT36" s="304"/>
    </row>
    <row r="37">
      <c r="M37" s="211">
        <f>SUM(M34:M36)</f>
        <v>3497</v>
      </c>
      <c r="O37" s="211">
        <f>SUM(O34:O36)</f>
        <v>3497</v>
      </c>
      <c r="U37" s="211">
        <f>SUM(U34:U36)</f>
        <v>3497</v>
      </c>
    </row>
  </sheetData>
  <autoFilter ref="$A$1:$AT$997">
    <filterColumn colId="11">
      <filters blank="1">
        <filter val="Жилкомплекс"/>
        <filter val="ИТОГО К ОПЛАТЕ"/>
        <filter val="Тариф"/>
        <filter val="Радужный"/>
        <filter val="550"/>
        <filter val="0"/>
        <filter val="730"/>
        <filter val="500"/>
        <filter val="665"/>
        <filter val="502"/>
        <filter val="ТСЖ №6"/>
      </filters>
    </filterColumn>
  </autoFilter>
  <mergeCells count="13">
    <mergeCell ref="AE1:AF1"/>
    <mergeCell ref="AG1:AH1"/>
    <mergeCell ref="AI1:AJ1"/>
    <mergeCell ref="M2:N2"/>
    <mergeCell ref="O2:P2"/>
    <mergeCell ref="B30:L30"/>
    <mergeCell ref="Q1:R1"/>
    <mergeCell ref="S1:T1"/>
    <mergeCell ref="U1:V1"/>
    <mergeCell ref="W1:X1"/>
    <mergeCell ref="Y1:Z1"/>
    <mergeCell ref="AA1:AB1"/>
    <mergeCell ref="AC1:AD1"/>
  </mergeCells>
  <hyperlinks>
    <hyperlink r:id="rId2" ref="E3"/>
    <hyperlink r:id="rId3" ref="E4"/>
    <hyperlink r:id="rId4" ref="E5"/>
    <hyperlink r:id="rId5" ref="E16"/>
    <hyperlink r:id="rId6" ref="E17"/>
    <hyperlink r:id="rId7" ref="E18"/>
    <hyperlink r:id="rId8" ref="E20"/>
    <hyperlink r:id="rId9" ref="E21"/>
    <hyperlink r:id="rId10" ref="E22"/>
    <hyperlink r:id="rId11" ref="E2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2"/>
  <legacy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25"/>
    <col customWidth="1" min="2" max="2" width="3.63"/>
    <col customWidth="1" min="3" max="3" width="15.63"/>
    <col customWidth="1" min="4" max="4" width="11.0"/>
    <col customWidth="1" min="5" max="5" width="15.75"/>
    <col customWidth="1" min="6" max="6" width="9.0"/>
    <col customWidth="1" min="7" max="7" width="18.38"/>
    <col customWidth="1" min="8" max="8" width="10.63"/>
    <col customWidth="1" min="9" max="9" width="14.13"/>
    <col customWidth="1" min="10" max="10" width="14.5"/>
    <col customWidth="1" min="11" max="11" width="11.25"/>
    <col customWidth="1" min="12" max="12" width="8.75"/>
    <col customWidth="1" min="13" max="36" width="10.5"/>
  </cols>
  <sheetData>
    <row r="1" ht="26.25" customHeight="1">
      <c r="A1" s="215"/>
      <c r="B1" s="216"/>
      <c r="C1" s="58"/>
      <c r="D1" s="58"/>
      <c r="E1" s="58"/>
      <c r="F1" s="57"/>
      <c r="G1" s="58"/>
      <c r="H1" s="58"/>
      <c r="I1" s="58"/>
      <c r="J1" s="57"/>
      <c r="K1" s="58"/>
      <c r="L1" s="59"/>
      <c r="M1" s="217"/>
      <c r="N1" s="217"/>
      <c r="O1" s="217"/>
      <c r="P1" s="217"/>
      <c r="Q1" s="218" t="s">
        <v>309</v>
      </c>
      <c r="R1" s="219"/>
      <c r="S1" s="218" t="s">
        <v>310</v>
      </c>
      <c r="T1" s="219"/>
      <c r="U1" s="218" t="s">
        <v>311</v>
      </c>
      <c r="V1" s="219"/>
      <c r="W1" s="218" t="s">
        <v>312</v>
      </c>
      <c r="X1" s="219"/>
      <c r="Y1" s="218" t="s">
        <v>313</v>
      </c>
      <c r="Z1" s="219"/>
      <c r="AA1" s="218" t="s">
        <v>314</v>
      </c>
      <c r="AB1" s="219"/>
      <c r="AC1" s="218" t="s">
        <v>315</v>
      </c>
      <c r="AD1" s="219"/>
      <c r="AE1" s="218" t="s">
        <v>316</v>
      </c>
      <c r="AF1" s="219"/>
      <c r="AG1" s="218" t="s">
        <v>317</v>
      </c>
      <c r="AH1" s="219"/>
      <c r="AI1" s="218" t="s">
        <v>77</v>
      </c>
      <c r="AJ1" s="219"/>
    </row>
    <row r="2" ht="42.0" customHeight="1">
      <c r="A2" s="220" t="s">
        <v>241</v>
      </c>
      <c r="B2" s="221"/>
      <c r="C2" s="55" t="s">
        <v>56</v>
      </c>
      <c r="D2" s="55" t="s">
        <v>57</v>
      </c>
      <c r="E2" s="54" t="s">
        <v>58</v>
      </c>
      <c r="F2" s="222" t="s">
        <v>59</v>
      </c>
      <c r="G2" s="58" t="s">
        <v>60</v>
      </c>
      <c r="H2" s="58" t="s">
        <v>61</v>
      </c>
      <c r="I2" s="55" t="s">
        <v>62</v>
      </c>
      <c r="J2" s="54" t="s">
        <v>63</v>
      </c>
      <c r="K2" s="54" t="s">
        <v>242</v>
      </c>
      <c r="L2" s="59" t="s">
        <v>65</v>
      </c>
      <c r="M2" s="60" t="s">
        <v>66</v>
      </c>
      <c r="N2" s="6"/>
      <c r="O2" s="60" t="s">
        <v>243</v>
      </c>
      <c r="P2" s="6"/>
      <c r="Q2" s="223" t="s">
        <v>244</v>
      </c>
      <c r="R2" s="223" t="s">
        <v>245</v>
      </c>
      <c r="S2" s="223" t="s">
        <v>244</v>
      </c>
      <c r="T2" s="223" t="s">
        <v>245</v>
      </c>
      <c r="U2" s="223" t="s">
        <v>244</v>
      </c>
      <c r="V2" s="223" t="s">
        <v>245</v>
      </c>
      <c r="W2" s="223" t="s">
        <v>244</v>
      </c>
      <c r="X2" s="223" t="s">
        <v>245</v>
      </c>
      <c r="Y2" s="223" t="s">
        <v>244</v>
      </c>
      <c r="Z2" s="223" t="s">
        <v>245</v>
      </c>
      <c r="AA2" s="223" t="s">
        <v>244</v>
      </c>
      <c r="AB2" s="223" t="s">
        <v>245</v>
      </c>
      <c r="AC2" s="223" t="s">
        <v>244</v>
      </c>
      <c r="AD2" s="223" t="s">
        <v>245</v>
      </c>
      <c r="AE2" s="223" t="s">
        <v>244</v>
      </c>
      <c r="AF2" s="223" t="s">
        <v>245</v>
      </c>
      <c r="AG2" s="223" t="s">
        <v>244</v>
      </c>
      <c r="AH2" s="223" t="s">
        <v>245</v>
      </c>
      <c r="AI2" s="223" t="s">
        <v>244</v>
      </c>
      <c r="AJ2" s="223" t="s">
        <v>245</v>
      </c>
    </row>
    <row r="3">
      <c r="A3" s="51"/>
      <c r="B3" s="51">
        <v>1.0</v>
      </c>
      <c r="C3" s="305" t="s">
        <v>318</v>
      </c>
      <c r="D3" s="175">
        <v>3.0</v>
      </c>
      <c r="E3" s="306" t="s">
        <v>319</v>
      </c>
      <c r="F3" s="307" t="s">
        <v>320</v>
      </c>
      <c r="G3" s="307" t="s">
        <v>321</v>
      </c>
      <c r="H3" s="308" t="s">
        <v>23</v>
      </c>
      <c r="I3" s="309">
        <v>1.60007356203E11</v>
      </c>
      <c r="J3" s="71" t="s">
        <v>82</v>
      </c>
      <c r="K3" s="71" t="s">
        <v>201</v>
      </c>
      <c r="L3" s="231">
        <v>930.0</v>
      </c>
      <c r="M3" s="261">
        <v>1010.0</v>
      </c>
      <c r="N3" s="263">
        <v>46010.0</v>
      </c>
      <c r="O3" s="261">
        <v>930.0</v>
      </c>
      <c r="P3" s="76">
        <v>45979.0</v>
      </c>
      <c r="Q3" s="261">
        <v>930.0</v>
      </c>
      <c r="R3" s="310">
        <v>45950.0</v>
      </c>
      <c r="S3" s="261">
        <v>930.0</v>
      </c>
      <c r="T3" s="264">
        <v>45919.0</v>
      </c>
      <c r="U3" s="261">
        <v>930.0</v>
      </c>
      <c r="V3" s="51">
        <v>930.0</v>
      </c>
      <c r="W3" s="261">
        <v>930.0</v>
      </c>
      <c r="X3" s="78">
        <v>45861.0</v>
      </c>
      <c r="Y3" s="261">
        <v>930.0</v>
      </c>
      <c r="Z3" s="77">
        <v>45826.0</v>
      </c>
      <c r="AA3" s="261">
        <v>930.0</v>
      </c>
      <c r="AB3" s="266">
        <v>45797.0</v>
      </c>
      <c r="AC3" s="261">
        <v>930.0</v>
      </c>
      <c r="AD3" s="78">
        <v>45763.0</v>
      </c>
      <c r="AE3" s="261">
        <v>800.0</v>
      </c>
      <c r="AF3" s="78">
        <v>45735.0</v>
      </c>
      <c r="AG3" s="311">
        <v>800.0</v>
      </c>
      <c r="AH3" s="88">
        <v>45706.0</v>
      </c>
      <c r="AI3" s="311">
        <v>800.0</v>
      </c>
      <c r="AJ3" s="77">
        <v>45678.0</v>
      </c>
    </row>
    <row r="4" ht="32.25" customHeight="1">
      <c r="A4" s="74"/>
      <c r="B4" s="74"/>
      <c r="C4" s="312" t="s">
        <v>322</v>
      </c>
      <c r="D4" s="176"/>
      <c r="E4" s="313"/>
      <c r="F4" s="314"/>
      <c r="G4" s="315"/>
      <c r="H4" s="179" t="s">
        <v>50</v>
      </c>
      <c r="I4" s="85">
        <v>1.02590785E8</v>
      </c>
      <c r="J4" s="71"/>
      <c r="K4" s="71" t="s">
        <v>323</v>
      </c>
      <c r="L4" s="316">
        <v>490.0</v>
      </c>
      <c r="M4" s="311">
        <v>490.0</v>
      </c>
      <c r="N4" s="263">
        <v>46009.0</v>
      </c>
      <c r="O4" s="311">
        <v>490.0</v>
      </c>
      <c r="P4" s="75">
        <v>45980.0</v>
      </c>
      <c r="Q4" s="311">
        <v>490.0</v>
      </c>
      <c r="R4" s="75">
        <v>45947.0</v>
      </c>
      <c r="S4" s="311">
        <v>490.0</v>
      </c>
      <c r="T4" s="76">
        <v>45919.0</v>
      </c>
      <c r="U4" s="311">
        <v>490.0</v>
      </c>
      <c r="V4" s="172">
        <v>490.0</v>
      </c>
      <c r="W4" s="311">
        <v>490.0</v>
      </c>
      <c r="X4" s="78">
        <v>45861.0</v>
      </c>
      <c r="Y4" s="311"/>
      <c r="Z4" s="77"/>
      <c r="AA4" s="311"/>
      <c r="AB4" s="78"/>
      <c r="AC4" s="311"/>
      <c r="AD4" s="78"/>
      <c r="AE4" s="311"/>
      <c r="AF4" s="78"/>
      <c r="AG4" s="311"/>
      <c r="AH4" s="77"/>
      <c r="AI4" s="311"/>
      <c r="AJ4" s="77"/>
      <c r="AK4" s="90"/>
      <c r="AL4" s="90"/>
      <c r="AM4" s="90"/>
      <c r="AN4" s="90"/>
      <c r="AO4" s="90"/>
      <c r="AP4" s="90"/>
      <c r="AQ4" s="90"/>
      <c r="AR4" s="90"/>
      <c r="AS4" s="90"/>
      <c r="AT4" s="90"/>
    </row>
    <row r="5" ht="32.25" customHeight="1">
      <c r="A5" s="74"/>
      <c r="B5" s="74"/>
      <c r="C5" s="312" t="s">
        <v>324</v>
      </c>
      <c r="D5" s="176">
        <v>2.0</v>
      </c>
      <c r="E5" s="313"/>
      <c r="F5" s="314" t="s">
        <v>320</v>
      </c>
      <c r="G5" s="317" t="s">
        <v>325</v>
      </c>
      <c r="H5" s="179" t="s">
        <v>43</v>
      </c>
      <c r="I5" s="85" t="s">
        <v>326</v>
      </c>
      <c r="J5" s="71" t="s">
        <v>82</v>
      </c>
      <c r="K5" s="71"/>
      <c r="L5" s="316">
        <v>835.0</v>
      </c>
      <c r="M5" s="311">
        <v>835.0</v>
      </c>
      <c r="N5" s="263">
        <v>46009.0</v>
      </c>
      <c r="O5" s="311">
        <v>835.0</v>
      </c>
      <c r="P5" s="76">
        <v>45979.0</v>
      </c>
      <c r="Q5" s="311">
        <v>700.0</v>
      </c>
      <c r="R5" s="75">
        <v>45947.0</v>
      </c>
      <c r="S5" s="311">
        <v>700.0</v>
      </c>
      <c r="T5" s="76">
        <v>45915.0</v>
      </c>
      <c r="U5" s="311">
        <v>700.0</v>
      </c>
      <c r="V5" s="172">
        <v>700.0</v>
      </c>
      <c r="W5" s="311">
        <v>640.0</v>
      </c>
      <c r="X5" s="78">
        <v>45861.0</v>
      </c>
      <c r="Y5" s="311">
        <v>640.0</v>
      </c>
      <c r="Z5" s="77">
        <v>45827.0</v>
      </c>
      <c r="AA5" s="311">
        <v>640.0</v>
      </c>
      <c r="AB5" s="78">
        <v>45797.0</v>
      </c>
      <c r="AC5" s="311">
        <v>640.0</v>
      </c>
      <c r="AD5" s="77">
        <v>45764.0</v>
      </c>
      <c r="AE5" s="311">
        <v>640.0</v>
      </c>
      <c r="AF5" s="78">
        <v>45735.0</v>
      </c>
      <c r="AG5" s="311">
        <v>640.0</v>
      </c>
      <c r="AH5" s="77">
        <v>45706.0</v>
      </c>
      <c r="AI5" s="311">
        <v>640.0</v>
      </c>
      <c r="AJ5" s="77">
        <v>45678.0</v>
      </c>
      <c r="AK5" s="90"/>
      <c r="AL5" s="90"/>
      <c r="AM5" s="90"/>
      <c r="AN5" s="90"/>
      <c r="AO5" s="90"/>
      <c r="AP5" s="90"/>
      <c r="AQ5" s="90"/>
      <c r="AR5" s="90"/>
      <c r="AS5" s="90"/>
      <c r="AT5" s="90"/>
    </row>
    <row r="6">
      <c r="A6" s="318"/>
      <c r="B6" s="318">
        <v>3.0</v>
      </c>
      <c r="C6" s="319" t="s">
        <v>327</v>
      </c>
      <c r="D6" s="320">
        <v>4.0</v>
      </c>
      <c r="E6" s="321" t="s">
        <v>328</v>
      </c>
      <c r="F6" s="322" t="s">
        <v>320</v>
      </c>
      <c r="G6" s="323" t="s">
        <v>329</v>
      </c>
      <c r="H6" s="324" t="s">
        <v>23</v>
      </c>
      <c r="I6" s="325">
        <v>1.60007613579E11</v>
      </c>
      <c r="J6" s="326" t="s">
        <v>82</v>
      </c>
      <c r="K6" s="326" t="s">
        <v>201</v>
      </c>
      <c r="L6" s="327">
        <v>1115.0</v>
      </c>
      <c r="M6" s="328">
        <v>0.0</v>
      </c>
      <c r="N6" s="329"/>
      <c r="O6" s="328"/>
      <c r="P6" s="330"/>
      <c r="Q6" s="328">
        <v>1115.0</v>
      </c>
      <c r="R6" s="331">
        <v>45950.0</v>
      </c>
      <c r="S6" s="328">
        <v>1115.0</v>
      </c>
      <c r="T6" s="332">
        <v>45919.0</v>
      </c>
      <c r="U6" s="328">
        <v>1115.0</v>
      </c>
      <c r="V6" s="318">
        <v>1115.0</v>
      </c>
      <c r="W6" s="328">
        <v>1115.0</v>
      </c>
      <c r="X6" s="333">
        <v>45861.0</v>
      </c>
      <c r="Y6" s="328">
        <v>1115.0</v>
      </c>
      <c r="Z6" s="334">
        <v>45826.0</v>
      </c>
      <c r="AA6" s="328">
        <v>1115.0</v>
      </c>
      <c r="AB6" s="333">
        <v>45797.0</v>
      </c>
      <c r="AC6" s="328">
        <v>1115.0</v>
      </c>
      <c r="AD6" s="333">
        <v>45763.0</v>
      </c>
      <c r="AE6" s="328">
        <v>955.0</v>
      </c>
      <c r="AF6" s="333">
        <v>45735.0</v>
      </c>
      <c r="AG6" s="328">
        <v>955.0</v>
      </c>
      <c r="AH6" s="334">
        <v>45706.0</v>
      </c>
      <c r="AI6" s="328">
        <v>955.0</v>
      </c>
      <c r="AJ6" s="334">
        <v>45678.0</v>
      </c>
      <c r="AK6" s="335"/>
      <c r="AL6" s="335"/>
      <c r="AM6" s="335"/>
      <c r="AN6" s="335"/>
      <c r="AO6" s="335"/>
      <c r="AP6" s="335"/>
      <c r="AQ6" s="335"/>
      <c r="AR6" s="335"/>
      <c r="AS6" s="335"/>
      <c r="AT6" s="335"/>
    </row>
    <row r="7">
      <c r="A7" s="74"/>
      <c r="B7" s="74"/>
      <c r="C7" s="312" t="s">
        <v>330</v>
      </c>
      <c r="D7" s="176">
        <v>1.0</v>
      </c>
      <c r="E7" s="336"/>
      <c r="F7" s="314" t="s">
        <v>320</v>
      </c>
      <c r="G7" s="67" t="s">
        <v>331</v>
      </c>
      <c r="H7" s="179" t="s">
        <v>43</v>
      </c>
      <c r="I7" s="176" t="s">
        <v>332</v>
      </c>
      <c r="J7" s="85" t="s">
        <v>82</v>
      </c>
      <c r="K7" s="85" t="s">
        <v>333</v>
      </c>
      <c r="L7" s="337">
        <v>525.0</v>
      </c>
      <c r="M7" s="311">
        <v>525.0</v>
      </c>
      <c r="N7" s="263">
        <v>46009.0</v>
      </c>
      <c r="O7" s="311">
        <v>525.0</v>
      </c>
      <c r="P7" s="75">
        <v>45979.0</v>
      </c>
      <c r="Q7" s="311">
        <v>525.0</v>
      </c>
      <c r="R7" s="75">
        <v>45947.0</v>
      </c>
      <c r="S7" s="311">
        <v>525.0</v>
      </c>
      <c r="T7" s="76">
        <v>45919.0</v>
      </c>
      <c r="U7" s="311">
        <v>525.0</v>
      </c>
      <c r="V7" s="74">
        <v>525.0</v>
      </c>
      <c r="W7" s="311">
        <v>525.0</v>
      </c>
      <c r="X7" s="78">
        <v>45861.0</v>
      </c>
      <c r="Y7" s="311">
        <v>525.0</v>
      </c>
      <c r="Z7" s="77">
        <v>45827.0</v>
      </c>
      <c r="AA7" s="311">
        <v>525.0</v>
      </c>
      <c r="AB7" s="78">
        <v>45797.0</v>
      </c>
      <c r="AC7" s="311">
        <v>525.0</v>
      </c>
      <c r="AD7" s="77">
        <v>45764.0</v>
      </c>
      <c r="AE7" s="311">
        <v>525.0</v>
      </c>
      <c r="AF7" s="78">
        <v>45735.0</v>
      </c>
      <c r="AG7" s="311"/>
      <c r="AH7" s="77"/>
      <c r="AI7" s="311"/>
      <c r="AJ7" s="77"/>
      <c r="AK7" s="90"/>
      <c r="AL7" s="90"/>
      <c r="AM7" s="90"/>
      <c r="AN7" s="90"/>
      <c r="AO7" s="90"/>
      <c r="AP7" s="90"/>
      <c r="AQ7" s="90"/>
      <c r="AR7" s="90"/>
      <c r="AS7" s="90"/>
      <c r="AT7" s="90"/>
    </row>
    <row r="8">
      <c r="A8" s="74"/>
      <c r="B8" s="74">
        <v>4.0</v>
      </c>
      <c r="C8" s="338" t="s">
        <v>334</v>
      </c>
      <c r="D8" s="176">
        <v>1.0</v>
      </c>
      <c r="E8" s="339" t="s">
        <v>335</v>
      </c>
      <c r="F8" s="314" t="s">
        <v>320</v>
      </c>
      <c r="G8" s="67" t="s">
        <v>336</v>
      </c>
      <c r="H8" s="340" t="s">
        <v>43</v>
      </c>
      <c r="I8" s="341" t="s">
        <v>337</v>
      </c>
      <c r="J8" s="85" t="s">
        <v>82</v>
      </c>
      <c r="K8" s="85" t="s">
        <v>338</v>
      </c>
      <c r="L8" s="337">
        <v>730.0</v>
      </c>
      <c r="M8" s="311">
        <v>730.0</v>
      </c>
      <c r="N8" s="263">
        <v>46009.0</v>
      </c>
      <c r="O8" s="311">
        <v>730.0</v>
      </c>
      <c r="P8" s="75">
        <v>45979.0</v>
      </c>
      <c r="Q8" s="311">
        <v>730.0</v>
      </c>
      <c r="R8" s="75">
        <v>45947.0</v>
      </c>
      <c r="S8" s="311">
        <v>730.0</v>
      </c>
      <c r="T8" s="76">
        <v>45919.0</v>
      </c>
      <c r="U8" s="311">
        <v>730.0</v>
      </c>
      <c r="V8" s="74">
        <v>730.0</v>
      </c>
      <c r="W8" s="311">
        <v>730.0</v>
      </c>
      <c r="X8" s="78">
        <v>45861.0</v>
      </c>
      <c r="Y8" s="311">
        <v>730.0</v>
      </c>
      <c r="Z8" s="77">
        <v>45826.0</v>
      </c>
      <c r="AA8" s="311">
        <v>730.0</v>
      </c>
      <c r="AB8" s="78">
        <v>45797.0</v>
      </c>
      <c r="AC8" s="311">
        <v>730.0</v>
      </c>
      <c r="AD8" s="78">
        <v>45763.0</v>
      </c>
      <c r="AE8" s="311">
        <v>730.0</v>
      </c>
      <c r="AF8" s="78">
        <v>45735.0</v>
      </c>
      <c r="AG8" s="311">
        <v>730.0</v>
      </c>
      <c r="AH8" s="77">
        <v>45707.0</v>
      </c>
      <c r="AI8" s="311">
        <v>650.0</v>
      </c>
      <c r="AJ8" s="77">
        <v>45678.0</v>
      </c>
      <c r="AK8" s="90"/>
      <c r="AL8" s="90"/>
      <c r="AM8" s="90"/>
      <c r="AN8" s="90"/>
      <c r="AO8" s="90"/>
      <c r="AP8" s="90"/>
      <c r="AQ8" s="90"/>
      <c r="AR8" s="90"/>
      <c r="AS8" s="90"/>
      <c r="AT8" s="90"/>
    </row>
    <row r="9">
      <c r="A9" s="74"/>
      <c r="B9" s="74">
        <v>5.0</v>
      </c>
      <c r="C9" s="342" t="s">
        <v>339</v>
      </c>
      <c r="D9" s="65">
        <v>2.0</v>
      </c>
      <c r="E9" s="343" t="s">
        <v>340</v>
      </c>
      <c r="F9" s="314" t="s">
        <v>320</v>
      </c>
      <c r="G9" s="344" t="s">
        <v>341</v>
      </c>
      <c r="H9" s="65" t="s">
        <v>342</v>
      </c>
      <c r="I9" s="345">
        <v>5.110116301E9</v>
      </c>
      <c r="J9" s="85" t="s">
        <v>82</v>
      </c>
      <c r="K9" s="85" t="s">
        <v>338</v>
      </c>
      <c r="L9" s="337">
        <v>905.0</v>
      </c>
      <c r="M9" s="346">
        <v>905.0</v>
      </c>
      <c r="N9" s="263"/>
      <c r="O9" s="311">
        <v>0.0</v>
      </c>
      <c r="P9" s="263"/>
      <c r="Q9" s="346">
        <v>905.0</v>
      </c>
      <c r="R9" s="347"/>
      <c r="S9" s="311">
        <v>905.0</v>
      </c>
      <c r="T9" s="76"/>
      <c r="U9" s="311">
        <v>905.0</v>
      </c>
      <c r="V9" s="78"/>
      <c r="W9" s="311">
        <v>905.0</v>
      </c>
      <c r="X9" s="78"/>
      <c r="Y9" s="311">
        <v>875.0</v>
      </c>
      <c r="Z9" s="112">
        <v>45848.0</v>
      </c>
      <c r="AA9" s="311">
        <v>875.0</v>
      </c>
      <c r="AB9" s="348">
        <v>45818.0</v>
      </c>
      <c r="AC9" s="311">
        <v>875.0</v>
      </c>
      <c r="AD9" s="78">
        <v>45763.0</v>
      </c>
      <c r="AE9" s="311">
        <v>875.0</v>
      </c>
      <c r="AF9" s="78">
        <v>45735.0</v>
      </c>
      <c r="AG9" s="311">
        <f>875+875</f>
        <v>1750</v>
      </c>
      <c r="AH9" s="78">
        <v>45726.0</v>
      </c>
      <c r="AI9" s="311">
        <v>875.0</v>
      </c>
      <c r="AJ9" s="78">
        <v>45667.0</v>
      </c>
      <c r="AK9" s="90"/>
      <c r="AL9" s="90"/>
      <c r="AM9" s="90"/>
      <c r="AN9" s="90"/>
      <c r="AO9" s="90"/>
      <c r="AP9" s="90"/>
      <c r="AQ9" s="90"/>
      <c r="AR9" s="90"/>
      <c r="AS9" s="90"/>
      <c r="AT9" s="90"/>
    </row>
    <row r="10">
      <c r="A10" s="349"/>
      <c r="B10" s="349">
        <v>6.0</v>
      </c>
      <c r="C10" s="350" t="s">
        <v>343</v>
      </c>
      <c r="D10" s="351">
        <v>1.0</v>
      </c>
      <c r="E10" s="352" t="s">
        <v>344</v>
      </c>
      <c r="F10" s="353" t="s">
        <v>320</v>
      </c>
      <c r="G10" s="122" t="s">
        <v>345</v>
      </c>
      <c r="H10" s="351" t="s">
        <v>18</v>
      </c>
      <c r="I10" s="351" t="s">
        <v>346</v>
      </c>
      <c r="J10" s="354" t="s">
        <v>82</v>
      </c>
      <c r="K10" s="355" t="s">
        <v>347</v>
      </c>
      <c r="L10" s="356">
        <v>279.0</v>
      </c>
      <c r="M10" s="357">
        <v>826.0</v>
      </c>
      <c r="N10" s="145">
        <v>46009.0</v>
      </c>
      <c r="O10" s="357">
        <v>279.0</v>
      </c>
      <c r="P10" s="358">
        <v>45979.0</v>
      </c>
      <c r="Q10" s="357">
        <v>279.0</v>
      </c>
      <c r="R10" s="358">
        <v>45947.0</v>
      </c>
      <c r="S10" s="357">
        <v>279.0</v>
      </c>
      <c r="T10" s="359">
        <v>45919.0</v>
      </c>
      <c r="U10" s="357">
        <v>279.0</v>
      </c>
      <c r="V10" s="349">
        <v>279.0</v>
      </c>
      <c r="W10" s="357">
        <v>279.0</v>
      </c>
      <c r="X10" s="360">
        <v>45861.0</v>
      </c>
      <c r="Y10" s="357">
        <v>279.0</v>
      </c>
      <c r="Z10" s="361">
        <v>45826.0</v>
      </c>
      <c r="AA10" s="357">
        <v>279.0</v>
      </c>
      <c r="AB10" s="360">
        <v>45797.0</v>
      </c>
      <c r="AC10" s="357">
        <v>0.0</v>
      </c>
      <c r="AD10" s="360"/>
      <c r="AE10" s="357">
        <v>279.0</v>
      </c>
      <c r="AF10" s="360">
        <v>45735.0</v>
      </c>
      <c r="AG10" s="357">
        <v>276.0</v>
      </c>
      <c r="AH10" s="361">
        <v>45707.0</v>
      </c>
      <c r="AI10" s="357">
        <v>276.0</v>
      </c>
      <c r="AJ10" s="361">
        <v>45678.0</v>
      </c>
      <c r="AK10" s="362"/>
      <c r="AL10" s="362"/>
      <c r="AM10" s="362"/>
      <c r="AN10" s="362"/>
      <c r="AO10" s="362"/>
      <c r="AP10" s="362"/>
      <c r="AQ10" s="362"/>
      <c r="AR10" s="362"/>
      <c r="AS10" s="362"/>
      <c r="AT10" s="362"/>
    </row>
    <row r="11">
      <c r="A11" s="74"/>
      <c r="B11" s="51">
        <v>7.0</v>
      </c>
      <c r="C11" s="363" t="s">
        <v>348</v>
      </c>
      <c r="D11" s="65">
        <v>1.0</v>
      </c>
      <c r="E11" s="364" t="s">
        <v>349</v>
      </c>
      <c r="F11" s="314" t="s">
        <v>320</v>
      </c>
      <c r="G11" s="121" t="s">
        <v>183</v>
      </c>
      <c r="H11" s="179" t="s">
        <v>266</v>
      </c>
      <c r="I11" s="365">
        <v>6.063194562E9</v>
      </c>
      <c r="J11" s="71" t="s">
        <v>82</v>
      </c>
      <c r="K11" s="71" t="s">
        <v>350</v>
      </c>
      <c r="L11" s="337">
        <v>665.0</v>
      </c>
      <c r="M11" s="311">
        <v>665.0</v>
      </c>
      <c r="N11" s="145">
        <v>46009.0</v>
      </c>
      <c r="O11" s="311">
        <v>665.0</v>
      </c>
      <c r="P11" s="75">
        <v>45979.0</v>
      </c>
      <c r="Q11" s="311">
        <v>665.0</v>
      </c>
      <c r="R11" s="146">
        <v>45947.0</v>
      </c>
      <c r="S11" s="311">
        <f>665+665</f>
        <v>1330</v>
      </c>
      <c r="T11" s="76">
        <v>45919.0</v>
      </c>
      <c r="U11" s="311">
        <v>665.0</v>
      </c>
      <c r="V11" s="77">
        <v>45889.0</v>
      </c>
      <c r="W11" s="366">
        <v>665.0</v>
      </c>
      <c r="X11" s="367">
        <v>45856.0</v>
      </c>
      <c r="Y11" s="311">
        <v>665.0</v>
      </c>
      <c r="Z11" s="77">
        <v>45826.0</v>
      </c>
      <c r="AA11" s="311">
        <v>550.0</v>
      </c>
      <c r="AB11" s="147">
        <v>45797.0</v>
      </c>
      <c r="AC11" s="311">
        <v>550.0</v>
      </c>
      <c r="AD11" s="78">
        <v>45763.0</v>
      </c>
      <c r="AE11" s="311">
        <v>550.0</v>
      </c>
      <c r="AF11" s="78">
        <v>45735.0</v>
      </c>
      <c r="AG11" s="311">
        <v>550.0</v>
      </c>
      <c r="AH11" s="77">
        <v>45707.0</v>
      </c>
      <c r="AI11" s="311">
        <v>550.0</v>
      </c>
      <c r="AJ11" s="77">
        <v>45678.0</v>
      </c>
      <c r="AK11" s="90"/>
      <c r="AL11" s="90"/>
      <c r="AM11" s="90"/>
      <c r="AN11" s="90"/>
      <c r="AO11" s="90"/>
      <c r="AP11" s="90"/>
      <c r="AQ11" s="90"/>
      <c r="AR11" s="90"/>
      <c r="AS11" s="90"/>
      <c r="AT11" s="90"/>
    </row>
    <row r="12">
      <c r="A12" s="74"/>
      <c r="B12" s="74">
        <v>8.0</v>
      </c>
      <c r="C12" s="363" t="s">
        <v>351</v>
      </c>
      <c r="D12" s="65">
        <v>4.0</v>
      </c>
      <c r="E12" s="368" t="s">
        <v>352</v>
      </c>
      <c r="F12" s="314" t="s">
        <v>320</v>
      </c>
      <c r="G12" s="369" t="s">
        <v>300</v>
      </c>
      <c r="H12" s="179" t="s">
        <v>43</v>
      </c>
      <c r="I12" s="365">
        <v>3.1009554936E10</v>
      </c>
      <c r="J12" s="85" t="s">
        <v>82</v>
      </c>
      <c r="K12" s="85"/>
      <c r="L12" s="337">
        <v>750.0</v>
      </c>
      <c r="M12" s="311">
        <v>750.0</v>
      </c>
      <c r="N12" s="263">
        <v>46009.0</v>
      </c>
      <c r="O12" s="311">
        <v>750.0</v>
      </c>
      <c r="P12" s="75">
        <v>45979.0</v>
      </c>
      <c r="Q12" s="311">
        <v>750.0</v>
      </c>
      <c r="R12" s="75">
        <v>45947.0</v>
      </c>
      <c r="S12" s="311">
        <v>750.0</v>
      </c>
      <c r="T12" s="76">
        <v>45919.0</v>
      </c>
      <c r="U12" s="311">
        <v>750.0</v>
      </c>
      <c r="V12" s="311">
        <v>750.0</v>
      </c>
      <c r="W12" s="311">
        <v>750.0</v>
      </c>
      <c r="X12" s="78">
        <v>45861.0</v>
      </c>
      <c r="Y12" s="311">
        <v>750.0</v>
      </c>
      <c r="Z12" s="77">
        <v>45827.0</v>
      </c>
      <c r="AA12" s="311">
        <v>750.0</v>
      </c>
      <c r="AB12" s="78">
        <v>45797.0</v>
      </c>
      <c r="AC12" s="311">
        <v>750.0</v>
      </c>
      <c r="AD12" s="77">
        <v>45764.0</v>
      </c>
      <c r="AE12" s="311">
        <v>740.0</v>
      </c>
      <c r="AF12" s="78">
        <v>45735.0</v>
      </c>
      <c r="AG12" s="311">
        <v>740.0</v>
      </c>
      <c r="AH12" s="77">
        <v>45706.0</v>
      </c>
      <c r="AI12" s="311">
        <v>740.0</v>
      </c>
      <c r="AJ12" s="77">
        <v>45678.0</v>
      </c>
      <c r="AK12" s="90"/>
      <c r="AL12" s="90"/>
      <c r="AM12" s="90"/>
      <c r="AN12" s="90"/>
      <c r="AO12" s="90"/>
      <c r="AP12" s="90"/>
      <c r="AQ12" s="90"/>
      <c r="AR12" s="90"/>
      <c r="AS12" s="90"/>
      <c r="AT12" s="90"/>
    </row>
    <row r="13">
      <c r="A13" s="51"/>
      <c r="B13" s="51">
        <v>9.0</v>
      </c>
      <c r="C13" s="363" t="s">
        <v>353</v>
      </c>
      <c r="D13" s="65">
        <v>6.0</v>
      </c>
      <c r="E13" s="368" t="s">
        <v>354</v>
      </c>
      <c r="F13" s="307" t="s">
        <v>320</v>
      </c>
      <c r="G13" s="370" t="s">
        <v>300</v>
      </c>
      <c r="H13" s="179" t="s">
        <v>43</v>
      </c>
      <c r="I13" s="365" t="s">
        <v>355</v>
      </c>
      <c r="J13" s="71" t="s">
        <v>99</v>
      </c>
      <c r="K13" s="371" t="s">
        <v>356</v>
      </c>
      <c r="L13" s="372">
        <v>910.0</v>
      </c>
      <c r="M13" s="346">
        <v>910.0</v>
      </c>
      <c r="N13" s="262"/>
      <c r="O13" s="346">
        <v>910.0</v>
      </c>
      <c r="P13" s="373"/>
      <c r="Q13" s="261">
        <v>910.0</v>
      </c>
      <c r="R13" s="146">
        <v>45947.0</v>
      </c>
      <c r="S13" s="346">
        <v>910.0</v>
      </c>
      <c r="T13" s="374"/>
      <c r="U13" s="346">
        <v>910.0</v>
      </c>
      <c r="V13" s="78"/>
      <c r="W13" s="311">
        <v>840.0</v>
      </c>
      <c r="X13" s="78"/>
      <c r="Y13" s="261">
        <v>840.0</v>
      </c>
      <c r="Z13" s="77">
        <v>45855.0</v>
      </c>
      <c r="AA13" s="311">
        <v>1680.0</v>
      </c>
      <c r="AB13" s="348">
        <v>45825.0</v>
      </c>
      <c r="AC13" s="311">
        <v>840.0</v>
      </c>
      <c r="AD13" s="77">
        <v>45764.0</v>
      </c>
      <c r="AE13" s="311">
        <v>840.0</v>
      </c>
      <c r="AF13" s="88">
        <v>45918.0</v>
      </c>
      <c r="AG13" s="311">
        <v>840.0</v>
      </c>
      <c r="AH13" s="88">
        <v>45706.0</v>
      </c>
      <c r="AI13" s="311">
        <v>840.0</v>
      </c>
      <c r="AJ13" s="77">
        <v>45673.0</v>
      </c>
    </row>
    <row r="14">
      <c r="A14" s="51"/>
      <c r="B14" s="51"/>
      <c r="C14" s="375" t="s">
        <v>357</v>
      </c>
      <c r="D14" s="376">
        <v>4.0</v>
      </c>
      <c r="E14" s="377"/>
      <c r="F14" s="307" t="s">
        <v>320</v>
      </c>
      <c r="G14" s="378" t="s">
        <v>358</v>
      </c>
      <c r="H14" s="379" t="s">
        <v>359</v>
      </c>
      <c r="I14" s="380">
        <v>96185.0</v>
      </c>
      <c r="J14" s="85" t="s">
        <v>82</v>
      </c>
      <c r="K14" s="381"/>
      <c r="L14" s="231">
        <v>518.0</v>
      </c>
      <c r="M14" s="311">
        <v>518.0</v>
      </c>
      <c r="N14" s="263">
        <v>46009.0</v>
      </c>
      <c r="O14" s="382">
        <v>518.0</v>
      </c>
      <c r="P14" s="75"/>
      <c r="Q14" s="261"/>
      <c r="R14" s="146"/>
      <c r="S14" s="261"/>
      <c r="T14" s="76"/>
      <c r="U14" s="261"/>
      <c r="V14" s="261"/>
      <c r="W14" s="311"/>
      <c r="X14" s="266"/>
      <c r="Y14" s="261"/>
      <c r="Z14" s="77"/>
      <c r="AA14" s="261"/>
      <c r="AB14" s="78"/>
      <c r="AC14" s="261"/>
      <c r="AD14" s="266"/>
      <c r="AE14" s="311"/>
      <c r="AF14" s="78"/>
      <c r="AG14" s="261"/>
      <c r="AH14" s="88"/>
      <c r="AI14" s="261"/>
      <c r="AJ14" s="77"/>
    </row>
    <row r="15">
      <c r="A15" s="383"/>
      <c r="B15" s="383">
        <v>11.0</v>
      </c>
      <c r="C15" s="384" t="s">
        <v>360</v>
      </c>
      <c r="D15" s="385">
        <v>3.0</v>
      </c>
      <c r="E15" s="384"/>
      <c r="F15" s="386" t="s">
        <v>248</v>
      </c>
      <c r="G15" s="387" t="s">
        <v>361</v>
      </c>
      <c r="H15" s="385" t="s">
        <v>359</v>
      </c>
      <c r="I15" s="388">
        <v>1.03460112E8</v>
      </c>
      <c r="J15" s="388" t="s">
        <v>131</v>
      </c>
      <c r="K15" s="388" t="s">
        <v>250</v>
      </c>
      <c r="L15" s="389">
        <v>530.0</v>
      </c>
      <c r="M15" s="390">
        <v>530.0</v>
      </c>
      <c r="N15" s="391">
        <v>46009.0</v>
      </c>
      <c r="O15" s="390">
        <v>530.0</v>
      </c>
      <c r="P15" s="392">
        <v>45980.0</v>
      </c>
      <c r="Q15" s="390">
        <v>500.0</v>
      </c>
      <c r="R15" s="393">
        <v>45947.0</v>
      </c>
      <c r="S15" s="390">
        <v>500.0</v>
      </c>
      <c r="T15" s="394">
        <v>45919.0</v>
      </c>
      <c r="U15" s="390">
        <v>500.0</v>
      </c>
      <c r="V15" s="383">
        <v>500.0</v>
      </c>
      <c r="W15" s="390">
        <v>500.0</v>
      </c>
      <c r="X15" s="395">
        <v>45861.0</v>
      </c>
      <c r="Y15" s="390">
        <v>500.0</v>
      </c>
      <c r="Z15" s="395">
        <v>45827.0</v>
      </c>
      <c r="AA15" s="390">
        <v>500.0</v>
      </c>
      <c r="AB15" s="396">
        <v>45797.0</v>
      </c>
      <c r="AC15" s="390">
        <v>500.0</v>
      </c>
      <c r="AD15" s="395">
        <v>45763.0</v>
      </c>
      <c r="AE15" s="390">
        <v>550.0</v>
      </c>
      <c r="AF15" s="396">
        <v>45735.0</v>
      </c>
      <c r="AG15" s="390">
        <v>500.0</v>
      </c>
      <c r="AH15" s="395">
        <v>46009.0</v>
      </c>
      <c r="AI15" s="390">
        <v>500.0</v>
      </c>
      <c r="AJ15" s="395">
        <v>45678.0</v>
      </c>
      <c r="AK15" s="397"/>
      <c r="AL15" s="397"/>
      <c r="AM15" s="397"/>
      <c r="AN15" s="397"/>
      <c r="AO15" s="397"/>
      <c r="AP15" s="397"/>
      <c r="AQ15" s="397"/>
      <c r="AR15" s="397"/>
      <c r="AS15" s="397"/>
      <c r="AT15" s="397"/>
    </row>
    <row r="16">
      <c r="A16" s="383"/>
      <c r="B16" s="383">
        <v>10.0</v>
      </c>
      <c r="C16" s="384" t="s">
        <v>362</v>
      </c>
      <c r="D16" s="385">
        <v>18.0</v>
      </c>
      <c r="E16" s="398"/>
      <c r="F16" s="386" t="s">
        <v>248</v>
      </c>
      <c r="G16" s="399" t="s">
        <v>363</v>
      </c>
      <c r="H16" s="400"/>
      <c r="I16" s="401"/>
      <c r="J16" s="388" t="s">
        <v>131</v>
      </c>
      <c r="K16" s="388"/>
      <c r="L16" s="389"/>
      <c r="M16" s="390">
        <v>0.0</v>
      </c>
      <c r="N16" s="402"/>
      <c r="O16" s="390">
        <v>0.0</v>
      </c>
      <c r="P16" s="403"/>
      <c r="Q16" s="390">
        <v>0.0</v>
      </c>
      <c r="R16" s="393"/>
      <c r="S16" s="390">
        <v>0.0</v>
      </c>
      <c r="T16" s="394"/>
      <c r="U16" s="390">
        <v>0.0</v>
      </c>
      <c r="V16" s="390">
        <v>0.0</v>
      </c>
      <c r="W16" s="390">
        <v>0.0</v>
      </c>
      <c r="X16" s="396"/>
      <c r="Y16" s="390">
        <v>0.0</v>
      </c>
      <c r="Z16" s="395"/>
      <c r="AA16" s="390">
        <v>0.0</v>
      </c>
      <c r="AB16" s="396"/>
      <c r="AC16" s="390">
        <v>0.0</v>
      </c>
      <c r="AD16" s="396"/>
      <c r="AE16" s="390">
        <v>0.0</v>
      </c>
      <c r="AF16" s="395"/>
      <c r="AG16" s="390">
        <v>0.0</v>
      </c>
      <c r="AH16" s="395"/>
      <c r="AI16" s="390"/>
      <c r="AJ16" s="395"/>
      <c r="AK16" s="397"/>
      <c r="AL16" s="397"/>
      <c r="AM16" s="397"/>
      <c r="AN16" s="397"/>
      <c r="AO16" s="397"/>
      <c r="AP16" s="397"/>
      <c r="AQ16" s="397"/>
      <c r="AR16" s="397"/>
      <c r="AS16" s="397"/>
      <c r="AT16" s="397"/>
    </row>
    <row r="17">
      <c r="A17" s="180"/>
      <c r="B17" s="181" t="s">
        <v>308</v>
      </c>
      <c r="C17" s="5"/>
      <c r="D17" s="5"/>
      <c r="E17" s="5"/>
      <c r="F17" s="5"/>
      <c r="G17" s="5"/>
      <c r="H17" s="5"/>
      <c r="I17" s="5"/>
      <c r="J17" s="5"/>
      <c r="K17" s="5"/>
      <c r="L17" s="6"/>
      <c r="M17" s="299">
        <f>SUM(M3:M15)</f>
        <v>8694</v>
      </c>
      <c r="N17" s="299"/>
      <c r="O17" s="299">
        <f>SUM(O3:O15)</f>
        <v>7162</v>
      </c>
      <c r="P17" s="299"/>
      <c r="Q17" s="299">
        <f>SUM(Q3:Q15)</f>
        <v>8499</v>
      </c>
      <c r="R17" s="299"/>
      <c r="S17" s="299">
        <f>SUM(S3:S15)</f>
        <v>9164</v>
      </c>
      <c r="T17" s="299"/>
      <c r="U17" s="299">
        <f>SUM(U3:U15)</f>
        <v>8499</v>
      </c>
      <c r="V17" s="299"/>
      <c r="W17" s="299">
        <f>SUM(W3:W15)</f>
        <v>8369</v>
      </c>
      <c r="X17" s="299"/>
      <c r="Y17" s="299">
        <f>SUM(Y3:Y15)</f>
        <v>7849</v>
      </c>
      <c r="Z17" s="299"/>
      <c r="AA17" s="299">
        <f>SUM(AA3:AA15)</f>
        <v>8574</v>
      </c>
      <c r="AB17" s="299"/>
      <c r="AC17" s="299">
        <f>SUM(AC3:AC15)</f>
        <v>7455</v>
      </c>
      <c r="AD17" s="299"/>
      <c r="AE17" s="299">
        <f>SUM(AE3:AE15)</f>
        <v>7484</v>
      </c>
      <c r="AF17" s="299"/>
      <c r="AG17" s="299">
        <f>SUM(AG3:AG15)</f>
        <v>7781</v>
      </c>
      <c r="AH17" s="299"/>
      <c r="AI17" s="299">
        <f>SUM(AI3:AI15)</f>
        <v>6826</v>
      </c>
      <c r="AJ17" s="299"/>
    </row>
    <row r="20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404" t="s">
        <v>320</v>
      </c>
      <c r="M20" s="32">
        <f>SUM(M3:M14)</f>
        <v>8164</v>
      </c>
      <c r="N20" s="32"/>
      <c r="O20" s="32">
        <f>SUM(O3:O14)</f>
        <v>6632</v>
      </c>
      <c r="P20" s="32"/>
      <c r="Q20" s="32">
        <f>SUM(Q3:Q14)</f>
        <v>7999</v>
      </c>
      <c r="R20" s="32"/>
      <c r="S20" s="32">
        <f>SUM(S3:S14)</f>
        <v>8664</v>
      </c>
      <c r="T20" s="32"/>
      <c r="U20" s="32">
        <f>SUM(U3:U14)</f>
        <v>7999</v>
      </c>
      <c r="V20" s="32"/>
      <c r="W20" s="32">
        <f>SUM(W3:W14)</f>
        <v>7869</v>
      </c>
      <c r="X20" s="32"/>
      <c r="Y20" s="32">
        <f>SUM(Y3:Y14)</f>
        <v>7349</v>
      </c>
      <c r="Z20" s="32"/>
      <c r="AA20" s="32">
        <f>SUM(AA3:AA14)</f>
        <v>8074</v>
      </c>
      <c r="AB20" s="32"/>
      <c r="AC20" s="32">
        <f>SUM(AC3:AC14)</f>
        <v>6955</v>
      </c>
      <c r="AD20" s="32"/>
      <c r="AE20" s="32">
        <f>SUM(AE3:AE14)</f>
        <v>6934</v>
      </c>
      <c r="AF20" s="32"/>
      <c r="AG20" s="32">
        <f>SUM(AG3:AG14)</f>
        <v>7281</v>
      </c>
      <c r="AH20" s="32"/>
      <c r="AI20" s="32">
        <f>SUM(AI3:AI14)</f>
        <v>6326</v>
      </c>
      <c r="AJ20" s="32"/>
      <c r="AK20" s="186">
        <f t="shared" ref="AK20:AK21" si="1">SUM(M20:AJ20)</f>
        <v>90246</v>
      </c>
      <c r="AL20" s="32"/>
      <c r="AM20" s="32"/>
      <c r="AN20" s="32"/>
      <c r="AO20" s="32"/>
      <c r="AP20" s="32"/>
      <c r="AQ20" s="32"/>
      <c r="AR20" s="32"/>
      <c r="AS20" s="32"/>
      <c r="AT20" s="32"/>
    </row>
    <row r="2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404" t="s">
        <v>248</v>
      </c>
      <c r="M21" s="32">
        <f>SUM(M15:M16)</f>
        <v>530</v>
      </c>
      <c r="N21" s="32"/>
      <c r="O21" s="32">
        <f>O15</f>
        <v>530</v>
      </c>
      <c r="P21" s="32"/>
      <c r="Q21" s="32">
        <f>Q15</f>
        <v>500</v>
      </c>
      <c r="R21" s="32"/>
      <c r="S21" s="32">
        <f>S15</f>
        <v>500</v>
      </c>
      <c r="T21" s="32"/>
      <c r="U21" s="32">
        <f>U15</f>
        <v>500</v>
      </c>
      <c r="V21" s="32"/>
      <c r="W21" s="32">
        <f>SUM(W15)</f>
        <v>500</v>
      </c>
      <c r="X21" s="32"/>
      <c r="Y21" s="32">
        <f>SUM(Y15)</f>
        <v>500</v>
      </c>
      <c r="Z21" s="32"/>
      <c r="AA21" s="32">
        <f>SUM(AA15)</f>
        <v>500</v>
      </c>
      <c r="AB21" s="32"/>
      <c r="AC21" s="32">
        <f>AC15</f>
        <v>500</v>
      </c>
      <c r="AD21" s="32"/>
      <c r="AE21" s="32">
        <f>SUM(AE15)</f>
        <v>550</v>
      </c>
      <c r="AF21" s="32"/>
      <c r="AG21" s="32">
        <f>AG15</f>
        <v>500</v>
      </c>
      <c r="AH21" s="32"/>
      <c r="AI21" s="32">
        <f>AI15</f>
        <v>500</v>
      </c>
      <c r="AJ21" s="32"/>
      <c r="AK21" s="186">
        <f t="shared" si="1"/>
        <v>6110</v>
      </c>
      <c r="AL21" s="32"/>
      <c r="AM21" s="32"/>
      <c r="AN21" s="32"/>
      <c r="AO21" s="32"/>
      <c r="AP21" s="32"/>
      <c r="AQ21" s="32"/>
      <c r="AR21" s="32"/>
      <c r="AS21" s="32"/>
      <c r="AT21" s="32"/>
    </row>
  </sheetData>
  <autoFilter ref="$A$1:$AJ$17"/>
  <mergeCells count="13">
    <mergeCell ref="AE1:AF1"/>
    <mergeCell ref="AG1:AH1"/>
    <mergeCell ref="AI1:AJ1"/>
    <mergeCell ref="M2:N2"/>
    <mergeCell ref="O2:P2"/>
    <mergeCell ref="B17:L17"/>
    <mergeCell ref="Q1:R1"/>
    <mergeCell ref="S1:T1"/>
    <mergeCell ref="U1:V1"/>
    <mergeCell ref="W1:X1"/>
    <mergeCell ref="Y1:Z1"/>
    <mergeCell ref="AA1:AB1"/>
    <mergeCell ref="AC1:AD1"/>
  </mergeCells>
  <hyperlinks>
    <hyperlink r:id="rId2" ref="E3"/>
    <hyperlink r:id="rId3" ref="E6"/>
    <hyperlink r:id="rId4" ref="E8"/>
    <hyperlink r:id="rId5" ref="E9"/>
    <hyperlink r:id="rId6" ref="E10"/>
    <hyperlink r:id="rId7" ref="E11"/>
    <hyperlink r:id="rId8" ref="E12"/>
    <hyperlink r:id="rId9" ref="E13"/>
  </hyperlinks>
  <drawing r:id="rId10"/>
  <legacy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38"/>
    <col customWidth="1" min="2" max="2" width="9.13"/>
    <col customWidth="1" min="3" max="3" width="3.13"/>
    <col customWidth="1" min="4" max="4" width="24.5"/>
    <col customWidth="1" min="5" max="5" width="9.75"/>
    <col customWidth="1" min="6" max="6" width="14.75"/>
    <col customWidth="1" min="7" max="7" width="9.5"/>
    <col customWidth="1" min="8" max="8" width="14.88"/>
    <col customWidth="1" min="9" max="9" width="12.38"/>
    <col customWidth="1" min="10" max="10" width="14.38"/>
    <col customWidth="1" min="11" max="11" width="13.25"/>
    <col customWidth="1" min="12" max="12" width="12.13"/>
    <col customWidth="1" min="13" max="13" width="9.88"/>
    <col customWidth="1" min="14" max="29" width="9.13"/>
    <col customWidth="1" min="30" max="30" width="8.88"/>
    <col customWidth="1" min="31" max="31" width="8.0"/>
    <col customWidth="1" min="32" max="36" width="9.13"/>
    <col customWidth="1" min="37" max="37" width="10.0"/>
  </cols>
  <sheetData>
    <row r="1" ht="44.25" customHeight="1">
      <c r="A1" s="220"/>
      <c r="B1" s="220" t="s">
        <v>241</v>
      </c>
      <c r="C1" s="405"/>
      <c r="D1" s="54" t="s">
        <v>56</v>
      </c>
      <c r="E1" s="54" t="s">
        <v>57</v>
      </c>
      <c r="F1" s="54" t="s">
        <v>58</v>
      </c>
      <c r="G1" s="222" t="s">
        <v>59</v>
      </c>
      <c r="H1" s="54" t="s">
        <v>60</v>
      </c>
      <c r="I1" s="57" t="s">
        <v>61</v>
      </c>
      <c r="J1" s="54" t="s">
        <v>62</v>
      </c>
      <c r="K1" s="54" t="s">
        <v>63</v>
      </c>
      <c r="L1" s="54" t="s">
        <v>242</v>
      </c>
      <c r="M1" s="406" t="s">
        <v>65</v>
      </c>
      <c r="N1" s="407" t="s">
        <v>66</v>
      </c>
      <c r="O1" s="6"/>
      <c r="P1" s="407" t="s">
        <v>243</v>
      </c>
      <c r="Q1" s="6"/>
      <c r="R1" s="407" t="s">
        <v>68</v>
      </c>
      <c r="S1" s="6"/>
      <c r="T1" s="407" t="s">
        <v>364</v>
      </c>
      <c r="U1" s="6"/>
      <c r="V1" s="407" t="s">
        <v>70</v>
      </c>
      <c r="W1" s="6"/>
      <c r="X1" s="407" t="s">
        <v>71</v>
      </c>
      <c r="Y1" s="6"/>
      <c r="Z1" s="407" t="s">
        <v>72</v>
      </c>
      <c r="AA1" s="6"/>
      <c r="AB1" s="407" t="s">
        <v>365</v>
      </c>
      <c r="AC1" s="6"/>
      <c r="AD1" s="407" t="s">
        <v>366</v>
      </c>
      <c r="AE1" s="6"/>
      <c r="AF1" s="407" t="s">
        <v>367</v>
      </c>
      <c r="AG1" s="6"/>
      <c r="AH1" s="407" t="s">
        <v>368</v>
      </c>
      <c r="AI1" s="6"/>
      <c r="AJ1" s="407" t="s">
        <v>369</v>
      </c>
      <c r="AK1" s="6"/>
    </row>
    <row r="2">
      <c r="A2" s="408">
        <v>1.0</v>
      </c>
      <c r="B2" s="113">
        <v>44835.0</v>
      </c>
      <c r="C2" s="409">
        <v>1.0</v>
      </c>
      <c r="D2" s="410" t="s">
        <v>370</v>
      </c>
      <c r="E2" s="179">
        <v>3.0</v>
      </c>
      <c r="F2" s="179"/>
      <c r="G2" s="411" t="s">
        <v>371</v>
      </c>
      <c r="H2" s="411" t="s">
        <v>265</v>
      </c>
      <c r="I2" s="86" t="s">
        <v>266</v>
      </c>
      <c r="J2" s="365">
        <v>6.063194562E9</v>
      </c>
      <c r="K2" s="172" t="s">
        <v>131</v>
      </c>
      <c r="L2" s="172" t="s">
        <v>372</v>
      </c>
      <c r="M2" s="412">
        <v>665.0</v>
      </c>
      <c r="N2" s="413">
        <v>0.0</v>
      </c>
      <c r="O2" s="414"/>
      <c r="P2" s="413">
        <v>0.0</v>
      </c>
      <c r="Q2" s="415"/>
      <c r="R2" s="413">
        <v>665.0</v>
      </c>
      <c r="S2" s="146">
        <v>45947.0</v>
      </c>
      <c r="T2" s="172">
        <v>665.0</v>
      </c>
      <c r="U2" s="76">
        <v>45919.0</v>
      </c>
      <c r="V2" s="172">
        <v>665.0</v>
      </c>
      <c r="W2" s="77">
        <v>45889.0</v>
      </c>
      <c r="X2" s="172">
        <v>665.0</v>
      </c>
      <c r="Y2" s="78">
        <v>45861.0</v>
      </c>
      <c r="Z2" s="172">
        <v>665.0</v>
      </c>
      <c r="AA2" s="77">
        <v>45826.0</v>
      </c>
      <c r="AB2" s="172">
        <v>665.0</v>
      </c>
      <c r="AC2" s="147">
        <v>45797.0</v>
      </c>
      <c r="AD2" s="416">
        <v>550.0</v>
      </c>
      <c r="AE2" s="78">
        <v>45763.0</v>
      </c>
      <c r="AF2" s="51">
        <v>550.0</v>
      </c>
      <c r="AG2" s="88">
        <v>45735.0</v>
      </c>
      <c r="AH2" s="74">
        <v>550.0</v>
      </c>
      <c r="AI2" s="77">
        <v>45706.0</v>
      </c>
      <c r="AJ2" s="74">
        <v>550.0</v>
      </c>
      <c r="AK2" s="77">
        <v>45673.0</v>
      </c>
      <c r="AL2" s="417"/>
      <c r="AM2" s="417"/>
      <c r="AN2" s="417"/>
      <c r="AO2" s="417"/>
      <c r="AP2" s="417"/>
      <c r="AQ2" s="417"/>
      <c r="AR2" s="417"/>
      <c r="AS2" s="417"/>
      <c r="AT2" s="417"/>
      <c r="AU2" s="417"/>
      <c r="AV2" s="417"/>
      <c r="AW2" s="417"/>
    </row>
    <row r="3">
      <c r="A3" s="206">
        <v>1.0</v>
      </c>
      <c r="B3" s="77">
        <v>45017.0</v>
      </c>
      <c r="C3" s="74">
        <v>2.0</v>
      </c>
      <c r="D3" s="410" t="s">
        <v>373</v>
      </c>
      <c r="E3" s="179">
        <v>1.0</v>
      </c>
      <c r="F3" s="179"/>
      <c r="G3" s="411" t="s">
        <v>371</v>
      </c>
      <c r="H3" s="418" t="s">
        <v>265</v>
      </c>
      <c r="I3" s="72" t="s">
        <v>266</v>
      </c>
      <c r="J3" s="260">
        <v>6.063194562E9</v>
      </c>
      <c r="K3" s="173" t="s">
        <v>131</v>
      </c>
      <c r="L3" s="173" t="s">
        <v>374</v>
      </c>
      <c r="M3" s="412">
        <v>665.0</v>
      </c>
      <c r="N3" s="172">
        <v>665.0</v>
      </c>
      <c r="O3" s="145">
        <v>46009.0</v>
      </c>
      <c r="P3" s="172">
        <v>665.0</v>
      </c>
      <c r="Q3" s="75">
        <v>45979.0</v>
      </c>
      <c r="R3" s="172">
        <v>665.0</v>
      </c>
      <c r="S3" s="146">
        <v>45947.0</v>
      </c>
      <c r="T3" s="172">
        <v>665.0</v>
      </c>
      <c r="U3" s="76">
        <v>45919.0</v>
      </c>
      <c r="V3" s="172">
        <v>665.0</v>
      </c>
      <c r="W3" s="77">
        <v>45889.0</v>
      </c>
      <c r="X3" s="172">
        <v>665.0</v>
      </c>
      <c r="Y3" s="78">
        <v>45861.0</v>
      </c>
      <c r="Z3" s="172">
        <v>1330.0</v>
      </c>
      <c r="AA3" s="77">
        <v>45826.0</v>
      </c>
      <c r="AB3" s="172">
        <v>665.0</v>
      </c>
      <c r="AC3" s="147">
        <v>45797.0</v>
      </c>
      <c r="AD3" s="416">
        <v>550.0</v>
      </c>
      <c r="AE3" s="78">
        <v>45763.0</v>
      </c>
      <c r="AF3" s="74">
        <v>1100.0</v>
      </c>
      <c r="AG3" s="88">
        <v>45735.0</v>
      </c>
      <c r="AH3" s="74">
        <v>550.0</v>
      </c>
      <c r="AI3" s="77">
        <v>45706.0</v>
      </c>
      <c r="AJ3" s="74">
        <v>550.0</v>
      </c>
      <c r="AK3" s="77">
        <v>45673.0</v>
      </c>
    </row>
    <row r="4">
      <c r="A4" s="419"/>
      <c r="B4" s="420"/>
      <c r="C4" s="421" t="s">
        <v>308</v>
      </c>
      <c r="D4" s="5"/>
      <c r="E4" s="5"/>
      <c r="F4" s="5"/>
      <c r="G4" s="5"/>
      <c r="H4" s="5"/>
      <c r="I4" s="5"/>
      <c r="J4" s="5"/>
      <c r="K4" s="5"/>
      <c r="L4" s="421"/>
      <c r="M4" s="422">
        <f t="shared" ref="M4:N4" si="1">SUM(M2:M3)</f>
        <v>1330</v>
      </c>
      <c r="N4" s="423">
        <f t="shared" si="1"/>
        <v>665</v>
      </c>
      <c r="O4" s="423"/>
      <c r="P4" s="423">
        <f>SUM(P2:P3)</f>
        <v>665</v>
      </c>
      <c r="Q4" s="423"/>
      <c r="R4" s="423">
        <f>SUM(R2:R3)</f>
        <v>1330</v>
      </c>
      <c r="S4" s="423"/>
      <c r="T4" s="423">
        <f>SUM(T2:T3)</f>
        <v>1330</v>
      </c>
      <c r="U4" s="423"/>
      <c r="V4" s="423">
        <f>SUM(V2:V3)</f>
        <v>1330</v>
      </c>
      <c r="W4" s="423"/>
      <c r="X4" s="423">
        <f>SUM(X2:X3)</f>
        <v>1330</v>
      </c>
      <c r="Y4" s="423"/>
      <c r="Z4" s="423">
        <f>SUM(Z2:Z3)</f>
        <v>1995</v>
      </c>
      <c r="AA4" s="423"/>
      <c r="AB4" s="423">
        <f>SUM(AB2:AB3)</f>
        <v>1330</v>
      </c>
      <c r="AC4" s="423"/>
      <c r="AD4" s="423">
        <f>SUM(AD2:AD3)</f>
        <v>1100</v>
      </c>
      <c r="AE4" s="423"/>
      <c r="AF4" s="423">
        <f>SUM(AF2:AF3)</f>
        <v>1650</v>
      </c>
      <c r="AG4" s="77"/>
      <c r="AH4" s="423">
        <f>SUM(AH2:AH3)</f>
        <v>1100</v>
      </c>
      <c r="AI4" s="423"/>
      <c r="AJ4" s="423">
        <f>SUM(AJ2:AJ3)</f>
        <v>1100</v>
      </c>
      <c r="AK4" s="423"/>
      <c r="AL4" s="424">
        <f>SUM(N4:AJ4)</f>
        <v>14925</v>
      </c>
    </row>
  </sheetData>
  <autoFilter ref="$C$1:$M$4"/>
  <mergeCells count="13"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Z1:AA1"/>
    <mergeCell ref="C4:K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7.25"/>
    <col customWidth="1" min="3" max="3" width="28.0"/>
    <col customWidth="1" min="4" max="5" width="6.25"/>
    <col customWidth="1" min="6" max="6" width="14.75"/>
    <col customWidth="1" min="7" max="7" width="11.63"/>
    <col customWidth="1" min="8" max="8" width="13.13"/>
    <col customWidth="1" min="9" max="9" width="13.25"/>
    <col customWidth="1" min="10" max="10" width="14.5"/>
    <col customWidth="1" min="11" max="11" width="15.25"/>
    <col customWidth="1" min="12" max="12" width="9.5"/>
    <col customWidth="1" min="13" max="13" width="8.88"/>
    <col customWidth="1" min="14" max="14" width="11.75"/>
    <col customWidth="1" hidden="1" min="15" max="15" width="10.63"/>
    <col customWidth="1" hidden="1" min="16" max="16" width="11.25"/>
    <col customWidth="1" hidden="1" min="17" max="17" width="10.63"/>
    <col customWidth="1" hidden="1" min="18" max="18" width="11.13"/>
    <col customWidth="1" hidden="1" min="19" max="19" width="10.63"/>
    <col customWidth="1" hidden="1" min="20" max="20" width="10.88"/>
    <col customWidth="1" hidden="1" min="21" max="25" width="10.63"/>
    <col customWidth="1" hidden="1" min="26" max="26" width="10.88"/>
    <col customWidth="1" hidden="1" min="27" max="27" width="9.63"/>
    <col customWidth="1" hidden="1" min="28" max="31" width="10.63"/>
    <col customWidth="1" hidden="1" min="32" max="32" width="11.63"/>
    <col customWidth="1" hidden="1" min="33" max="33" width="7.13"/>
    <col customWidth="1" hidden="1" min="34" max="34" width="9.25"/>
    <col customWidth="1" hidden="1" min="35" max="35" width="8.63"/>
    <col customWidth="1" hidden="1" min="36" max="36" width="10.63"/>
    <col customWidth="1" hidden="1" min="37" max="37" width="8.13"/>
  </cols>
  <sheetData>
    <row r="1" ht="50.25" customHeight="1">
      <c r="A1" s="425" t="s">
        <v>241</v>
      </c>
      <c r="B1" s="52" t="s">
        <v>375</v>
      </c>
      <c r="C1" s="54" t="s">
        <v>56</v>
      </c>
      <c r="D1" s="54"/>
      <c r="E1" s="54" t="s">
        <v>57</v>
      </c>
      <c r="F1" s="54" t="s">
        <v>58</v>
      </c>
      <c r="G1" s="222" t="s">
        <v>59</v>
      </c>
      <c r="H1" s="58" t="s">
        <v>60</v>
      </c>
      <c r="I1" s="58" t="s">
        <v>61</v>
      </c>
      <c r="J1" s="54" t="s">
        <v>62</v>
      </c>
      <c r="K1" s="54" t="s">
        <v>63</v>
      </c>
      <c r="L1" s="54" t="s">
        <v>242</v>
      </c>
      <c r="M1" s="426" t="s">
        <v>65</v>
      </c>
      <c r="N1" s="60" t="s">
        <v>66</v>
      </c>
      <c r="O1" s="6"/>
      <c r="P1" s="60" t="s">
        <v>243</v>
      </c>
      <c r="Q1" s="6"/>
      <c r="R1" s="60" t="s">
        <v>68</v>
      </c>
      <c r="S1" s="6"/>
      <c r="T1" s="60" t="s">
        <v>69</v>
      </c>
      <c r="U1" s="6"/>
      <c r="V1" s="60" t="s">
        <v>70</v>
      </c>
      <c r="W1" s="6"/>
      <c r="X1" s="60" t="s">
        <v>71</v>
      </c>
      <c r="Y1" s="6"/>
      <c r="Z1" s="60" t="s">
        <v>72</v>
      </c>
      <c r="AA1" s="6"/>
      <c r="AB1" s="60" t="s">
        <v>376</v>
      </c>
      <c r="AC1" s="6"/>
      <c r="AD1" s="60" t="s">
        <v>377</v>
      </c>
      <c r="AE1" s="6"/>
      <c r="AF1" s="60" t="s">
        <v>367</v>
      </c>
      <c r="AG1" s="6"/>
      <c r="AH1" s="60" t="s">
        <v>239</v>
      </c>
      <c r="AI1" s="6"/>
      <c r="AJ1" s="60" t="s">
        <v>378</v>
      </c>
      <c r="AK1" s="6"/>
    </row>
    <row r="2" hidden="1">
      <c r="A2" s="77">
        <v>43742.0</v>
      </c>
      <c r="B2" s="51">
        <v>65.0</v>
      </c>
      <c r="C2" s="288" t="s">
        <v>379</v>
      </c>
      <c r="D2" s="427"/>
      <c r="E2" s="427">
        <v>1.0</v>
      </c>
      <c r="F2" s="339" t="s">
        <v>380</v>
      </c>
      <c r="G2" s="314" t="s">
        <v>381</v>
      </c>
      <c r="H2" s="121" t="s">
        <v>382</v>
      </c>
      <c r="I2" s="115" t="s">
        <v>23</v>
      </c>
      <c r="J2" s="365" t="s">
        <v>383</v>
      </c>
      <c r="K2" s="71" t="s">
        <v>131</v>
      </c>
      <c r="L2" s="260" t="s">
        <v>384</v>
      </c>
      <c r="M2" s="428" t="s">
        <v>274</v>
      </c>
      <c r="N2" s="429"/>
      <c r="O2" s="430"/>
      <c r="P2" s="429"/>
      <c r="Q2" s="431"/>
      <c r="R2" s="429"/>
      <c r="S2" s="432"/>
      <c r="T2" s="429"/>
      <c r="U2" s="433"/>
      <c r="V2" s="429"/>
      <c r="W2" s="429"/>
      <c r="X2" s="416"/>
      <c r="Y2" s="434"/>
      <c r="Z2" s="416"/>
      <c r="AA2" s="77"/>
      <c r="AB2" s="416">
        <v>0.0</v>
      </c>
      <c r="AC2" s="146"/>
      <c r="AD2" s="416"/>
      <c r="AE2" s="146">
        <v>45392.0</v>
      </c>
      <c r="AF2" s="416"/>
      <c r="AG2" s="146"/>
      <c r="AH2" s="416"/>
      <c r="AI2" s="77"/>
      <c r="AJ2" s="416"/>
      <c r="AK2" s="77"/>
    </row>
    <row r="3" hidden="1">
      <c r="A3" s="77">
        <v>43913.0</v>
      </c>
      <c r="B3" s="51">
        <v>67.0</v>
      </c>
      <c r="C3" s="288" t="s">
        <v>385</v>
      </c>
      <c r="D3" s="427"/>
      <c r="E3" s="427">
        <v>4.0</v>
      </c>
      <c r="F3" s="435" t="s">
        <v>386</v>
      </c>
      <c r="G3" s="314" t="s">
        <v>381</v>
      </c>
      <c r="H3" s="121" t="s">
        <v>382</v>
      </c>
      <c r="I3" s="115" t="s">
        <v>23</v>
      </c>
      <c r="J3" s="365" t="s">
        <v>383</v>
      </c>
      <c r="K3" s="71" t="s">
        <v>131</v>
      </c>
      <c r="L3" s="260" t="s">
        <v>384</v>
      </c>
      <c r="M3" s="428" t="s">
        <v>274</v>
      </c>
      <c r="N3" s="429"/>
      <c r="O3" s="430"/>
      <c r="P3" s="429"/>
      <c r="Q3" s="431"/>
      <c r="R3" s="429"/>
      <c r="S3" s="432"/>
      <c r="T3" s="429"/>
      <c r="U3" s="433"/>
      <c r="V3" s="429"/>
      <c r="W3" s="429"/>
      <c r="X3" s="416"/>
      <c r="Y3" s="434"/>
      <c r="Z3" s="416"/>
      <c r="AA3" s="77"/>
      <c r="AB3" s="416">
        <v>0.0</v>
      </c>
      <c r="AC3" s="146"/>
      <c r="AD3" s="416"/>
      <c r="AE3" s="146">
        <v>45392.0</v>
      </c>
      <c r="AF3" s="416"/>
      <c r="AG3" s="146"/>
      <c r="AH3" s="416"/>
      <c r="AI3" s="77"/>
      <c r="AJ3" s="416"/>
      <c r="AK3" s="77"/>
    </row>
    <row r="4">
      <c r="A4" s="243">
        <v>43255.0</v>
      </c>
      <c r="B4" s="244">
        <v>63.0</v>
      </c>
      <c r="C4" s="436" t="s">
        <v>387</v>
      </c>
      <c r="D4" s="437">
        <v>2.0</v>
      </c>
      <c r="E4" s="438">
        <v>4.0</v>
      </c>
      <c r="F4" s="439"/>
      <c r="G4" s="440" t="s">
        <v>381</v>
      </c>
      <c r="H4" s="247" t="s">
        <v>388</v>
      </c>
      <c r="I4" s="246" t="s">
        <v>43</v>
      </c>
      <c r="J4" s="249" t="s">
        <v>389</v>
      </c>
      <c r="K4" s="249" t="s">
        <v>131</v>
      </c>
      <c r="L4" s="249"/>
      <c r="M4" s="250">
        <v>600.0</v>
      </c>
      <c r="N4" s="441">
        <v>600.0</v>
      </c>
      <c r="O4" s="442">
        <v>46009.0</v>
      </c>
      <c r="P4" s="441">
        <v>600.0</v>
      </c>
      <c r="Q4" s="253">
        <v>45979.0</v>
      </c>
      <c r="R4" s="441">
        <v>600.0</v>
      </c>
      <c r="S4" s="443">
        <v>45950.0</v>
      </c>
      <c r="T4" s="441">
        <v>600.0</v>
      </c>
      <c r="U4" s="253">
        <v>45919.0</v>
      </c>
      <c r="V4" s="441">
        <v>600.0</v>
      </c>
      <c r="W4" s="250">
        <v>600.0</v>
      </c>
      <c r="X4" s="441">
        <v>600.0</v>
      </c>
      <c r="Y4" s="444">
        <v>45861.0</v>
      </c>
      <c r="Z4" s="441"/>
      <c r="AA4" s="243"/>
      <c r="AB4" s="441"/>
      <c r="AC4" s="443"/>
      <c r="AD4" s="441"/>
      <c r="AE4" s="444"/>
      <c r="AF4" s="441"/>
      <c r="AG4" s="443"/>
      <c r="AH4" s="441"/>
      <c r="AI4" s="243"/>
      <c r="AJ4" s="441"/>
      <c r="AK4" s="243"/>
      <c r="AL4" s="256"/>
      <c r="AM4" s="256"/>
      <c r="AN4" s="256"/>
      <c r="AO4" s="256"/>
      <c r="AP4" s="256"/>
      <c r="AQ4" s="256"/>
      <c r="AR4" s="256"/>
      <c r="AS4" s="256"/>
    </row>
    <row r="5">
      <c r="A5" s="243">
        <v>43266.0</v>
      </c>
      <c r="B5" s="244">
        <v>64.0</v>
      </c>
      <c r="C5" s="445" t="s">
        <v>390</v>
      </c>
      <c r="D5" s="446">
        <v>3.0</v>
      </c>
      <c r="E5" s="447">
        <v>2.0</v>
      </c>
      <c r="F5" s="439"/>
      <c r="G5" s="440" t="s">
        <v>381</v>
      </c>
      <c r="H5" s="247" t="s">
        <v>388</v>
      </c>
      <c r="I5" s="246" t="s">
        <v>43</v>
      </c>
      <c r="J5" s="249" t="s">
        <v>391</v>
      </c>
      <c r="K5" s="249" t="s">
        <v>131</v>
      </c>
      <c r="L5" s="249"/>
      <c r="M5" s="448">
        <v>600.0</v>
      </c>
      <c r="N5" s="441">
        <v>600.0</v>
      </c>
      <c r="O5" s="442">
        <v>46009.0</v>
      </c>
      <c r="P5" s="441">
        <v>600.0</v>
      </c>
      <c r="Q5" s="253">
        <v>45979.0</v>
      </c>
      <c r="R5" s="441">
        <v>600.0</v>
      </c>
      <c r="S5" s="443">
        <v>45950.0</v>
      </c>
      <c r="T5" s="441">
        <v>600.0</v>
      </c>
      <c r="U5" s="253">
        <v>45919.0</v>
      </c>
      <c r="V5" s="441">
        <v>600.0</v>
      </c>
      <c r="W5" s="250">
        <v>600.0</v>
      </c>
      <c r="X5" s="441">
        <v>600.0</v>
      </c>
      <c r="Y5" s="444">
        <v>45861.0</v>
      </c>
      <c r="Z5" s="441"/>
      <c r="AA5" s="243"/>
      <c r="AB5" s="441"/>
      <c r="AC5" s="443"/>
      <c r="AD5" s="441"/>
      <c r="AE5" s="443"/>
      <c r="AF5" s="441"/>
      <c r="AG5" s="444"/>
      <c r="AH5" s="441"/>
      <c r="AI5" s="243"/>
      <c r="AJ5" s="441"/>
      <c r="AK5" s="243"/>
      <c r="AL5" s="256"/>
      <c r="AM5" s="256"/>
      <c r="AN5" s="256"/>
      <c r="AO5" s="256"/>
      <c r="AP5" s="256"/>
      <c r="AQ5" s="256"/>
      <c r="AR5" s="256"/>
      <c r="AS5" s="256"/>
    </row>
    <row r="6">
      <c r="A6" s="243">
        <v>45611.0</v>
      </c>
      <c r="B6" s="244"/>
      <c r="C6" s="449" t="s">
        <v>392</v>
      </c>
      <c r="D6" s="446">
        <v>19.0</v>
      </c>
      <c r="E6" s="446">
        <v>1.0</v>
      </c>
      <c r="F6" s="450" t="s">
        <v>393</v>
      </c>
      <c r="G6" s="440" t="s">
        <v>381</v>
      </c>
      <c r="H6" s="247" t="s">
        <v>388</v>
      </c>
      <c r="I6" s="246" t="s">
        <v>23</v>
      </c>
      <c r="J6" s="451">
        <v>7.20017283753E11</v>
      </c>
      <c r="K6" s="249" t="s">
        <v>394</v>
      </c>
      <c r="L6" s="452"/>
      <c r="M6" s="448">
        <f>800+200</f>
        <v>1000</v>
      </c>
      <c r="N6" s="441">
        <v>1140.0</v>
      </c>
      <c r="O6" s="453">
        <v>46010.0</v>
      </c>
      <c r="P6" s="441">
        <v>1000.01</v>
      </c>
      <c r="Q6" s="252">
        <v>45980.0</v>
      </c>
      <c r="R6" s="441">
        <v>1000.0</v>
      </c>
      <c r="S6" s="443">
        <v>45950.0</v>
      </c>
      <c r="T6" s="441">
        <v>1000.0</v>
      </c>
      <c r="U6" s="253">
        <v>45919.0</v>
      </c>
      <c r="V6" s="441">
        <v>1000.0</v>
      </c>
      <c r="W6" s="454">
        <v>1000.0</v>
      </c>
      <c r="X6" s="441">
        <v>1000.0</v>
      </c>
      <c r="Y6" s="444">
        <v>45861.0</v>
      </c>
      <c r="Z6" s="441">
        <v>1000.0</v>
      </c>
      <c r="AA6" s="243">
        <v>45826.0</v>
      </c>
      <c r="AB6" s="441">
        <v>1000.0</v>
      </c>
      <c r="AC6" s="254">
        <v>45797.0</v>
      </c>
      <c r="AD6" s="441">
        <v>1000.0</v>
      </c>
      <c r="AE6" s="444">
        <v>45763.0</v>
      </c>
      <c r="AF6" s="250">
        <v>1000.0</v>
      </c>
      <c r="AG6" s="443">
        <v>45735.0</v>
      </c>
      <c r="AH6" s="441">
        <v>800.0</v>
      </c>
      <c r="AI6" s="443">
        <v>45706.0</v>
      </c>
      <c r="AJ6" s="441">
        <v>800.0</v>
      </c>
      <c r="AK6" s="243">
        <v>45678.0</v>
      </c>
      <c r="AL6" s="256"/>
      <c r="AM6" s="256"/>
      <c r="AN6" s="256"/>
      <c r="AO6" s="256"/>
      <c r="AP6" s="256"/>
      <c r="AQ6" s="256"/>
      <c r="AR6" s="256"/>
      <c r="AS6" s="256"/>
    </row>
    <row r="7">
      <c r="A7" s="243"/>
      <c r="B7" s="244"/>
      <c r="C7" s="449" t="s">
        <v>395</v>
      </c>
      <c r="D7" s="437">
        <v>20.0</v>
      </c>
      <c r="E7" s="446"/>
      <c r="F7" s="455"/>
      <c r="G7" s="440" t="s">
        <v>381</v>
      </c>
      <c r="H7" s="247" t="s">
        <v>388</v>
      </c>
      <c r="I7" s="246" t="s">
        <v>23</v>
      </c>
      <c r="J7" s="249">
        <v>7.20018904822E11</v>
      </c>
      <c r="K7" s="249" t="s">
        <v>131</v>
      </c>
      <c r="L7" s="452"/>
      <c r="M7" s="448">
        <v>950.0</v>
      </c>
      <c r="N7" s="441">
        <v>950.0</v>
      </c>
      <c r="O7" s="453">
        <v>46010.0</v>
      </c>
      <c r="P7" s="441">
        <v>950.0</v>
      </c>
      <c r="Q7" s="252">
        <v>45980.0</v>
      </c>
      <c r="R7" s="441"/>
      <c r="S7" s="443"/>
      <c r="T7" s="441"/>
      <c r="U7" s="253"/>
      <c r="V7" s="441"/>
      <c r="W7" s="454"/>
      <c r="X7" s="456"/>
      <c r="Y7" s="444"/>
      <c r="Z7" s="441"/>
      <c r="AA7" s="243"/>
      <c r="AB7" s="441"/>
      <c r="AC7" s="457"/>
      <c r="AD7" s="441"/>
      <c r="AE7" s="444"/>
      <c r="AF7" s="250"/>
      <c r="AG7" s="443"/>
      <c r="AH7" s="441"/>
      <c r="AI7" s="443"/>
      <c r="AJ7" s="441"/>
      <c r="AK7" s="243"/>
      <c r="AL7" s="256"/>
      <c r="AM7" s="256"/>
      <c r="AN7" s="256"/>
      <c r="AO7" s="256"/>
      <c r="AP7" s="256"/>
      <c r="AQ7" s="256"/>
      <c r="AR7" s="256"/>
      <c r="AS7" s="256"/>
    </row>
    <row r="8">
      <c r="A8" s="243">
        <v>43264.0</v>
      </c>
      <c r="B8" s="244">
        <v>57.0</v>
      </c>
      <c r="C8" s="449" t="s">
        <v>396</v>
      </c>
      <c r="D8" s="446">
        <v>21.0</v>
      </c>
      <c r="E8" s="446">
        <v>3.0</v>
      </c>
      <c r="F8" s="455" t="s">
        <v>397</v>
      </c>
      <c r="G8" s="440" t="s">
        <v>381</v>
      </c>
      <c r="H8" s="247" t="s">
        <v>19</v>
      </c>
      <c r="I8" s="246" t="s">
        <v>18</v>
      </c>
      <c r="J8" s="249">
        <v>5.72011585088E11</v>
      </c>
      <c r="K8" s="249" t="s">
        <v>131</v>
      </c>
      <c r="L8" s="249" t="s">
        <v>398</v>
      </c>
      <c r="M8" s="250">
        <v>689.0</v>
      </c>
      <c r="N8" s="441">
        <v>689.0</v>
      </c>
      <c r="O8" s="458">
        <v>46009.0</v>
      </c>
      <c r="P8" s="441">
        <v>689.0</v>
      </c>
      <c r="Q8" s="253">
        <v>45979.0</v>
      </c>
      <c r="R8" s="441">
        <v>689.0</v>
      </c>
      <c r="S8" s="443">
        <v>45947.0</v>
      </c>
      <c r="T8" s="441">
        <v>689.0</v>
      </c>
      <c r="U8" s="253">
        <v>45919.0</v>
      </c>
      <c r="V8" s="441">
        <v>689.0</v>
      </c>
      <c r="W8" s="454">
        <v>689.0</v>
      </c>
      <c r="X8" s="456">
        <v>689.0</v>
      </c>
      <c r="Y8" s="443">
        <v>45856.0</v>
      </c>
      <c r="Z8" s="441">
        <v>689.0</v>
      </c>
      <c r="AA8" s="243">
        <v>45826.0</v>
      </c>
      <c r="AB8" s="441">
        <v>689.0</v>
      </c>
      <c r="AC8" s="457">
        <v>45797.0</v>
      </c>
      <c r="AD8" s="441">
        <v>689.0</v>
      </c>
      <c r="AE8" s="443">
        <v>45793.0</v>
      </c>
      <c r="AF8" s="250">
        <v>689.0</v>
      </c>
      <c r="AG8" s="443">
        <v>45735.0</v>
      </c>
      <c r="AH8" s="441">
        <v>689.0</v>
      </c>
      <c r="AI8" s="443">
        <v>45706.0</v>
      </c>
      <c r="AJ8" s="441">
        <v>649.0</v>
      </c>
      <c r="AK8" s="243">
        <v>45677.0</v>
      </c>
      <c r="AL8" s="256"/>
      <c r="AM8" s="256"/>
      <c r="AN8" s="256"/>
      <c r="AO8" s="256"/>
      <c r="AP8" s="256"/>
      <c r="AQ8" s="256"/>
      <c r="AR8" s="256"/>
      <c r="AS8" s="256"/>
    </row>
    <row r="9">
      <c r="A9" s="243">
        <v>44542.0</v>
      </c>
      <c r="B9" s="244">
        <v>60.0</v>
      </c>
      <c r="C9" s="245" t="s">
        <v>399</v>
      </c>
      <c r="D9" s="437">
        <v>22.0</v>
      </c>
      <c r="E9" s="459"/>
      <c r="F9" s="251" t="s">
        <v>400</v>
      </c>
      <c r="G9" s="440" t="s">
        <v>381</v>
      </c>
      <c r="H9" s="247" t="s">
        <v>183</v>
      </c>
      <c r="I9" s="246" t="s">
        <v>266</v>
      </c>
      <c r="J9" s="249">
        <v>6.063194562E9</v>
      </c>
      <c r="K9" s="249" t="s">
        <v>131</v>
      </c>
      <c r="L9" s="249" t="s">
        <v>301</v>
      </c>
      <c r="M9" s="250">
        <v>665.0</v>
      </c>
      <c r="N9" s="441">
        <v>1330.0</v>
      </c>
      <c r="O9" s="458">
        <v>46009.0</v>
      </c>
      <c r="P9" s="441">
        <v>665.0</v>
      </c>
      <c r="Q9" s="252">
        <v>45979.0</v>
      </c>
      <c r="R9" s="441">
        <v>665.0</v>
      </c>
      <c r="S9" s="443">
        <v>45947.0</v>
      </c>
      <c r="T9" s="441">
        <v>665.0</v>
      </c>
      <c r="U9" s="253">
        <v>45919.0</v>
      </c>
      <c r="V9" s="441">
        <v>0.0</v>
      </c>
      <c r="W9" s="244">
        <v>0.0</v>
      </c>
      <c r="X9" s="441">
        <v>665.0</v>
      </c>
      <c r="Y9" s="444">
        <v>45856.0</v>
      </c>
      <c r="Z9" s="441">
        <v>665.0</v>
      </c>
      <c r="AA9" s="243">
        <v>45826.0</v>
      </c>
      <c r="AB9" s="441">
        <v>550.0</v>
      </c>
      <c r="AC9" s="457">
        <v>45797.0</v>
      </c>
      <c r="AD9" s="441">
        <v>550.0</v>
      </c>
      <c r="AE9" s="254">
        <v>45763.0</v>
      </c>
      <c r="AF9" s="250">
        <v>550.0</v>
      </c>
      <c r="AG9" s="254">
        <v>45735.0</v>
      </c>
      <c r="AH9" s="441">
        <v>550.0</v>
      </c>
      <c r="AI9" s="243">
        <v>45707.0</v>
      </c>
      <c r="AJ9" s="441">
        <v>550.0</v>
      </c>
      <c r="AK9" s="243">
        <v>45682.0</v>
      </c>
      <c r="AL9" s="256"/>
      <c r="AM9" s="256"/>
      <c r="AN9" s="256"/>
      <c r="AO9" s="256"/>
      <c r="AP9" s="256"/>
      <c r="AQ9" s="256"/>
      <c r="AR9" s="256"/>
      <c r="AS9" s="256"/>
    </row>
    <row r="10">
      <c r="A10" s="243">
        <v>44519.0</v>
      </c>
      <c r="B10" s="244">
        <v>62.0</v>
      </c>
      <c r="C10" s="245" t="s">
        <v>401</v>
      </c>
      <c r="D10" s="446">
        <v>23.0</v>
      </c>
      <c r="E10" s="459"/>
      <c r="F10" s="244" t="s">
        <v>400</v>
      </c>
      <c r="G10" s="440" t="s">
        <v>381</v>
      </c>
      <c r="H10" s="247" t="s">
        <v>183</v>
      </c>
      <c r="I10" s="246" t="s">
        <v>266</v>
      </c>
      <c r="J10" s="249">
        <v>6.063194562E9</v>
      </c>
      <c r="K10" s="249" t="s">
        <v>131</v>
      </c>
      <c r="L10" s="249" t="s">
        <v>372</v>
      </c>
      <c r="M10" s="250">
        <v>725.0</v>
      </c>
      <c r="N10" s="441"/>
      <c r="O10" s="442"/>
      <c r="P10" s="441"/>
      <c r="Q10" s="460"/>
      <c r="R10" s="441">
        <v>725.0</v>
      </c>
      <c r="S10" s="443">
        <v>45947.0</v>
      </c>
      <c r="T10" s="441">
        <v>725.0</v>
      </c>
      <c r="U10" s="253">
        <v>45919.0</v>
      </c>
      <c r="V10" s="441">
        <v>725.0</v>
      </c>
      <c r="W10" s="243">
        <v>45889.0</v>
      </c>
      <c r="X10" s="441">
        <v>725.0</v>
      </c>
      <c r="Y10" s="444">
        <v>45861.0</v>
      </c>
      <c r="Z10" s="441">
        <v>725.0</v>
      </c>
      <c r="AA10" s="243">
        <v>45826.0</v>
      </c>
      <c r="AB10" s="441">
        <v>725.0</v>
      </c>
      <c r="AC10" s="457">
        <v>45797.0</v>
      </c>
      <c r="AD10" s="441">
        <v>600.0</v>
      </c>
      <c r="AE10" s="443">
        <v>45763.0</v>
      </c>
      <c r="AF10" s="250">
        <v>600.0</v>
      </c>
      <c r="AG10" s="254">
        <v>45735.0</v>
      </c>
      <c r="AH10" s="441">
        <v>600.0</v>
      </c>
      <c r="AI10" s="243"/>
      <c r="AJ10" s="441">
        <v>600.0</v>
      </c>
      <c r="AK10" s="243">
        <v>45673.0</v>
      </c>
      <c r="AL10" s="256"/>
      <c r="AM10" s="256"/>
      <c r="AN10" s="256"/>
      <c r="AO10" s="256"/>
      <c r="AP10" s="256"/>
      <c r="AQ10" s="256"/>
      <c r="AR10" s="256"/>
      <c r="AS10" s="256"/>
    </row>
    <row r="11">
      <c r="A11" s="243">
        <v>44519.0</v>
      </c>
      <c r="B11" s="244"/>
      <c r="C11" s="245" t="s">
        <v>402</v>
      </c>
      <c r="D11" s="437">
        <v>24.0</v>
      </c>
      <c r="E11" s="459">
        <v>4.0</v>
      </c>
      <c r="F11" s="244"/>
      <c r="G11" s="440" t="s">
        <v>381</v>
      </c>
      <c r="H11" s="247" t="s">
        <v>403</v>
      </c>
      <c r="I11" s="246" t="s">
        <v>23</v>
      </c>
      <c r="J11" s="249">
        <v>7.20018899016E11</v>
      </c>
      <c r="K11" s="249" t="s">
        <v>131</v>
      </c>
      <c r="L11" s="452"/>
      <c r="M11" s="448">
        <v>950.0</v>
      </c>
      <c r="N11" s="441">
        <v>951.0</v>
      </c>
      <c r="O11" s="453">
        <v>46010.0</v>
      </c>
      <c r="P11" s="441">
        <v>950.0</v>
      </c>
      <c r="Q11" s="252">
        <v>45980.0</v>
      </c>
      <c r="R11" s="441"/>
      <c r="S11" s="250"/>
      <c r="T11" s="441"/>
      <c r="U11" s="253"/>
      <c r="V11" s="441"/>
      <c r="W11" s="243"/>
      <c r="X11" s="441"/>
      <c r="Y11" s="444"/>
      <c r="Z11" s="441"/>
      <c r="AA11" s="243"/>
      <c r="AB11" s="441"/>
      <c r="AC11" s="457"/>
      <c r="AD11" s="441"/>
      <c r="AE11" s="443"/>
      <c r="AF11" s="250"/>
      <c r="AG11" s="254"/>
      <c r="AH11" s="441"/>
      <c r="AI11" s="243"/>
      <c r="AJ11" s="441"/>
      <c r="AK11" s="243"/>
      <c r="AL11" s="256"/>
      <c r="AM11" s="256"/>
      <c r="AN11" s="256"/>
      <c r="AO11" s="256"/>
      <c r="AP11" s="256"/>
      <c r="AQ11" s="256"/>
      <c r="AR11" s="256"/>
      <c r="AS11" s="256"/>
    </row>
    <row r="12">
      <c r="A12" s="243">
        <v>45354.0</v>
      </c>
      <c r="B12" s="244">
        <v>59.0</v>
      </c>
      <c r="C12" s="449" t="s">
        <v>404</v>
      </c>
      <c r="D12" s="437">
        <v>26.0</v>
      </c>
      <c r="E12" s="446"/>
      <c r="F12" s="245" t="s">
        <v>405</v>
      </c>
      <c r="G12" s="440" t="s">
        <v>381</v>
      </c>
      <c r="H12" s="247" t="s">
        <v>406</v>
      </c>
      <c r="I12" s="246" t="s">
        <v>407</v>
      </c>
      <c r="J12" s="249" t="s">
        <v>408</v>
      </c>
      <c r="K12" s="249" t="s">
        <v>131</v>
      </c>
      <c r="L12" s="249" t="s">
        <v>409</v>
      </c>
      <c r="M12" s="250">
        <v>955.0</v>
      </c>
      <c r="N12" s="441">
        <v>955.0</v>
      </c>
      <c r="O12" s="442"/>
      <c r="P12" s="441">
        <v>955.0</v>
      </c>
      <c r="Q12" s="253">
        <v>45979.0</v>
      </c>
      <c r="R12" s="441">
        <v>955.0</v>
      </c>
      <c r="S12" s="443">
        <v>45950.0</v>
      </c>
      <c r="T12" s="441">
        <v>955.0</v>
      </c>
      <c r="U12" s="253">
        <v>45920.0</v>
      </c>
      <c r="V12" s="441">
        <v>955.0</v>
      </c>
      <c r="W12" s="443">
        <v>45889.0</v>
      </c>
      <c r="X12" s="441">
        <v>955.0</v>
      </c>
      <c r="Y12" s="444">
        <v>45858.0</v>
      </c>
      <c r="Z12" s="441">
        <v>955.0</v>
      </c>
      <c r="AA12" s="243">
        <v>45828.0</v>
      </c>
      <c r="AB12" s="441">
        <v>955.0</v>
      </c>
      <c r="AC12" s="443">
        <v>45797.0</v>
      </c>
      <c r="AD12" s="441">
        <v>955.0</v>
      </c>
      <c r="AE12" s="443">
        <v>45763.0</v>
      </c>
      <c r="AF12" s="250">
        <v>840.0</v>
      </c>
      <c r="AG12" s="443">
        <v>45736.0</v>
      </c>
      <c r="AH12" s="441">
        <v>840.0</v>
      </c>
      <c r="AI12" s="443">
        <v>45708.0</v>
      </c>
      <c r="AJ12" s="441">
        <v>840.0</v>
      </c>
      <c r="AK12" s="243">
        <v>45678.0</v>
      </c>
      <c r="AL12" s="256"/>
      <c r="AM12" s="256"/>
      <c r="AN12" s="256"/>
      <c r="AO12" s="256"/>
      <c r="AP12" s="256"/>
      <c r="AQ12" s="256"/>
      <c r="AR12" s="256"/>
      <c r="AS12" s="256"/>
    </row>
    <row r="13" ht="18.75" customHeight="1">
      <c r="A13" s="243">
        <v>45181.0</v>
      </c>
      <c r="B13" s="244">
        <v>55.0</v>
      </c>
      <c r="C13" s="449" t="s">
        <v>410</v>
      </c>
      <c r="D13" s="446">
        <v>27.0</v>
      </c>
      <c r="E13" s="446"/>
      <c r="F13" s="461"/>
      <c r="G13" s="440" t="s">
        <v>381</v>
      </c>
      <c r="H13" s="247" t="s">
        <v>19</v>
      </c>
      <c r="I13" s="246" t="s">
        <v>18</v>
      </c>
      <c r="J13" s="249">
        <v>5.72011580518E11</v>
      </c>
      <c r="K13" s="249" t="s">
        <v>131</v>
      </c>
      <c r="L13" s="249" t="s">
        <v>398</v>
      </c>
      <c r="M13" s="250">
        <v>695.0</v>
      </c>
      <c r="N13" s="441">
        <v>695.0</v>
      </c>
      <c r="O13" s="458">
        <v>46009.0</v>
      </c>
      <c r="P13" s="441">
        <v>695.0</v>
      </c>
      <c r="Q13" s="253">
        <v>45979.0</v>
      </c>
      <c r="R13" s="441">
        <v>695.0</v>
      </c>
      <c r="S13" s="443">
        <v>45947.0</v>
      </c>
      <c r="T13" s="441">
        <v>695.0</v>
      </c>
      <c r="U13" s="253">
        <v>45919.0</v>
      </c>
      <c r="V13" s="441">
        <v>695.0</v>
      </c>
      <c r="W13" s="454">
        <v>695.0</v>
      </c>
      <c r="X13" s="456">
        <v>695.0</v>
      </c>
      <c r="Y13" s="443">
        <v>45856.0</v>
      </c>
      <c r="Z13" s="441">
        <v>695.0</v>
      </c>
      <c r="AA13" s="243">
        <v>45826.0</v>
      </c>
      <c r="AB13" s="441">
        <v>695.0</v>
      </c>
      <c r="AC13" s="457">
        <v>45797.0</v>
      </c>
      <c r="AD13" s="441">
        <v>695.0</v>
      </c>
      <c r="AE13" s="443">
        <v>45793.0</v>
      </c>
      <c r="AF13" s="250">
        <v>695.0</v>
      </c>
      <c r="AG13" s="443">
        <v>45735.0</v>
      </c>
      <c r="AH13" s="441">
        <v>695.0</v>
      </c>
      <c r="AI13" s="443">
        <v>45706.0</v>
      </c>
      <c r="AJ13" s="441">
        <v>655.0</v>
      </c>
      <c r="AK13" s="243">
        <v>45677.0</v>
      </c>
      <c r="AL13" s="256"/>
      <c r="AM13" s="256"/>
      <c r="AN13" s="256"/>
      <c r="AO13" s="256"/>
      <c r="AP13" s="256"/>
      <c r="AQ13" s="256"/>
      <c r="AR13" s="256"/>
      <c r="AS13" s="256"/>
    </row>
    <row r="14">
      <c r="A14" s="252">
        <v>43817.0</v>
      </c>
      <c r="B14" s="244"/>
      <c r="C14" s="449" t="s">
        <v>411</v>
      </c>
      <c r="D14" s="437">
        <v>28.0</v>
      </c>
      <c r="E14" s="441">
        <v>5.0</v>
      </c>
      <c r="F14" s="462" t="s">
        <v>412</v>
      </c>
      <c r="G14" s="440" t="s">
        <v>381</v>
      </c>
      <c r="H14" s="247" t="s">
        <v>19</v>
      </c>
      <c r="I14" s="246" t="s">
        <v>18</v>
      </c>
      <c r="J14" s="463" t="s">
        <v>413</v>
      </c>
      <c r="K14" s="249" t="s">
        <v>131</v>
      </c>
      <c r="L14" s="249"/>
      <c r="M14" s="250">
        <v>774.0</v>
      </c>
      <c r="N14" s="441">
        <v>774.0</v>
      </c>
      <c r="O14" s="458">
        <v>46009.0</v>
      </c>
      <c r="P14" s="441">
        <v>774.0</v>
      </c>
      <c r="Q14" s="253">
        <v>45979.0</v>
      </c>
      <c r="R14" s="441">
        <v>774.0</v>
      </c>
      <c r="S14" s="443">
        <v>45947.0</v>
      </c>
      <c r="T14" s="441">
        <v>774.0</v>
      </c>
      <c r="U14" s="253">
        <v>45919.0</v>
      </c>
      <c r="V14" s="441">
        <v>774.0</v>
      </c>
      <c r="W14" s="244">
        <v>774.0</v>
      </c>
      <c r="X14" s="456">
        <v>504.0</v>
      </c>
      <c r="Y14" s="443">
        <v>45856.0</v>
      </c>
      <c r="Z14" s="441">
        <v>474.0</v>
      </c>
      <c r="AA14" s="243">
        <v>45826.0</v>
      </c>
      <c r="AB14" s="441">
        <v>474.0</v>
      </c>
      <c r="AC14" s="457">
        <v>45797.0</v>
      </c>
      <c r="AD14" s="441">
        <v>16.93</v>
      </c>
      <c r="AE14" s="443">
        <v>45793.0</v>
      </c>
      <c r="AF14" s="250"/>
      <c r="AG14" s="443"/>
      <c r="AH14" s="441">
        <v>624.0</v>
      </c>
      <c r="AI14" s="443">
        <v>45715.0</v>
      </c>
      <c r="AJ14" s="441"/>
      <c r="AK14" s="243"/>
      <c r="AL14" s="256"/>
      <c r="AM14" s="256"/>
      <c r="AN14" s="256"/>
      <c r="AO14" s="256"/>
      <c r="AP14" s="256"/>
      <c r="AQ14" s="256"/>
      <c r="AR14" s="256"/>
      <c r="AS14" s="256"/>
    </row>
    <row r="15" hidden="1">
      <c r="A15" s="77">
        <v>43262.0</v>
      </c>
      <c r="B15" s="51">
        <v>58.0</v>
      </c>
      <c r="C15" s="67" t="s">
        <v>414</v>
      </c>
      <c r="D15" s="65"/>
      <c r="E15" s="65">
        <v>4.0</v>
      </c>
      <c r="F15" s="464" t="s">
        <v>415</v>
      </c>
      <c r="G15" s="314" t="s">
        <v>381</v>
      </c>
      <c r="H15" s="121" t="s">
        <v>382</v>
      </c>
      <c r="I15" s="115" t="s">
        <v>23</v>
      </c>
      <c r="J15" s="365" t="s">
        <v>383</v>
      </c>
      <c r="K15" s="260" t="s">
        <v>131</v>
      </c>
      <c r="L15" s="260" t="s">
        <v>384</v>
      </c>
      <c r="M15" s="337" t="s">
        <v>274</v>
      </c>
      <c r="N15" s="465"/>
      <c r="O15" s="466"/>
      <c r="P15" s="465"/>
      <c r="Q15" s="347"/>
      <c r="R15" s="465"/>
      <c r="S15" s="75"/>
      <c r="T15" s="465"/>
      <c r="U15" s="76"/>
      <c r="V15" s="465"/>
      <c r="W15" s="77"/>
      <c r="X15" s="465"/>
      <c r="Y15" s="434"/>
      <c r="Z15" s="465"/>
      <c r="AA15" s="77"/>
      <c r="AB15" s="465">
        <v>0.0</v>
      </c>
      <c r="AC15" s="434"/>
      <c r="AD15" s="465"/>
      <c r="AE15" s="434">
        <v>45392.0</v>
      </c>
      <c r="AF15" s="416"/>
      <c r="AG15" s="146"/>
      <c r="AH15" s="465"/>
      <c r="AI15" s="146"/>
      <c r="AJ15" s="465"/>
      <c r="AK15" s="77"/>
    </row>
    <row r="16">
      <c r="A16" s="268">
        <v>45444.0</v>
      </c>
      <c r="B16" s="269">
        <v>71.0</v>
      </c>
      <c r="C16" s="467" t="s">
        <v>416</v>
      </c>
      <c r="D16" s="468">
        <v>1.0</v>
      </c>
      <c r="E16" s="468"/>
      <c r="F16" s="469"/>
      <c r="G16" s="470" t="s">
        <v>417</v>
      </c>
      <c r="H16" s="272" t="s">
        <v>403</v>
      </c>
      <c r="I16" s="273" t="s">
        <v>23</v>
      </c>
      <c r="J16" s="471">
        <v>7.20016524626E11</v>
      </c>
      <c r="K16" s="275" t="s">
        <v>131</v>
      </c>
      <c r="L16" s="275" t="s">
        <v>418</v>
      </c>
      <c r="M16" s="276">
        <v>700.0</v>
      </c>
      <c r="N16" s="472">
        <v>700.0</v>
      </c>
      <c r="O16" s="294">
        <v>46010.0</v>
      </c>
      <c r="P16" s="472">
        <v>700.0</v>
      </c>
      <c r="Q16" s="278">
        <v>45980.0</v>
      </c>
      <c r="R16" s="472">
        <v>700.0</v>
      </c>
      <c r="S16" s="473">
        <v>45950.0</v>
      </c>
      <c r="T16" s="472">
        <v>700.0</v>
      </c>
      <c r="U16" s="279">
        <v>45919.0</v>
      </c>
      <c r="V16" s="472">
        <v>700.0</v>
      </c>
      <c r="W16" s="276">
        <v>700.0</v>
      </c>
      <c r="X16" s="472">
        <v>700.0</v>
      </c>
      <c r="Y16" s="474">
        <v>45861.0</v>
      </c>
      <c r="Z16" s="472">
        <v>700.0</v>
      </c>
      <c r="AA16" s="268">
        <v>45826.0</v>
      </c>
      <c r="AB16" s="472">
        <v>700.0</v>
      </c>
      <c r="AC16" s="473">
        <v>45797.0</v>
      </c>
      <c r="AD16" s="472">
        <v>700.0</v>
      </c>
      <c r="AE16" s="474">
        <v>45763.0</v>
      </c>
      <c r="AF16" s="472">
        <v>850.0</v>
      </c>
      <c r="AG16" s="473">
        <v>45735.0</v>
      </c>
      <c r="AH16" s="472">
        <v>700.0</v>
      </c>
      <c r="AI16" s="473">
        <v>45706.0</v>
      </c>
      <c r="AJ16" s="472">
        <v>700.0</v>
      </c>
      <c r="AK16" s="268">
        <v>45678.0</v>
      </c>
      <c r="AL16" s="282"/>
      <c r="AM16" s="282"/>
      <c r="AN16" s="282"/>
      <c r="AO16" s="282"/>
      <c r="AP16" s="282"/>
      <c r="AQ16" s="282"/>
      <c r="AR16" s="282"/>
      <c r="AS16" s="282"/>
    </row>
    <row r="17">
      <c r="A17" s="268"/>
      <c r="B17" s="269"/>
      <c r="C17" s="475" t="s">
        <v>419</v>
      </c>
      <c r="D17" s="468">
        <v>51.0</v>
      </c>
      <c r="E17" s="273">
        <v>8.0</v>
      </c>
      <c r="F17" s="476"/>
      <c r="G17" s="477" t="s">
        <v>420</v>
      </c>
      <c r="H17" s="272" t="s">
        <v>388</v>
      </c>
      <c r="I17" s="273" t="s">
        <v>18</v>
      </c>
      <c r="J17" s="478" t="s">
        <v>421</v>
      </c>
      <c r="K17" s="275" t="s">
        <v>261</v>
      </c>
      <c r="L17" s="275"/>
      <c r="M17" s="479">
        <v>669.0</v>
      </c>
      <c r="N17" s="472">
        <v>669.0</v>
      </c>
      <c r="O17" s="480">
        <v>46010.0</v>
      </c>
      <c r="P17" s="472">
        <v>399.0</v>
      </c>
      <c r="Q17" s="279">
        <v>45979.0</v>
      </c>
      <c r="R17" s="472">
        <v>399.0</v>
      </c>
      <c r="S17" s="473">
        <v>45950.0</v>
      </c>
      <c r="T17" s="472">
        <v>322.0</v>
      </c>
      <c r="U17" s="279">
        <v>45919.0</v>
      </c>
      <c r="V17" s="472">
        <v>0.0</v>
      </c>
      <c r="W17" s="276">
        <v>0.0</v>
      </c>
      <c r="X17" s="472">
        <v>0.0</v>
      </c>
      <c r="Y17" s="473"/>
      <c r="Z17" s="472"/>
      <c r="AA17" s="268"/>
      <c r="AB17" s="472"/>
      <c r="AC17" s="481"/>
      <c r="AD17" s="472"/>
      <c r="AE17" s="473"/>
      <c r="AF17" s="472"/>
      <c r="AG17" s="474"/>
      <c r="AH17" s="472"/>
      <c r="AI17" s="473"/>
      <c r="AJ17" s="472"/>
      <c r="AK17" s="268"/>
      <c r="AL17" s="282"/>
      <c r="AM17" s="282"/>
      <c r="AN17" s="282"/>
      <c r="AO17" s="282"/>
      <c r="AP17" s="282"/>
      <c r="AQ17" s="282"/>
      <c r="AR17" s="282"/>
      <c r="AS17" s="282"/>
    </row>
    <row r="18" hidden="1">
      <c r="A18" s="77">
        <v>43840.0</v>
      </c>
      <c r="B18" s="51">
        <v>40.0</v>
      </c>
      <c r="C18" s="482" t="s">
        <v>422</v>
      </c>
      <c r="D18" s="483"/>
      <c r="E18" s="483">
        <v>1.0</v>
      </c>
      <c r="F18" s="484" t="s">
        <v>423</v>
      </c>
      <c r="G18" s="314" t="s">
        <v>424</v>
      </c>
      <c r="H18" s="121" t="s">
        <v>382</v>
      </c>
      <c r="I18" s="115" t="s">
        <v>13</v>
      </c>
      <c r="J18" s="175" t="s">
        <v>425</v>
      </c>
      <c r="K18" s="71" t="s">
        <v>131</v>
      </c>
      <c r="L18" s="260" t="s">
        <v>418</v>
      </c>
      <c r="M18" s="337" t="s">
        <v>274</v>
      </c>
      <c r="N18" s="416"/>
      <c r="O18" s="347"/>
      <c r="P18" s="416"/>
      <c r="Q18" s="347"/>
      <c r="R18" s="416"/>
      <c r="S18" s="146"/>
      <c r="T18" s="416"/>
      <c r="U18" s="76"/>
      <c r="V18" s="416"/>
      <c r="W18" s="146"/>
      <c r="X18" s="416"/>
      <c r="Y18" s="465"/>
      <c r="Z18" s="416"/>
      <c r="AA18" s="77"/>
      <c r="AB18" s="416">
        <v>0.0</v>
      </c>
      <c r="AC18" s="146"/>
      <c r="AD18" s="416"/>
      <c r="AE18" s="146">
        <v>45407.0</v>
      </c>
      <c r="AF18" s="416"/>
      <c r="AG18" s="146"/>
      <c r="AH18" s="416"/>
      <c r="AI18" s="146"/>
      <c r="AJ18" s="416"/>
      <c r="AK18" s="77"/>
    </row>
    <row r="19" hidden="1">
      <c r="A19" s="77">
        <v>44004.0</v>
      </c>
      <c r="B19" s="51">
        <v>42.0</v>
      </c>
      <c r="C19" s="482" t="s">
        <v>426</v>
      </c>
      <c r="D19" s="483"/>
      <c r="E19" s="483">
        <v>1.0</v>
      </c>
      <c r="F19" s="485" t="s">
        <v>427</v>
      </c>
      <c r="G19" s="314" t="s">
        <v>424</v>
      </c>
      <c r="H19" s="121" t="s">
        <v>382</v>
      </c>
      <c r="I19" s="115" t="s">
        <v>13</v>
      </c>
      <c r="J19" s="115" t="s">
        <v>425</v>
      </c>
      <c r="K19" s="71" t="s">
        <v>131</v>
      </c>
      <c r="L19" s="71" t="s">
        <v>418</v>
      </c>
      <c r="M19" s="337" t="s">
        <v>274</v>
      </c>
      <c r="N19" s="416"/>
      <c r="O19" s="466"/>
      <c r="P19" s="416"/>
      <c r="Q19" s="347"/>
      <c r="R19" s="416"/>
      <c r="S19" s="146"/>
      <c r="T19" s="416"/>
      <c r="U19" s="76"/>
      <c r="V19" s="416"/>
      <c r="W19" s="146"/>
      <c r="X19" s="416"/>
      <c r="Y19" s="416"/>
      <c r="Z19" s="416"/>
      <c r="AA19" s="77"/>
      <c r="AB19" s="416">
        <v>0.0</v>
      </c>
      <c r="AC19" s="146"/>
      <c r="AD19" s="416"/>
      <c r="AE19" s="146">
        <v>45407.0</v>
      </c>
      <c r="AF19" s="416"/>
      <c r="AG19" s="434"/>
      <c r="AH19" s="416"/>
      <c r="AI19" s="146"/>
      <c r="AJ19" s="416"/>
      <c r="AK19" s="77"/>
    </row>
    <row r="20" hidden="1">
      <c r="A20" s="77">
        <v>44000.0</v>
      </c>
      <c r="B20" s="51">
        <v>41.0</v>
      </c>
      <c r="C20" s="482" t="s">
        <v>428</v>
      </c>
      <c r="D20" s="483"/>
      <c r="E20" s="483">
        <v>1.0</v>
      </c>
      <c r="F20" s="485" t="s">
        <v>429</v>
      </c>
      <c r="G20" s="314" t="s">
        <v>424</v>
      </c>
      <c r="H20" s="121" t="s">
        <v>382</v>
      </c>
      <c r="I20" s="115" t="s">
        <v>13</v>
      </c>
      <c r="J20" s="115" t="s">
        <v>425</v>
      </c>
      <c r="K20" s="71" t="s">
        <v>131</v>
      </c>
      <c r="L20" s="71" t="s">
        <v>418</v>
      </c>
      <c r="M20" s="337" t="s">
        <v>274</v>
      </c>
      <c r="N20" s="416"/>
      <c r="O20" s="466"/>
      <c r="P20" s="416"/>
      <c r="Q20" s="347"/>
      <c r="R20" s="416"/>
      <c r="S20" s="146"/>
      <c r="T20" s="416"/>
      <c r="U20" s="76"/>
      <c r="V20" s="416"/>
      <c r="W20" s="146"/>
      <c r="X20" s="416"/>
      <c r="Y20" s="416"/>
      <c r="Z20" s="416"/>
      <c r="AA20" s="77"/>
      <c r="AB20" s="416">
        <v>0.0</v>
      </c>
      <c r="AC20" s="146"/>
      <c r="AD20" s="416"/>
      <c r="AE20" s="146">
        <v>45407.0</v>
      </c>
      <c r="AF20" s="416"/>
      <c r="AG20" s="434"/>
      <c r="AH20" s="416"/>
      <c r="AI20" s="146"/>
      <c r="AJ20" s="416"/>
      <c r="AK20" s="77"/>
    </row>
    <row r="21" hidden="1">
      <c r="A21" s="77">
        <v>44230.0</v>
      </c>
      <c r="B21" s="51">
        <v>44.0</v>
      </c>
      <c r="C21" s="482" t="s">
        <v>430</v>
      </c>
      <c r="D21" s="483"/>
      <c r="E21" s="483">
        <v>1.0</v>
      </c>
      <c r="F21" s="486" t="s">
        <v>423</v>
      </c>
      <c r="G21" s="314" t="s">
        <v>424</v>
      </c>
      <c r="H21" s="121" t="s">
        <v>382</v>
      </c>
      <c r="I21" s="115" t="s">
        <v>13</v>
      </c>
      <c r="J21" s="115" t="s">
        <v>425</v>
      </c>
      <c r="K21" s="71" t="s">
        <v>131</v>
      </c>
      <c r="L21" s="260" t="s">
        <v>418</v>
      </c>
      <c r="M21" s="337" t="s">
        <v>274</v>
      </c>
      <c r="N21" s="465"/>
      <c r="O21" s="347"/>
      <c r="P21" s="465"/>
      <c r="Q21" s="347"/>
      <c r="R21" s="465"/>
      <c r="S21" s="146"/>
      <c r="T21" s="465"/>
      <c r="U21" s="76"/>
      <c r="V21" s="465"/>
      <c r="W21" s="146"/>
      <c r="X21" s="465"/>
      <c r="Y21" s="465"/>
      <c r="Z21" s="465"/>
      <c r="AA21" s="77"/>
      <c r="AB21" s="465">
        <v>0.0</v>
      </c>
      <c r="AC21" s="146"/>
      <c r="AD21" s="465"/>
      <c r="AE21" s="146">
        <v>45407.0</v>
      </c>
      <c r="AF21" s="465"/>
      <c r="AG21" s="146"/>
      <c r="AH21" s="465"/>
      <c r="AI21" s="146"/>
      <c r="AJ21" s="465"/>
      <c r="AK21" s="77"/>
    </row>
    <row r="22" hidden="1">
      <c r="A22" s="77">
        <v>44335.0</v>
      </c>
      <c r="B22" s="51">
        <v>43.0</v>
      </c>
      <c r="C22" s="482" t="s">
        <v>431</v>
      </c>
      <c r="D22" s="483"/>
      <c r="E22" s="483">
        <v>1.0</v>
      </c>
      <c r="F22" s="487" t="s">
        <v>423</v>
      </c>
      <c r="G22" s="314" t="s">
        <v>424</v>
      </c>
      <c r="H22" s="121" t="s">
        <v>382</v>
      </c>
      <c r="I22" s="115" t="s">
        <v>13</v>
      </c>
      <c r="J22" s="115" t="s">
        <v>425</v>
      </c>
      <c r="K22" s="71" t="s">
        <v>131</v>
      </c>
      <c r="L22" s="260" t="s">
        <v>418</v>
      </c>
      <c r="M22" s="337" t="s">
        <v>274</v>
      </c>
      <c r="N22" s="465"/>
      <c r="O22" s="347"/>
      <c r="P22" s="465"/>
      <c r="Q22" s="347"/>
      <c r="R22" s="465"/>
      <c r="S22" s="146"/>
      <c r="T22" s="465"/>
      <c r="U22" s="76"/>
      <c r="V22" s="465"/>
      <c r="W22" s="146"/>
      <c r="X22" s="465"/>
      <c r="Y22" s="465"/>
      <c r="Z22" s="465"/>
      <c r="AA22" s="77"/>
      <c r="AB22" s="465">
        <v>0.0</v>
      </c>
      <c r="AC22" s="146"/>
      <c r="AD22" s="465"/>
      <c r="AE22" s="146">
        <v>45407.0</v>
      </c>
      <c r="AF22" s="465"/>
      <c r="AG22" s="146"/>
      <c r="AH22" s="465"/>
      <c r="AI22" s="146"/>
      <c r="AJ22" s="465"/>
      <c r="AK22" s="77"/>
    </row>
    <row r="23" hidden="1">
      <c r="A23" s="75">
        <v>43816.0</v>
      </c>
      <c r="B23" s="51">
        <v>32.0</v>
      </c>
      <c r="C23" s="488" t="s">
        <v>432</v>
      </c>
      <c r="D23" s="483"/>
      <c r="E23" s="483">
        <v>1.0</v>
      </c>
      <c r="F23" s="489" t="s">
        <v>433</v>
      </c>
      <c r="G23" s="314" t="s">
        <v>424</v>
      </c>
      <c r="H23" s="121" t="s">
        <v>382</v>
      </c>
      <c r="I23" s="115" t="s">
        <v>13</v>
      </c>
      <c r="J23" s="115" t="s">
        <v>425</v>
      </c>
      <c r="K23" s="71" t="s">
        <v>131</v>
      </c>
      <c r="L23" s="260" t="s">
        <v>418</v>
      </c>
      <c r="M23" s="428" t="s">
        <v>274</v>
      </c>
      <c r="N23" s="465"/>
      <c r="O23" s="347"/>
      <c r="P23" s="465"/>
      <c r="Q23" s="347"/>
      <c r="R23" s="465"/>
      <c r="S23" s="146"/>
      <c r="T23" s="465"/>
      <c r="U23" s="76"/>
      <c r="V23" s="465"/>
      <c r="W23" s="146"/>
      <c r="X23" s="465"/>
      <c r="Y23" s="465"/>
      <c r="Z23" s="465"/>
      <c r="AA23" s="77"/>
      <c r="AB23" s="465">
        <v>0.0</v>
      </c>
      <c r="AC23" s="146"/>
      <c r="AD23" s="465"/>
      <c r="AE23" s="146">
        <v>45407.0</v>
      </c>
      <c r="AF23" s="465"/>
      <c r="AG23" s="434"/>
      <c r="AH23" s="465"/>
      <c r="AI23" s="146"/>
      <c r="AJ23" s="465"/>
      <c r="AK23" s="77"/>
      <c r="AL23" s="90"/>
      <c r="AM23" s="90"/>
      <c r="AN23" s="90"/>
      <c r="AO23" s="90"/>
      <c r="AP23" s="90"/>
      <c r="AQ23" s="90"/>
      <c r="AR23" s="90"/>
      <c r="AS23" s="90"/>
    </row>
    <row r="24" hidden="1">
      <c r="A24" s="77">
        <v>43908.0</v>
      </c>
      <c r="B24" s="51">
        <v>22.0</v>
      </c>
      <c r="C24" s="490" t="s">
        <v>434</v>
      </c>
      <c r="D24" s="491"/>
      <c r="E24" s="491">
        <v>1.0</v>
      </c>
      <c r="F24" s="492" t="s">
        <v>433</v>
      </c>
      <c r="G24" s="314" t="s">
        <v>424</v>
      </c>
      <c r="H24" s="121" t="s">
        <v>382</v>
      </c>
      <c r="I24" s="115" t="s">
        <v>13</v>
      </c>
      <c r="J24" s="115" t="s">
        <v>425</v>
      </c>
      <c r="K24" s="260" t="s">
        <v>131</v>
      </c>
      <c r="L24" s="260" t="s">
        <v>418</v>
      </c>
      <c r="M24" s="337" t="s">
        <v>274</v>
      </c>
      <c r="N24" s="465"/>
      <c r="O24" s="347"/>
      <c r="P24" s="465"/>
      <c r="Q24" s="347"/>
      <c r="R24" s="465"/>
      <c r="S24" s="146"/>
      <c r="T24" s="465"/>
      <c r="U24" s="76"/>
      <c r="V24" s="465"/>
      <c r="W24" s="493"/>
      <c r="X24" s="465"/>
      <c r="Y24" s="146"/>
      <c r="Z24" s="465"/>
      <c r="AA24" s="77"/>
      <c r="AB24" s="465">
        <v>0.0</v>
      </c>
      <c r="AC24" s="146"/>
      <c r="AD24" s="465"/>
      <c r="AE24" s="146">
        <v>45407.0</v>
      </c>
      <c r="AF24" s="465"/>
      <c r="AG24" s="434"/>
      <c r="AH24" s="465"/>
      <c r="AI24" s="146"/>
      <c r="AJ24" s="465"/>
      <c r="AK24" s="77"/>
    </row>
    <row r="25" hidden="1">
      <c r="A25" s="494"/>
      <c r="B25" s="51">
        <v>23.0</v>
      </c>
      <c r="C25" s="490" t="s">
        <v>435</v>
      </c>
      <c r="D25" s="491"/>
      <c r="E25" s="491">
        <v>1.0</v>
      </c>
      <c r="F25" s="495" t="s">
        <v>436</v>
      </c>
      <c r="G25" s="314" t="s">
        <v>424</v>
      </c>
      <c r="H25" s="121" t="s">
        <v>382</v>
      </c>
      <c r="I25" s="115" t="s">
        <v>13</v>
      </c>
      <c r="J25" s="115" t="s">
        <v>425</v>
      </c>
      <c r="K25" s="260" t="s">
        <v>131</v>
      </c>
      <c r="L25" s="260" t="s">
        <v>418</v>
      </c>
      <c r="M25" s="428" t="s">
        <v>274</v>
      </c>
      <c r="N25" s="465"/>
      <c r="O25" s="347"/>
      <c r="P25" s="465"/>
      <c r="Q25" s="347"/>
      <c r="R25" s="465"/>
      <c r="S25" s="146"/>
      <c r="T25" s="465"/>
      <c r="U25" s="76"/>
      <c r="V25" s="465"/>
      <c r="W25" s="146"/>
      <c r="X25" s="465"/>
      <c r="Y25" s="465"/>
      <c r="Z25" s="465"/>
      <c r="AA25" s="77"/>
      <c r="AB25" s="465">
        <v>0.0</v>
      </c>
      <c r="AC25" s="146"/>
      <c r="AD25" s="465"/>
      <c r="AE25" s="146">
        <v>45407.0</v>
      </c>
      <c r="AF25" s="465"/>
      <c r="AG25" s="434"/>
      <c r="AH25" s="465"/>
      <c r="AI25" s="146"/>
      <c r="AJ25" s="465"/>
      <c r="AK25" s="77"/>
      <c r="AL25" s="90"/>
      <c r="AM25" s="90"/>
      <c r="AN25" s="90"/>
      <c r="AO25" s="90"/>
      <c r="AP25" s="90"/>
      <c r="AQ25" s="90"/>
      <c r="AR25" s="90"/>
      <c r="AS25" s="90"/>
    </row>
    <row r="26" hidden="1">
      <c r="A26" s="77">
        <v>43301.0</v>
      </c>
      <c r="B26" s="51">
        <v>24.0</v>
      </c>
      <c r="C26" s="490" t="s">
        <v>437</v>
      </c>
      <c r="D26" s="491"/>
      <c r="E26" s="491">
        <v>1.0</v>
      </c>
      <c r="F26" s="496" t="s">
        <v>438</v>
      </c>
      <c r="G26" s="314" t="s">
        <v>424</v>
      </c>
      <c r="H26" s="121" t="s">
        <v>382</v>
      </c>
      <c r="I26" s="115" t="s">
        <v>13</v>
      </c>
      <c r="J26" s="115" t="s">
        <v>425</v>
      </c>
      <c r="K26" s="260" t="s">
        <v>131</v>
      </c>
      <c r="L26" s="260" t="s">
        <v>418</v>
      </c>
      <c r="M26" s="428" t="s">
        <v>274</v>
      </c>
      <c r="N26" s="465"/>
      <c r="O26" s="347"/>
      <c r="P26" s="465"/>
      <c r="Q26" s="347"/>
      <c r="R26" s="465"/>
      <c r="S26" s="146"/>
      <c r="T26" s="465"/>
      <c r="U26" s="76"/>
      <c r="V26" s="465"/>
      <c r="W26" s="146"/>
      <c r="X26" s="465"/>
      <c r="Y26" s="465"/>
      <c r="Z26" s="465"/>
      <c r="AA26" s="77"/>
      <c r="AB26" s="465">
        <v>0.0</v>
      </c>
      <c r="AC26" s="146"/>
      <c r="AD26" s="465"/>
      <c r="AE26" s="146">
        <v>45407.0</v>
      </c>
      <c r="AF26" s="465"/>
      <c r="AG26" s="434"/>
      <c r="AH26" s="465"/>
      <c r="AI26" s="146"/>
      <c r="AJ26" s="465"/>
      <c r="AK26" s="77"/>
      <c r="AL26" s="90"/>
      <c r="AM26" s="90"/>
      <c r="AN26" s="90"/>
      <c r="AO26" s="90"/>
      <c r="AP26" s="90"/>
      <c r="AQ26" s="90"/>
      <c r="AR26" s="90"/>
      <c r="AS26" s="90"/>
    </row>
    <row r="27" hidden="1">
      <c r="A27" s="77">
        <v>43297.0</v>
      </c>
      <c r="B27" s="51">
        <v>25.0</v>
      </c>
      <c r="C27" s="490" t="s">
        <v>439</v>
      </c>
      <c r="D27" s="491"/>
      <c r="E27" s="491">
        <v>1.0</v>
      </c>
      <c r="F27" s="496" t="s">
        <v>440</v>
      </c>
      <c r="G27" s="314" t="s">
        <v>424</v>
      </c>
      <c r="H27" s="121" t="s">
        <v>382</v>
      </c>
      <c r="I27" s="115" t="s">
        <v>13</v>
      </c>
      <c r="J27" s="115" t="s">
        <v>425</v>
      </c>
      <c r="K27" s="260" t="s">
        <v>131</v>
      </c>
      <c r="L27" s="260" t="s">
        <v>418</v>
      </c>
      <c r="M27" s="337" t="s">
        <v>274</v>
      </c>
      <c r="N27" s="465"/>
      <c r="O27" s="347"/>
      <c r="P27" s="465"/>
      <c r="Q27" s="347"/>
      <c r="R27" s="465"/>
      <c r="S27" s="146"/>
      <c r="T27" s="465"/>
      <c r="U27" s="76"/>
      <c r="V27" s="465"/>
      <c r="W27" s="146"/>
      <c r="X27" s="465"/>
      <c r="Y27" s="416"/>
      <c r="Z27" s="465"/>
      <c r="AA27" s="77"/>
      <c r="AB27" s="465">
        <v>0.0</v>
      </c>
      <c r="AC27" s="146"/>
      <c r="AD27" s="465"/>
      <c r="AE27" s="146">
        <v>45407.0</v>
      </c>
      <c r="AF27" s="465"/>
      <c r="AG27" s="434"/>
      <c r="AH27" s="465"/>
      <c r="AI27" s="146"/>
      <c r="AJ27" s="465"/>
      <c r="AK27" s="77"/>
    </row>
    <row r="28" hidden="1">
      <c r="A28" s="497">
        <v>45209.0</v>
      </c>
      <c r="B28" s="51">
        <v>27.0</v>
      </c>
      <c r="C28" s="488" t="s">
        <v>441</v>
      </c>
      <c r="D28" s="483"/>
      <c r="E28" s="483">
        <v>1.0</v>
      </c>
      <c r="F28" s="495" t="s">
        <v>442</v>
      </c>
      <c r="G28" s="314" t="s">
        <v>424</v>
      </c>
      <c r="H28" s="121" t="s">
        <v>382</v>
      </c>
      <c r="I28" s="115" t="s">
        <v>13</v>
      </c>
      <c r="J28" s="115" t="s">
        <v>425</v>
      </c>
      <c r="K28" s="260" t="s">
        <v>131</v>
      </c>
      <c r="L28" s="260" t="s">
        <v>418</v>
      </c>
      <c r="M28" s="428" t="s">
        <v>274</v>
      </c>
      <c r="N28" s="465"/>
      <c r="O28" s="347"/>
      <c r="P28" s="465"/>
      <c r="Q28" s="347"/>
      <c r="R28" s="465"/>
      <c r="S28" s="146"/>
      <c r="T28" s="465"/>
      <c r="U28" s="76"/>
      <c r="V28" s="465"/>
      <c r="W28" s="146"/>
      <c r="X28" s="465"/>
      <c r="Y28" s="416"/>
      <c r="Z28" s="465"/>
      <c r="AA28" s="77"/>
      <c r="AB28" s="465">
        <v>0.0</v>
      </c>
      <c r="AC28" s="146"/>
      <c r="AD28" s="465"/>
      <c r="AE28" s="146">
        <v>45407.0</v>
      </c>
      <c r="AF28" s="465"/>
      <c r="AG28" s="434"/>
      <c r="AH28" s="465"/>
      <c r="AI28" s="146"/>
      <c r="AJ28" s="465"/>
      <c r="AK28" s="77"/>
    </row>
    <row r="29" hidden="1">
      <c r="A29" s="88">
        <v>45111.0</v>
      </c>
      <c r="B29" s="51">
        <v>26.0</v>
      </c>
      <c r="C29" s="498" t="s">
        <v>443</v>
      </c>
      <c r="D29" s="499"/>
      <c r="E29" s="499">
        <v>1.0</v>
      </c>
      <c r="F29" s="495" t="s">
        <v>444</v>
      </c>
      <c r="G29" s="314" t="s">
        <v>424</v>
      </c>
      <c r="H29" s="121" t="s">
        <v>382</v>
      </c>
      <c r="I29" s="115" t="s">
        <v>13</v>
      </c>
      <c r="J29" s="115" t="s">
        <v>425</v>
      </c>
      <c r="K29" s="260" t="s">
        <v>131</v>
      </c>
      <c r="L29" s="260" t="s">
        <v>418</v>
      </c>
      <c r="M29" s="428" t="s">
        <v>274</v>
      </c>
      <c r="N29" s="465"/>
      <c r="O29" s="347"/>
      <c r="P29" s="465"/>
      <c r="Q29" s="347"/>
      <c r="R29" s="465"/>
      <c r="S29" s="146"/>
      <c r="T29" s="465"/>
      <c r="U29" s="76"/>
      <c r="V29" s="465"/>
      <c r="W29" s="146"/>
      <c r="X29" s="465"/>
      <c r="Y29" s="416"/>
      <c r="Z29" s="465"/>
      <c r="AA29" s="77"/>
      <c r="AB29" s="465">
        <v>0.0</v>
      </c>
      <c r="AC29" s="146"/>
      <c r="AD29" s="465"/>
      <c r="AE29" s="146">
        <v>45407.0</v>
      </c>
      <c r="AF29" s="465"/>
      <c r="AG29" s="434"/>
      <c r="AH29" s="465"/>
      <c r="AI29" s="146"/>
      <c r="AJ29" s="465"/>
      <c r="AK29" s="77"/>
    </row>
    <row r="30" hidden="1">
      <c r="A30" s="77">
        <v>43304.0</v>
      </c>
      <c r="B30" s="51">
        <v>28.0</v>
      </c>
      <c r="C30" s="500" t="s">
        <v>445</v>
      </c>
      <c r="D30" s="501"/>
      <c r="E30" s="501">
        <v>1.0</v>
      </c>
      <c r="F30" s="502" t="s">
        <v>446</v>
      </c>
      <c r="G30" s="314" t="s">
        <v>424</v>
      </c>
      <c r="H30" s="121" t="s">
        <v>382</v>
      </c>
      <c r="I30" s="115" t="s">
        <v>13</v>
      </c>
      <c r="J30" s="115" t="s">
        <v>425</v>
      </c>
      <c r="K30" s="260" t="s">
        <v>131</v>
      </c>
      <c r="L30" s="260" t="s">
        <v>418</v>
      </c>
      <c r="M30" s="428" t="s">
        <v>274</v>
      </c>
      <c r="N30" s="465"/>
      <c r="O30" s="347"/>
      <c r="P30" s="465"/>
      <c r="Q30" s="347"/>
      <c r="R30" s="465"/>
      <c r="S30" s="146"/>
      <c r="T30" s="465"/>
      <c r="U30" s="76"/>
      <c r="V30" s="465"/>
      <c r="W30" s="146"/>
      <c r="X30" s="465"/>
      <c r="Y30" s="416"/>
      <c r="Z30" s="465"/>
      <c r="AA30" s="77"/>
      <c r="AB30" s="465">
        <v>0.0</v>
      </c>
      <c r="AC30" s="146"/>
      <c r="AD30" s="465"/>
      <c r="AE30" s="146">
        <v>45407.0</v>
      </c>
      <c r="AF30" s="465"/>
      <c r="AG30" s="434"/>
      <c r="AH30" s="465"/>
      <c r="AI30" s="146"/>
      <c r="AJ30" s="465"/>
      <c r="AK30" s="77"/>
    </row>
    <row r="31" hidden="1">
      <c r="A31" s="77">
        <v>43294.0</v>
      </c>
      <c r="B31" s="51">
        <v>29.0</v>
      </c>
      <c r="C31" s="488" t="s">
        <v>447</v>
      </c>
      <c r="D31" s="483"/>
      <c r="E31" s="483">
        <v>1.0</v>
      </c>
      <c r="F31" s="502" t="s">
        <v>448</v>
      </c>
      <c r="G31" s="314" t="s">
        <v>424</v>
      </c>
      <c r="H31" s="121" t="s">
        <v>382</v>
      </c>
      <c r="I31" s="115" t="s">
        <v>13</v>
      </c>
      <c r="J31" s="115" t="s">
        <v>425</v>
      </c>
      <c r="K31" s="260" t="s">
        <v>131</v>
      </c>
      <c r="L31" s="260" t="s">
        <v>418</v>
      </c>
      <c r="M31" s="428" t="s">
        <v>274</v>
      </c>
      <c r="N31" s="465"/>
      <c r="O31" s="347"/>
      <c r="P31" s="465"/>
      <c r="Q31" s="347"/>
      <c r="R31" s="465"/>
      <c r="S31" s="146"/>
      <c r="T31" s="465"/>
      <c r="U31" s="76"/>
      <c r="V31" s="465"/>
      <c r="W31" s="146"/>
      <c r="X31" s="465"/>
      <c r="Y31" s="416"/>
      <c r="Z31" s="465"/>
      <c r="AA31" s="77"/>
      <c r="AB31" s="465">
        <v>0.0</v>
      </c>
      <c r="AC31" s="146"/>
      <c r="AD31" s="465"/>
      <c r="AE31" s="146">
        <v>45407.0</v>
      </c>
      <c r="AF31" s="465"/>
      <c r="AG31" s="434"/>
      <c r="AH31" s="465"/>
      <c r="AI31" s="146"/>
      <c r="AJ31" s="465"/>
      <c r="AK31" s="77"/>
    </row>
    <row r="32" hidden="1">
      <c r="A32" s="497">
        <v>44915.0</v>
      </c>
      <c r="B32" s="51">
        <v>30.0</v>
      </c>
      <c r="C32" s="488" t="s">
        <v>449</v>
      </c>
      <c r="D32" s="483"/>
      <c r="E32" s="483">
        <v>1.0</v>
      </c>
      <c r="F32" s="503" t="s">
        <v>450</v>
      </c>
      <c r="G32" s="314" t="s">
        <v>424</v>
      </c>
      <c r="H32" s="121" t="s">
        <v>382</v>
      </c>
      <c r="I32" s="115" t="s">
        <v>13</v>
      </c>
      <c r="J32" s="115" t="s">
        <v>425</v>
      </c>
      <c r="K32" s="260" t="s">
        <v>131</v>
      </c>
      <c r="L32" s="504" t="s">
        <v>418</v>
      </c>
      <c r="M32" s="428" t="s">
        <v>274</v>
      </c>
      <c r="N32" s="465"/>
      <c r="O32" s="347"/>
      <c r="P32" s="465"/>
      <c r="Q32" s="347"/>
      <c r="R32" s="465"/>
      <c r="S32" s="146"/>
      <c r="T32" s="465"/>
      <c r="U32" s="76"/>
      <c r="V32" s="465"/>
      <c r="W32" s="146"/>
      <c r="X32" s="465"/>
      <c r="Y32" s="416"/>
      <c r="Z32" s="465"/>
      <c r="AA32" s="77"/>
      <c r="AB32" s="465">
        <v>0.0</v>
      </c>
      <c r="AC32" s="146"/>
      <c r="AD32" s="465"/>
      <c r="AE32" s="146">
        <v>45407.0</v>
      </c>
      <c r="AF32" s="465"/>
      <c r="AG32" s="434"/>
      <c r="AH32" s="465"/>
      <c r="AI32" s="146"/>
      <c r="AJ32" s="465"/>
      <c r="AK32" s="77"/>
    </row>
    <row r="33" hidden="1">
      <c r="A33" s="77">
        <v>44230.0</v>
      </c>
      <c r="B33" s="51">
        <v>31.0</v>
      </c>
      <c r="C33" s="488" t="s">
        <v>451</v>
      </c>
      <c r="D33" s="483"/>
      <c r="E33" s="483">
        <v>1.0</v>
      </c>
      <c r="F33" s="505" t="s">
        <v>433</v>
      </c>
      <c r="G33" s="314" t="s">
        <v>424</v>
      </c>
      <c r="H33" s="121" t="s">
        <v>382</v>
      </c>
      <c r="I33" s="115" t="s">
        <v>13</v>
      </c>
      <c r="J33" s="115" t="s">
        <v>425</v>
      </c>
      <c r="K33" s="260" t="s">
        <v>131</v>
      </c>
      <c r="L33" s="504" t="s">
        <v>418</v>
      </c>
      <c r="M33" s="428" t="s">
        <v>274</v>
      </c>
      <c r="N33" s="465"/>
      <c r="O33" s="347"/>
      <c r="P33" s="465"/>
      <c r="Q33" s="347"/>
      <c r="R33" s="465"/>
      <c r="S33" s="146"/>
      <c r="T33" s="465"/>
      <c r="U33" s="76"/>
      <c r="V33" s="465"/>
      <c r="W33" s="146"/>
      <c r="X33" s="465"/>
      <c r="Y33" s="416"/>
      <c r="Z33" s="465"/>
      <c r="AA33" s="77"/>
      <c r="AB33" s="465">
        <v>0.0</v>
      </c>
      <c r="AC33" s="146"/>
      <c r="AD33" s="465"/>
      <c r="AE33" s="146">
        <v>45407.0</v>
      </c>
      <c r="AF33" s="465"/>
      <c r="AG33" s="434"/>
      <c r="AH33" s="465"/>
      <c r="AI33" s="146"/>
      <c r="AJ33" s="465"/>
      <c r="AK33" s="77"/>
    </row>
    <row r="34" hidden="1">
      <c r="A34" s="77">
        <v>43727.0</v>
      </c>
      <c r="B34" s="51">
        <v>33.0</v>
      </c>
      <c r="C34" s="506" t="s">
        <v>452</v>
      </c>
      <c r="D34" s="483"/>
      <c r="E34" s="483">
        <v>1.0</v>
      </c>
      <c r="F34" s="496" t="s">
        <v>453</v>
      </c>
      <c r="G34" s="314" t="s">
        <v>424</v>
      </c>
      <c r="H34" s="121" t="s">
        <v>382</v>
      </c>
      <c r="I34" s="115" t="s">
        <v>13</v>
      </c>
      <c r="J34" s="115" t="s">
        <v>425</v>
      </c>
      <c r="K34" s="260" t="s">
        <v>131</v>
      </c>
      <c r="L34" s="504" t="s">
        <v>418</v>
      </c>
      <c r="M34" s="428" t="s">
        <v>274</v>
      </c>
      <c r="N34" s="465"/>
      <c r="O34" s="347"/>
      <c r="P34" s="465"/>
      <c r="Q34" s="347"/>
      <c r="R34" s="465"/>
      <c r="S34" s="146"/>
      <c r="T34" s="465"/>
      <c r="U34" s="76"/>
      <c r="V34" s="465"/>
      <c r="W34" s="146"/>
      <c r="X34" s="465"/>
      <c r="Y34" s="416"/>
      <c r="Z34" s="465"/>
      <c r="AA34" s="77"/>
      <c r="AB34" s="465">
        <v>0.0</v>
      </c>
      <c r="AC34" s="146"/>
      <c r="AD34" s="465"/>
      <c r="AE34" s="146">
        <v>45407.0</v>
      </c>
      <c r="AF34" s="416"/>
      <c r="AG34" s="146"/>
      <c r="AH34" s="465"/>
      <c r="AI34" s="146"/>
      <c r="AJ34" s="465"/>
      <c r="AK34" s="77"/>
    </row>
    <row r="35" hidden="1">
      <c r="A35" s="75">
        <v>43769.0</v>
      </c>
      <c r="B35" s="51">
        <v>34.0</v>
      </c>
      <c r="C35" s="507" t="s">
        <v>454</v>
      </c>
      <c r="D35" s="483"/>
      <c r="E35" s="483">
        <v>1.0</v>
      </c>
      <c r="F35" s="502" t="s">
        <v>455</v>
      </c>
      <c r="G35" s="314" t="s">
        <v>424</v>
      </c>
      <c r="H35" s="121" t="s">
        <v>382</v>
      </c>
      <c r="I35" s="115" t="s">
        <v>13</v>
      </c>
      <c r="J35" s="115" t="s">
        <v>425</v>
      </c>
      <c r="K35" s="260" t="s">
        <v>131</v>
      </c>
      <c r="L35" s="504" t="s">
        <v>418</v>
      </c>
      <c r="M35" s="428" t="s">
        <v>274</v>
      </c>
      <c r="N35" s="465"/>
      <c r="O35" s="347"/>
      <c r="P35" s="465"/>
      <c r="Q35" s="347"/>
      <c r="R35" s="465"/>
      <c r="S35" s="146"/>
      <c r="T35" s="465"/>
      <c r="U35" s="76"/>
      <c r="V35" s="465"/>
      <c r="W35" s="146"/>
      <c r="X35" s="465"/>
      <c r="Y35" s="416"/>
      <c r="Z35" s="465"/>
      <c r="AA35" s="77"/>
      <c r="AB35" s="465">
        <v>0.0</v>
      </c>
      <c r="AC35" s="146"/>
      <c r="AD35" s="465"/>
      <c r="AE35" s="146">
        <v>45407.0</v>
      </c>
      <c r="AF35" s="416"/>
      <c r="AG35" s="146"/>
      <c r="AH35" s="465"/>
      <c r="AI35" s="146"/>
      <c r="AJ35" s="465"/>
      <c r="AK35" s="77"/>
    </row>
    <row r="36" hidden="1">
      <c r="A36" s="75">
        <v>43768.0</v>
      </c>
      <c r="B36" s="51">
        <v>35.0</v>
      </c>
      <c r="C36" s="507" t="s">
        <v>456</v>
      </c>
      <c r="D36" s="483"/>
      <c r="E36" s="483">
        <v>1.0</v>
      </c>
      <c r="F36" s="502" t="s">
        <v>457</v>
      </c>
      <c r="G36" s="314" t="s">
        <v>424</v>
      </c>
      <c r="H36" s="121" t="s">
        <v>382</v>
      </c>
      <c r="I36" s="115" t="s">
        <v>13</v>
      </c>
      <c r="J36" s="115" t="s">
        <v>425</v>
      </c>
      <c r="K36" s="260" t="s">
        <v>131</v>
      </c>
      <c r="L36" s="504" t="s">
        <v>418</v>
      </c>
      <c r="M36" s="428" t="s">
        <v>274</v>
      </c>
      <c r="N36" s="465"/>
      <c r="O36" s="347"/>
      <c r="P36" s="465"/>
      <c r="Q36" s="347"/>
      <c r="R36" s="465"/>
      <c r="S36" s="146"/>
      <c r="T36" s="465"/>
      <c r="U36" s="76"/>
      <c r="V36" s="465"/>
      <c r="W36" s="146"/>
      <c r="X36" s="465"/>
      <c r="Y36" s="416"/>
      <c r="Z36" s="465"/>
      <c r="AA36" s="77"/>
      <c r="AB36" s="465">
        <v>0.0</v>
      </c>
      <c r="AC36" s="146"/>
      <c r="AD36" s="465"/>
      <c r="AE36" s="146">
        <v>45407.0</v>
      </c>
      <c r="AF36" s="416"/>
      <c r="AG36" s="146"/>
      <c r="AH36" s="465"/>
      <c r="AI36" s="146"/>
      <c r="AJ36" s="465"/>
      <c r="AK36" s="77"/>
    </row>
    <row r="37" hidden="1">
      <c r="A37" s="77">
        <v>43969.0</v>
      </c>
      <c r="B37" s="51">
        <v>36.0</v>
      </c>
      <c r="C37" s="507" t="s">
        <v>458</v>
      </c>
      <c r="D37" s="483"/>
      <c r="E37" s="483">
        <v>1.0</v>
      </c>
      <c r="F37" s="502" t="s">
        <v>459</v>
      </c>
      <c r="G37" s="314" t="s">
        <v>424</v>
      </c>
      <c r="H37" s="121" t="s">
        <v>382</v>
      </c>
      <c r="I37" s="115" t="s">
        <v>13</v>
      </c>
      <c r="J37" s="115" t="s">
        <v>425</v>
      </c>
      <c r="K37" s="260" t="s">
        <v>131</v>
      </c>
      <c r="L37" s="504" t="s">
        <v>418</v>
      </c>
      <c r="M37" s="428" t="s">
        <v>274</v>
      </c>
      <c r="N37" s="465"/>
      <c r="O37" s="347"/>
      <c r="P37" s="465"/>
      <c r="Q37" s="347"/>
      <c r="R37" s="465"/>
      <c r="S37" s="146"/>
      <c r="T37" s="465"/>
      <c r="U37" s="76"/>
      <c r="V37" s="465"/>
      <c r="W37" s="146"/>
      <c r="X37" s="465"/>
      <c r="Y37" s="416"/>
      <c r="Z37" s="465"/>
      <c r="AA37" s="77"/>
      <c r="AB37" s="465">
        <v>0.0</v>
      </c>
      <c r="AC37" s="146"/>
      <c r="AD37" s="465"/>
      <c r="AE37" s="146">
        <v>45407.0</v>
      </c>
      <c r="AF37" s="416"/>
      <c r="AG37" s="146"/>
      <c r="AH37" s="465"/>
      <c r="AI37" s="146"/>
      <c r="AJ37" s="465"/>
      <c r="AK37" s="77"/>
    </row>
    <row r="38" hidden="1">
      <c r="A38" s="77">
        <v>43966.0</v>
      </c>
      <c r="B38" s="51">
        <v>37.0</v>
      </c>
      <c r="C38" s="508" t="s">
        <v>460</v>
      </c>
      <c r="D38" s="483"/>
      <c r="E38" s="483">
        <v>1.0</v>
      </c>
      <c r="F38" s="509" t="s">
        <v>423</v>
      </c>
      <c r="G38" s="314" t="s">
        <v>424</v>
      </c>
      <c r="H38" s="121" t="s">
        <v>382</v>
      </c>
      <c r="I38" s="115" t="s">
        <v>13</v>
      </c>
      <c r="J38" s="115" t="s">
        <v>425</v>
      </c>
      <c r="K38" s="260" t="s">
        <v>131</v>
      </c>
      <c r="L38" s="504" t="s">
        <v>418</v>
      </c>
      <c r="M38" s="428" t="s">
        <v>274</v>
      </c>
      <c r="N38" s="465"/>
      <c r="O38" s="347"/>
      <c r="P38" s="465"/>
      <c r="Q38" s="347"/>
      <c r="R38" s="465"/>
      <c r="S38" s="146"/>
      <c r="T38" s="465"/>
      <c r="U38" s="76"/>
      <c r="V38" s="465"/>
      <c r="W38" s="146"/>
      <c r="X38" s="465"/>
      <c r="Y38" s="416"/>
      <c r="Z38" s="465"/>
      <c r="AA38" s="77"/>
      <c r="AB38" s="465">
        <v>0.0</v>
      </c>
      <c r="AC38" s="146"/>
      <c r="AD38" s="465"/>
      <c r="AE38" s="146">
        <v>45407.0</v>
      </c>
      <c r="AF38" s="416"/>
      <c r="AG38" s="146"/>
      <c r="AH38" s="465"/>
      <c r="AI38" s="146"/>
      <c r="AJ38" s="465"/>
      <c r="AK38" s="77"/>
      <c r="AL38" s="90"/>
      <c r="AM38" s="90"/>
      <c r="AN38" s="90"/>
      <c r="AO38" s="90"/>
      <c r="AP38" s="90"/>
      <c r="AQ38" s="90"/>
      <c r="AR38" s="90"/>
      <c r="AS38" s="90"/>
    </row>
    <row r="39" hidden="1">
      <c r="A39" s="77">
        <v>43900.0</v>
      </c>
      <c r="B39" s="51">
        <v>38.0</v>
      </c>
      <c r="C39" s="507" t="s">
        <v>461</v>
      </c>
      <c r="D39" s="483"/>
      <c r="E39" s="483">
        <v>1.0</v>
      </c>
      <c r="F39" s="509" t="s">
        <v>423</v>
      </c>
      <c r="G39" s="314" t="s">
        <v>424</v>
      </c>
      <c r="H39" s="121" t="s">
        <v>382</v>
      </c>
      <c r="I39" s="115" t="s">
        <v>13</v>
      </c>
      <c r="J39" s="115" t="s">
        <v>425</v>
      </c>
      <c r="K39" s="260" t="s">
        <v>131</v>
      </c>
      <c r="L39" s="504" t="s">
        <v>418</v>
      </c>
      <c r="M39" s="428" t="s">
        <v>274</v>
      </c>
      <c r="N39" s="465"/>
      <c r="O39" s="347"/>
      <c r="P39" s="465"/>
      <c r="Q39" s="347"/>
      <c r="R39" s="465"/>
      <c r="S39" s="146"/>
      <c r="T39" s="465"/>
      <c r="U39" s="76"/>
      <c r="V39" s="465"/>
      <c r="W39" s="146"/>
      <c r="X39" s="465"/>
      <c r="Y39" s="416"/>
      <c r="Z39" s="465"/>
      <c r="AA39" s="77"/>
      <c r="AB39" s="465">
        <v>0.0</v>
      </c>
      <c r="AC39" s="146"/>
      <c r="AD39" s="465"/>
      <c r="AE39" s="146">
        <v>45407.0</v>
      </c>
      <c r="AF39" s="416"/>
      <c r="AG39" s="146"/>
      <c r="AH39" s="465"/>
      <c r="AI39" s="146"/>
      <c r="AJ39" s="465"/>
      <c r="AK39" s="77"/>
      <c r="AL39" s="90"/>
      <c r="AM39" s="90"/>
      <c r="AN39" s="90"/>
      <c r="AO39" s="90"/>
      <c r="AP39" s="90"/>
      <c r="AQ39" s="90"/>
      <c r="AR39" s="90"/>
      <c r="AS39" s="90"/>
    </row>
    <row r="40" hidden="1">
      <c r="A40" s="77">
        <v>43711.0</v>
      </c>
      <c r="B40" s="51">
        <v>39.0</v>
      </c>
      <c r="C40" s="507" t="s">
        <v>462</v>
      </c>
      <c r="D40" s="483"/>
      <c r="E40" s="483">
        <v>1.0</v>
      </c>
      <c r="F40" s="486" t="s">
        <v>423</v>
      </c>
      <c r="G40" s="314" t="s">
        <v>424</v>
      </c>
      <c r="H40" s="121" t="s">
        <v>382</v>
      </c>
      <c r="I40" s="115" t="s">
        <v>13</v>
      </c>
      <c r="J40" s="115" t="s">
        <v>425</v>
      </c>
      <c r="K40" s="260" t="s">
        <v>131</v>
      </c>
      <c r="L40" s="504" t="s">
        <v>418</v>
      </c>
      <c r="M40" s="428" t="s">
        <v>274</v>
      </c>
      <c r="N40" s="465"/>
      <c r="O40" s="347"/>
      <c r="P40" s="465"/>
      <c r="Q40" s="347"/>
      <c r="R40" s="465"/>
      <c r="S40" s="146"/>
      <c r="T40" s="465"/>
      <c r="U40" s="76"/>
      <c r="V40" s="465"/>
      <c r="W40" s="146"/>
      <c r="X40" s="465"/>
      <c r="Y40" s="416"/>
      <c r="Z40" s="465"/>
      <c r="AA40" s="77"/>
      <c r="AB40" s="465">
        <v>0.0</v>
      </c>
      <c r="AC40" s="146"/>
      <c r="AD40" s="465"/>
      <c r="AE40" s="146">
        <v>45407.0</v>
      </c>
      <c r="AF40" s="416"/>
      <c r="AG40" s="146"/>
      <c r="AH40" s="465"/>
      <c r="AI40" s="146"/>
      <c r="AJ40" s="465"/>
      <c r="AK40" s="77"/>
      <c r="AL40" s="90"/>
      <c r="AM40" s="90"/>
      <c r="AN40" s="90"/>
      <c r="AO40" s="90"/>
      <c r="AP40" s="90"/>
      <c r="AQ40" s="90"/>
      <c r="AR40" s="90"/>
      <c r="AS40" s="90"/>
    </row>
    <row r="41">
      <c r="A41" s="395">
        <v>45383.0</v>
      </c>
      <c r="B41" s="383">
        <v>51.0</v>
      </c>
      <c r="C41" s="510" t="s">
        <v>463</v>
      </c>
      <c r="D41" s="511">
        <v>6.0</v>
      </c>
      <c r="E41" s="512">
        <v>3.0</v>
      </c>
      <c r="F41" s="510" t="s">
        <v>464</v>
      </c>
      <c r="G41" s="386" t="s">
        <v>465</v>
      </c>
      <c r="H41" s="513" t="s">
        <v>19</v>
      </c>
      <c r="I41" s="400" t="s">
        <v>18</v>
      </c>
      <c r="J41" s="401">
        <v>5.72011607853E11</v>
      </c>
      <c r="K41" s="401" t="s">
        <v>131</v>
      </c>
      <c r="L41" s="514" t="s">
        <v>398</v>
      </c>
      <c r="M41" s="515">
        <v>774.0</v>
      </c>
      <c r="N41" s="516">
        <v>774.0</v>
      </c>
      <c r="O41" s="517">
        <v>46009.0</v>
      </c>
      <c r="P41" s="516">
        <v>774.0</v>
      </c>
      <c r="Q41" s="394">
        <v>45979.0</v>
      </c>
      <c r="R41" s="516">
        <v>774.0</v>
      </c>
      <c r="S41" s="393">
        <v>45947.0</v>
      </c>
      <c r="T41" s="516">
        <v>774.0</v>
      </c>
      <c r="U41" s="394">
        <v>45919.0</v>
      </c>
      <c r="V41" s="516">
        <v>774.0</v>
      </c>
      <c r="W41" s="518">
        <v>774.0</v>
      </c>
      <c r="X41" s="519">
        <v>774.0</v>
      </c>
      <c r="Y41" s="393">
        <v>45856.0</v>
      </c>
      <c r="Z41" s="516">
        <v>774.0</v>
      </c>
      <c r="AA41" s="395">
        <v>45826.0</v>
      </c>
      <c r="AB41" s="516">
        <v>774.0</v>
      </c>
      <c r="AC41" s="520">
        <v>45797.0</v>
      </c>
      <c r="AD41" s="516">
        <v>774.0</v>
      </c>
      <c r="AE41" s="393">
        <v>45793.0</v>
      </c>
      <c r="AF41" s="389">
        <v>774.0</v>
      </c>
      <c r="AG41" s="393">
        <v>45735.0</v>
      </c>
      <c r="AH41" s="516">
        <v>774.0</v>
      </c>
      <c r="AI41" s="393">
        <v>45706.0</v>
      </c>
      <c r="AJ41" s="516">
        <v>774.0</v>
      </c>
      <c r="AK41" s="395">
        <v>45677.0</v>
      </c>
      <c r="AL41" s="397"/>
      <c r="AM41" s="397"/>
      <c r="AN41" s="397"/>
      <c r="AO41" s="397"/>
      <c r="AP41" s="397"/>
      <c r="AQ41" s="397"/>
      <c r="AR41" s="397"/>
      <c r="AS41" s="397"/>
    </row>
    <row r="42">
      <c r="A42" s="395">
        <v>45383.0</v>
      </c>
      <c r="B42" s="383">
        <v>50.0</v>
      </c>
      <c r="C42" s="510" t="s">
        <v>466</v>
      </c>
      <c r="D42" s="385">
        <v>7.0</v>
      </c>
      <c r="E42" s="521">
        <v>2.0</v>
      </c>
      <c r="F42" s="522" t="s">
        <v>467</v>
      </c>
      <c r="G42" s="523" t="s">
        <v>465</v>
      </c>
      <c r="H42" s="513" t="s">
        <v>19</v>
      </c>
      <c r="I42" s="400" t="s">
        <v>18</v>
      </c>
      <c r="J42" s="401">
        <v>5.72011606169E11</v>
      </c>
      <c r="K42" s="401" t="s">
        <v>131</v>
      </c>
      <c r="L42" s="514" t="s">
        <v>398</v>
      </c>
      <c r="M42" s="515">
        <v>705.0</v>
      </c>
      <c r="N42" s="516">
        <v>705.0</v>
      </c>
      <c r="O42" s="517">
        <v>46009.0</v>
      </c>
      <c r="P42" s="516">
        <v>705.0</v>
      </c>
      <c r="Q42" s="394">
        <v>45979.0</v>
      </c>
      <c r="R42" s="516">
        <v>705.0</v>
      </c>
      <c r="S42" s="393">
        <v>45947.0</v>
      </c>
      <c r="T42" s="516">
        <v>705.0</v>
      </c>
      <c r="U42" s="394">
        <v>45919.0</v>
      </c>
      <c r="V42" s="516">
        <v>705.0</v>
      </c>
      <c r="W42" s="518">
        <v>705.0</v>
      </c>
      <c r="X42" s="519">
        <v>705.0</v>
      </c>
      <c r="Y42" s="393">
        <v>45856.0</v>
      </c>
      <c r="Z42" s="516">
        <v>705.0</v>
      </c>
      <c r="AA42" s="395">
        <v>45826.0</v>
      </c>
      <c r="AB42" s="516">
        <v>705.0</v>
      </c>
      <c r="AC42" s="520">
        <v>45797.0</v>
      </c>
      <c r="AD42" s="516">
        <v>705.0</v>
      </c>
      <c r="AE42" s="393">
        <v>45793.0</v>
      </c>
      <c r="AF42" s="389">
        <v>705.0</v>
      </c>
      <c r="AG42" s="393">
        <v>45735.0</v>
      </c>
      <c r="AH42" s="516">
        <v>705.0</v>
      </c>
      <c r="AI42" s="393">
        <v>45706.0</v>
      </c>
      <c r="AJ42" s="516">
        <v>705.0</v>
      </c>
      <c r="AK42" s="395">
        <v>45677.0</v>
      </c>
      <c r="AL42" s="397"/>
      <c r="AM42" s="397"/>
      <c r="AN42" s="397"/>
      <c r="AO42" s="397"/>
      <c r="AP42" s="397"/>
      <c r="AQ42" s="397"/>
      <c r="AR42" s="397"/>
      <c r="AS42" s="397"/>
    </row>
    <row r="43">
      <c r="A43" s="395">
        <v>45413.0</v>
      </c>
      <c r="B43" s="383">
        <v>52.0</v>
      </c>
      <c r="C43" s="510" t="s">
        <v>468</v>
      </c>
      <c r="D43" s="511">
        <v>8.0</v>
      </c>
      <c r="E43" s="521">
        <v>7.0</v>
      </c>
      <c r="F43" s="510" t="s">
        <v>397</v>
      </c>
      <c r="G43" s="386" t="s">
        <v>465</v>
      </c>
      <c r="H43" s="513" t="s">
        <v>19</v>
      </c>
      <c r="I43" s="400" t="s">
        <v>18</v>
      </c>
      <c r="J43" s="401">
        <v>5.72011613818E11</v>
      </c>
      <c r="K43" s="401" t="s">
        <v>131</v>
      </c>
      <c r="L43" s="514" t="s">
        <v>398</v>
      </c>
      <c r="M43" s="515">
        <v>774.0</v>
      </c>
      <c r="N43" s="516">
        <v>774.0</v>
      </c>
      <c r="O43" s="517">
        <v>46009.0</v>
      </c>
      <c r="P43" s="516">
        <v>774.0</v>
      </c>
      <c r="Q43" s="394">
        <v>45979.0</v>
      </c>
      <c r="R43" s="516">
        <v>774.0</v>
      </c>
      <c r="S43" s="393">
        <v>45947.0</v>
      </c>
      <c r="T43" s="516">
        <v>774.0</v>
      </c>
      <c r="U43" s="394">
        <v>45919.0</v>
      </c>
      <c r="V43" s="516">
        <v>774.0</v>
      </c>
      <c r="W43" s="518">
        <v>774.0</v>
      </c>
      <c r="X43" s="519">
        <v>774.0</v>
      </c>
      <c r="Y43" s="393">
        <v>45856.0</v>
      </c>
      <c r="Z43" s="516">
        <v>774.0</v>
      </c>
      <c r="AA43" s="395">
        <v>45826.0</v>
      </c>
      <c r="AB43" s="516">
        <v>819.0</v>
      </c>
      <c r="AC43" s="520">
        <v>45797.0</v>
      </c>
      <c r="AD43" s="516">
        <v>819.0</v>
      </c>
      <c r="AE43" s="393">
        <v>45793.0</v>
      </c>
      <c r="AF43" s="389">
        <v>819.0</v>
      </c>
      <c r="AG43" s="393">
        <v>45735.0</v>
      </c>
      <c r="AH43" s="516">
        <v>819.0</v>
      </c>
      <c r="AI43" s="393">
        <v>45706.0</v>
      </c>
      <c r="AJ43" s="516">
        <v>819.0</v>
      </c>
      <c r="AK43" s="395">
        <v>45677.0</v>
      </c>
      <c r="AL43" s="397"/>
      <c r="AM43" s="397"/>
      <c r="AN43" s="397"/>
      <c r="AO43" s="397"/>
      <c r="AP43" s="397"/>
      <c r="AQ43" s="397"/>
      <c r="AR43" s="397"/>
      <c r="AS43" s="397"/>
    </row>
    <row r="44">
      <c r="A44" s="395">
        <v>45352.0</v>
      </c>
      <c r="B44" s="383">
        <v>49.0</v>
      </c>
      <c r="C44" s="524" t="s">
        <v>469</v>
      </c>
      <c r="D44" s="385">
        <v>9.0</v>
      </c>
      <c r="E44" s="521">
        <v>1.0</v>
      </c>
      <c r="F44" s="510" t="s">
        <v>464</v>
      </c>
      <c r="G44" s="386" t="s">
        <v>465</v>
      </c>
      <c r="H44" s="513" t="s">
        <v>19</v>
      </c>
      <c r="I44" s="400" t="s">
        <v>18</v>
      </c>
      <c r="J44" s="401">
        <v>5.72011605219E11</v>
      </c>
      <c r="K44" s="401" t="s">
        <v>131</v>
      </c>
      <c r="L44" s="514" t="s">
        <v>398</v>
      </c>
      <c r="M44" s="515">
        <v>705.0</v>
      </c>
      <c r="N44" s="516">
        <v>705.0</v>
      </c>
      <c r="O44" s="525">
        <v>46010.0</v>
      </c>
      <c r="P44" s="516">
        <v>705.0</v>
      </c>
      <c r="Q44" s="394">
        <v>45979.0</v>
      </c>
      <c r="R44" s="516">
        <v>705.0</v>
      </c>
      <c r="S44" s="393">
        <v>45947.0</v>
      </c>
      <c r="T44" s="516">
        <v>705.0</v>
      </c>
      <c r="U44" s="394">
        <v>45919.0</v>
      </c>
      <c r="V44" s="516">
        <v>705.0</v>
      </c>
      <c r="W44" s="518">
        <v>705.0</v>
      </c>
      <c r="X44" s="519">
        <v>705.0</v>
      </c>
      <c r="Y44" s="393">
        <v>45856.0</v>
      </c>
      <c r="Z44" s="516">
        <v>705.0</v>
      </c>
      <c r="AA44" s="395">
        <v>45826.0</v>
      </c>
      <c r="AB44" s="516">
        <v>705.0</v>
      </c>
      <c r="AC44" s="520">
        <v>45797.0</v>
      </c>
      <c r="AD44" s="516">
        <v>705.0</v>
      </c>
      <c r="AE44" s="393">
        <v>45793.0</v>
      </c>
      <c r="AF44" s="389">
        <v>705.0</v>
      </c>
      <c r="AG44" s="393">
        <v>45735.0</v>
      </c>
      <c r="AH44" s="516">
        <v>705.0</v>
      </c>
      <c r="AI44" s="393">
        <v>45706.0</v>
      </c>
      <c r="AJ44" s="516">
        <v>705.0</v>
      </c>
      <c r="AK44" s="395">
        <v>45677.0</v>
      </c>
      <c r="AL44" s="397"/>
      <c r="AM44" s="397"/>
      <c r="AN44" s="397"/>
      <c r="AO44" s="397"/>
      <c r="AP44" s="397"/>
      <c r="AQ44" s="397"/>
      <c r="AR44" s="397"/>
      <c r="AS44" s="397"/>
    </row>
    <row r="45">
      <c r="A45" s="395">
        <v>44713.0</v>
      </c>
      <c r="B45" s="383">
        <v>46.0</v>
      </c>
      <c r="C45" s="510" t="s">
        <v>470</v>
      </c>
      <c r="D45" s="511">
        <v>10.0</v>
      </c>
      <c r="E45" s="521">
        <v>3.0</v>
      </c>
      <c r="F45" s="526" t="s">
        <v>471</v>
      </c>
      <c r="G45" s="386" t="s">
        <v>465</v>
      </c>
      <c r="H45" s="513" t="s">
        <v>19</v>
      </c>
      <c r="I45" s="400" t="s">
        <v>23</v>
      </c>
      <c r="J45" s="527">
        <v>7.2001214705E11</v>
      </c>
      <c r="K45" s="401" t="s">
        <v>131</v>
      </c>
      <c r="L45" s="401" t="s">
        <v>418</v>
      </c>
      <c r="M45" s="389">
        <v>920.0</v>
      </c>
      <c r="N45" s="516">
        <v>1080.0</v>
      </c>
      <c r="O45" s="391">
        <v>46010.0</v>
      </c>
      <c r="P45" s="516">
        <v>920.0</v>
      </c>
      <c r="Q45" s="392">
        <v>45980.0</v>
      </c>
      <c r="R45" s="516">
        <v>920.0</v>
      </c>
      <c r="S45" s="393">
        <v>45949.0</v>
      </c>
      <c r="T45" s="516">
        <v>920.0</v>
      </c>
      <c r="U45" s="394">
        <v>45919.0</v>
      </c>
      <c r="V45" s="516">
        <v>920.0</v>
      </c>
      <c r="W45" s="518">
        <v>920.0</v>
      </c>
      <c r="X45" s="516">
        <v>920.0</v>
      </c>
      <c r="Y45" s="528">
        <v>45861.0</v>
      </c>
      <c r="Z45" s="516">
        <v>920.0</v>
      </c>
      <c r="AA45" s="395">
        <v>45826.0</v>
      </c>
      <c r="AB45" s="516">
        <v>920.0</v>
      </c>
      <c r="AC45" s="396">
        <v>45797.0</v>
      </c>
      <c r="AD45" s="516">
        <v>920.0</v>
      </c>
      <c r="AE45" s="528">
        <v>45763.0</v>
      </c>
      <c r="AF45" s="389">
        <v>765.0</v>
      </c>
      <c r="AG45" s="393">
        <v>45735.0</v>
      </c>
      <c r="AH45" s="516">
        <v>765.0</v>
      </c>
      <c r="AI45" s="393">
        <v>45706.0</v>
      </c>
      <c r="AJ45" s="516">
        <v>765.0</v>
      </c>
      <c r="AK45" s="395">
        <v>45678.0</v>
      </c>
      <c r="AL45" s="397"/>
      <c r="AM45" s="397"/>
      <c r="AN45" s="397"/>
      <c r="AO45" s="397"/>
      <c r="AP45" s="397"/>
      <c r="AQ45" s="397"/>
      <c r="AR45" s="397"/>
      <c r="AS45" s="397"/>
    </row>
    <row r="46">
      <c r="A46" s="395">
        <v>44712.0</v>
      </c>
      <c r="B46" s="383">
        <v>47.0</v>
      </c>
      <c r="C46" s="510" t="s">
        <v>472</v>
      </c>
      <c r="D46" s="385">
        <v>11.0</v>
      </c>
      <c r="E46" s="521">
        <v>3.0</v>
      </c>
      <c r="F46" s="529" t="s">
        <v>473</v>
      </c>
      <c r="G46" s="386" t="s">
        <v>465</v>
      </c>
      <c r="H46" s="513" t="s">
        <v>19</v>
      </c>
      <c r="I46" s="400" t="s">
        <v>23</v>
      </c>
      <c r="J46" s="530">
        <v>7.20012146835E11</v>
      </c>
      <c r="K46" s="401" t="s">
        <v>131</v>
      </c>
      <c r="L46" s="401" t="s">
        <v>418</v>
      </c>
      <c r="M46" s="389">
        <v>920.0</v>
      </c>
      <c r="N46" s="516">
        <v>1080.0</v>
      </c>
      <c r="O46" s="391">
        <v>46010.0</v>
      </c>
      <c r="P46" s="516">
        <v>920.0</v>
      </c>
      <c r="Q46" s="392">
        <v>45980.0</v>
      </c>
      <c r="R46" s="516">
        <v>920.0</v>
      </c>
      <c r="S46" s="393">
        <v>45949.0</v>
      </c>
      <c r="T46" s="516">
        <v>920.0</v>
      </c>
      <c r="U46" s="394">
        <v>45919.0</v>
      </c>
      <c r="V46" s="516">
        <v>920.0</v>
      </c>
      <c r="W46" s="518">
        <v>920.0</v>
      </c>
      <c r="X46" s="516">
        <v>920.0</v>
      </c>
      <c r="Y46" s="528">
        <v>45861.0</v>
      </c>
      <c r="Z46" s="516">
        <v>920.0</v>
      </c>
      <c r="AA46" s="395">
        <v>45826.0</v>
      </c>
      <c r="AB46" s="516">
        <v>920.0</v>
      </c>
      <c r="AC46" s="396">
        <v>45797.0</v>
      </c>
      <c r="AD46" s="516">
        <v>920.0</v>
      </c>
      <c r="AE46" s="528">
        <v>45763.0</v>
      </c>
      <c r="AF46" s="389">
        <v>765.0</v>
      </c>
      <c r="AG46" s="393">
        <v>45735.0</v>
      </c>
      <c r="AH46" s="516">
        <v>765.0</v>
      </c>
      <c r="AI46" s="393">
        <v>45706.0</v>
      </c>
      <c r="AJ46" s="516">
        <v>765.0</v>
      </c>
      <c r="AK46" s="395">
        <v>46043.0</v>
      </c>
      <c r="AL46" s="397"/>
      <c r="AM46" s="397"/>
      <c r="AN46" s="397"/>
      <c r="AO46" s="397"/>
      <c r="AP46" s="397"/>
      <c r="AQ46" s="397"/>
      <c r="AR46" s="397"/>
      <c r="AS46" s="397"/>
    </row>
    <row r="47">
      <c r="A47" s="395">
        <v>44712.0</v>
      </c>
      <c r="B47" s="383">
        <v>48.0</v>
      </c>
      <c r="C47" s="510" t="s">
        <v>474</v>
      </c>
      <c r="D47" s="511">
        <v>12.0</v>
      </c>
      <c r="E47" s="400">
        <v>1.0</v>
      </c>
      <c r="F47" s="531" t="s">
        <v>473</v>
      </c>
      <c r="G47" s="386" t="s">
        <v>465</v>
      </c>
      <c r="H47" s="513" t="s">
        <v>19</v>
      </c>
      <c r="I47" s="400" t="s">
        <v>23</v>
      </c>
      <c r="J47" s="401">
        <v>7.20012146835E11</v>
      </c>
      <c r="K47" s="401" t="s">
        <v>131</v>
      </c>
      <c r="L47" s="401" t="s">
        <v>201</v>
      </c>
      <c r="M47" s="515">
        <v>0.0</v>
      </c>
      <c r="N47" s="516">
        <v>0.0</v>
      </c>
      <c r="O47" s="391">
        <v>46010.0</v>
      </c>
      <c r="P47" s="516">
        <v>0.0</v>
      </c>
      <c r="Q47" s="402"/>
      <c r="R47" s="516">
        <v>0.0</v>
      </c>
      <c r="S47" s="393"/>
      <c r="T47" s="516">
        <v>0.0</v>
      </c>
      <c r="U47" s="394"/>
      <c r="V47" s="516">
        <v>0.0</v>
      </c>
      <c r="W47" s="518">
        <v>0.0</v>
      </c>
      <c r="X47" s="516">
        <v>0.0</v>
      </c>
      <c r="Y47" s="528"/>
      <c r="Z47" s="516">
        <v>0.0</v>
      </c>
      <c r="AA47" s="395"/>
      <c r="AB47" s="516">
        <v>0.0</v>
      </c>
      <c r="AC47" s="528"/>
      <c r="AD47" s="516">
        <v>0.0</v>
      </c>
      <c r="AE47" s="393"/>
      <c r="AF47" s="389"/>
      <c r="AG47" s="393"/>
      <c r="AH47" s="516">
        <v>0.0</v>
      </c>
      <c r="AI47" s="393"/>
      <c r="AJ47" s="516">
        <v>0.0</v>
      </c>
      <c r="AK47" s="395"/>
      <c r="AL47" s="397"/>
      <c r="AM47" s="397"/>
      <c r="AN47" s="397"/>
      <c r="AO47" s="397"/>
      <c r="AP47" s="397"/>
      <c r="AQ47" s="397"/>
      <c r="AR47" s="397"/>
      <c r="AS47" s="397"/>
    </row>
    <row r="48">
      <c r="A48" s="532">
        <v>45139.0</v>
      </c>
      <c r="B48" s="533">
        <v>45.0</v>
      </c>
      <c r="C48" s="534" t="s">
        <v>475</v>
      </c>
      <c r="D48" s="535">
        <v>13.0</v>
      </c>
      <c r="E48" s="536">
        <v>14.0</v>
      </c>
      <c r="F48" s="537" t="s">
        <v>476</v>
      </c>
      <c r="G48" s="538" t="s">
        <v>477</v>
      </c>
      <c r="H48" s="539" t="s">
        <v>19</v>
      </c>
      <c r="I48" s="540" t="s">
        <v>18</v>
      </c>
      <c r="J48" s="541">
        <v>5.72011559564E11</v>
      </c>
      <c r="K48" s="541" t="s">
        <v>131</v>
      </c>
      <c r="L48" s="542" t="s">
        <v>398</v>
      </c>
      <c r="M48" s="543">
        <v>1273.0</v>
      </c>
      <c r="N48" s="544">
        <v>1471.0</v>
      </c>
      <c r="O48" s="545">
        <v>46009.0</v>
      </c>
      <c r="P48" s="544">
        <v>1273.0</v>
      </c>
      <c r="Q48" s="546">
        <v>45979.0</v>
      </c>
      <c r="R48" s="544">
        <v>1273.0</v>
      </c>
      <c r="S48" s="547">
        <v>45947.0</v>
      </c>
      <c r="T48" s="544">
        <v>1132.0</v>
      </c>
      <c r="U48" s="546">
        <v>45919.0</v>
      </c>
      <c r="V48" s="544">
        <v>1074.0</v>
      </c>
      <c r="W48" s="548">
        <v>1074.0</v>
      </c>
      <c r="X48" s="549">
        <v>938.0</v>
      </c>
      <c r="Y48" s="547">
        <v>45856.0</v>
      </c>
      <c r="Z48" s="544">
        <v>1566.0</v>
      </c>
      <c r="AA48" s="532">
        <v>45826.0</v>
      </c>
      <c r="AB48" s="544">
        <v>1493.0</v>
      </c>
      <c r="AC48" s="550">
        <v>45797.0</v>
      </c>
      <c r="AD48" s="544">
        <v>1393.0</v>
      </c>
      <c r="AE48" s="547">
        <v>45793.0</v>
      </c>
      <c r="AF48" s="551">
        <v>1393.0</v>
      </c>
      <c r="AG48" s="547">
        <v>45735.0</v>
      </c>
      <c r="AH48" s="544">
        <v>1393.0</v>
      </c>
      <c r="AI48" s="547">
        <v>45706.0</v>
      </c>
      <c r="AJ48" s="544">
        <v>1393.0</v>
      </c>
      <c r="AK48" s="532">
        <v>45677.0</v>
      </c>
      <c r="AL48" s="552"/>
      <c r="AM48" s="552"/>
      <c r="AN48" s="552"/>
      <c r="AO48" s="552"/>
      <c r="AP48" s="552"/>
      <c r="AQ48" s="552"/>
      <c r="AR48" s="552"/>
      <c r="AS48" s="552"/>
    </row>
    <row r="49">
      <c r="A49" s="553">
        <v>44285.0</v>
      </c>
      <c r="B49" s="554"/>
      <c r="C49" s="555" t="s">
        <v>478</v>
      </c>
      <c r="D49" s="556">
        <v>4.0</v>
      </c>
      <c r="E49" s="557">
        <v>4.0</v>
      </c>
      <c r="F49" s="558" t="s">
        <v>467</v>
      </c>
      <c r="G49" s="559" t="s">
        <v>479</v>
      </c>
      <c r="H49" s="560" t="s">
        <v>388</v>
      </c>
      <c r="I49" s="561" t="s">
        <v>18</v>
      </c>
      <c r="J49" s="562" t="s">
        <v>480</v>
      </c>
      <c r="K49" s="562" t="s">
        <v>131</v>
      </c>
      <c r="L49" s="563" t="s">
        <v>398</v>
      </c>
      <c r="M49" s="564">
        <v>774.0</v>
      </c>
      <c r="N49" s="565">
        <v>774.0</v>
      </c>
      <c r="O49" s="566">
        <v>46009.0</v>
      </c>
      <c r="P49" s="565">
        <v>774.0</v>
      </c>
      <c r="Q49" s="567">
        <v>45979.0</v>
      </c>
      <c r="R49" s="565">
        <v>774.0</v>
      </c>
      <c r="S49" s="568">
        <v>45947.0</v>
      </c>
      <c r="T49" s="565">
        <v>774.0</v>
      </c>
      <c r="U49" s="567">
        <v>45919.0</v>
      </c>
      <c r="V49" s="565">
        <v>745.0</v>
      </c>
      <c r="W49" s="569">
        <v>745.0</v>
      </c>
      <c r="X49" s="570">
        <v>474.0</v>
      </c>
      <c r="Y49" s="568">
        <v>45856.0</v>
      </c>
      <c r="Z49" s="565">
        <v>474.0</v>
      </c>
      <c r="AA49" s="553">
        <v>45826.0</v>
      </c>
      <c r="AB49" s="565">
        <v>398.0</v>
      </c>
      <c r="AC49" s="571">
        <v>45797.0</v>
      </c>
      <c r="AD49" s="565">
        <v>0.0</v>
      </c>
      <c r="AE49" s="568"/>
      <c r="AF49" s="569">
        <v>624.0</v>
      </c>
      <c r="AG49" s="568">
        <v>45721.0</v>
      </c>
      <c r="AH49" s="565"/>
      <c r="AI49" s="568"/>
      <c r="AJ49" s="565"/>
      <c r="AK49" s="553"/>
      <c r="AL49" s="572"/>
      <c r="AM49" s="572"/>
      <c r="AN49" s="572"/>
      <c r="AO49" s="572"/>
      <c r="AP49" s="572"/>
      <c r="AQ49" s="572"/>
      <c r="AR49" s="572"/>
      <c r="AS49" s="572"/>
    </row>
    <row r="50">
      <c r="A50" s="553">
        <v>45721.0</v>
      </c>
      <c r="B50" s="554"/>
      <c r="C50" s="555" t="s">
        <v>481</v>
      </c>
      <c r="D50" s="573">
        <v>5.0</v>
      </c>
      <c r="E50" s="574"/>
      <c r="F50" s="575" t="s">
        <v>482</v>
      </c>
      <c r="G50" s="559" t="s">
        <v>479</v>
      </c>
      <c r="H50" s="560" t="s">
        <v>19</v>
      </c>
      <c r="I50" s="561" t="s">
        <v>18</v>
      </c>
      <c r="J50" s="562">
        <v>5.72011701875E11</v>
      </c>
      <c r="K50" s="562" t="s">
        <v>131</v>
      </c>
      <c r="L50" s="563" t="s">
        <v>398</v>
      </c>
      <c r="M50" s="564">
        <v>774.0</v>
      </c>
      <c r="N50" s="565">
        <v>774.0</v>
      </c>
      <c r="O50" s="566">
        <v>46009.0</v>
      </c>
      <c r="P50" s="565">
        <v>774.0</v>
      </c>
      <c r="Q50" s="567">
        <v>45979.0</v>
      </c>
      <c r="R50" s="565">
        <v>774.0</v>
      </c>
      <c r="S50" s="568">
        <v>45947.0</v>
      </c>
      <c r="T50" s="565">
        <v>774.0</v>
      </c>
      <c r="U50" s="567">
        <v>45919.0</v>
      </c>
      <c r="V50" s="565">
        <v>745.0</v>
      </c>
      <c r="W50" s="569">
        <v>745.0</v>
      </c>
      <c r="X50" s="570">
        <v>474.0</v>
      </c>
      <c r="Y50" s="568">
        <v>45856.0</v>
      </c>
      <c r="Z50" s="565">
        <v>474.0</v>
      </c>
      <c r="AA50" s="553">
        <v>45826.0</v>
      </c>
      <c r="AB50" s="565">
        <v>400.0</v>
      </c>
      <c r="AC50" s="571">
        <v>45797.0</v>
      </c>
      <c r="AD50" s="565">
        <v>0.0</v>
      </c>
      <c r="AE50" s="568"/>
      <c r="AF50" s="569">
        <v>624.0</v>
      </c>
      <c r="AG50" s="568">
        <v>45721.0</v>
      </c>
      <c r="AH50" s="565"/>
      <c r="AI50" s="568"/>
      <c r="AJ50" s="565"/>
      <c r="AK50" s="553"/>
      <c r="AL50" s="572"/>
      <c r="AM50" s="572"/>
      <c r="AN50" s="572"/>
      <c r="AO50" s="572"/>
      <c r="AP50" s="572"/>
      <c r="AQ50" s="572"/>
      <c r="AR50" s="572"/>
      <c r="AS50" s="572"/>
    </row>
    <row r="51" hidden="1">
      <c r="A51" s="77">
        <v>43880.0</v>
      </c>
      <c r="B51" s="51">
        <v>3.0</v>
      </c>
      <c r="C51" s="288" t="s">
        <v>483</v>
      </c>
      <c r="D51" s="427"/>
      <c r="E51" s="427">
        <v>1.0</v>
      </c>
      <c r="F51" s="495" t="s">
        <v>484</v>
      </c>
      <c r="G51" s="314" t="s">
        <v>479</v>
      </c>
      <c r="H51" s="121" t="s">
        <v>382</v>
      </c>
      <c r="I51" s="115" t="s">
        <v>23</v>
      </c>
      <c r="J51" s="260" t="s">
        <v>383</v>
      </c>
      <c r="K51" s="260" t="s">
        <v>131</v>
      </c>
      <c r="L51" s="504" t="s">
        <v>384</v>
      </c>
      <c r="M51" s="428" t="s">
        <v>274</v>
      </c>
      <c r="N51" s="465"/>
      <c r="O51" s="347"/>
      <c r="P51" s="465"/>
      <c r="Q51" s="347"/>
      <c r="R51" s="465"/>
      <c r="S51" s="146"/>
      <c r="T51" s="465"/>
      <c r="U51" s="76"/>
      <c r="V51" s="465"/>
      <c r="W51" s="146"/>
      <c r="X51" s="465"/>
      <c r="Y51" s="146"/>
      <c r="Z51" s="465"/>
      <c r="AA51" s="77"/>
      <c r="AB51" s="465">
        <v>0.0</v>
      </c>
      <c r="AC51" s="146"/>
      <c r="AD51" s="465"/>
      <c r="AE51" s="146">
        <v>45392.0</v>
      </c>
      <c r="AF51" s="416"/>
      <c r="AG51" s="146"/>
      <c r="AH51" s="465"/>
      <c r="AI51" s="146"/>
      <c r="AJ51" s="465"/>
      <c r="AK51" s="77"/>
    </row>
    <row r="52">
      <c r="A52" s="553">
        <v>45621.0</v>
      </c>
      <c r="B52" s="554"/>
      <c r="C52" s="576" t="s">
        <v>485</v>
      </c>
      <c r="D52" s="556">
        <v>14.0</v>
      </c>
      <c r="E52" s="577">
        <v>4.0</v>
      </c>
      <c r="F52" s="578"/>
      <c r="G52" s="559" t="s">
        <v>479</v>
      </c>
      <c r="H52" s="560" t="s">
        <v>403</v>
      </c>
      <c r="I52" s="561" t="s">
        <v>23</v>
      </c>
      <c r="J52" s="579">
        <v>7.20017313263E11</v>
      </c>
      <c r="K52" s="562" t="s">
        <v>486</v>
      </c>
      <c r="L52" s="563" t="s">
        <v>487</v>
      </c>
      <c r="M52" s="564">
        <v>1000.0</v>
      </c>
      <c r="N52" s="565">
        <v>1000.0</v>
      </c>
      <c r="O52" s="580">
        <v>46010.0</v>
      </c>
      <c r="P52" s="565">
        <v>1000.0</v>
      </c>
      <c r="Q52" s="581">
        <v>45980.0</v>
      </c>
      <c r="R52" s="565">
        <v>1000.0</v>
      </c>
      <c r="S52" s="568">
        <v>45950.0</v>
      </c>
      <c r="T52" s="565">
        <v>1000.0</v>
      </c>
      <c r="U52" s="567">
        <v>45919.0</v>
      </c>
      <c r="V52" s="565">
        <v>1000.0</v>
      </c>
      <c r="W52" s="582">
        <v>1000.0</v>
      </c>
      <c r="X52" s="565">
        <v>1000.0</v>
      </c>
      <c r="Y52" s="568">
        <v>45861.0</v>
      </c>
      <c r="Z52" s="565">
        <v>1001.0</v>
      </c>
      <c r="AA52" s="553">
        <v>45826.0</v>
      </c>
      <c r="AB52" s="565">
        <v>1000.0</v>
      </c>
      <c r="AC52" s="583">
        <v>45797.0</v>
      </c>
      <c r="AD52" s="565">
        <v>1200.0</v>
      </c>
      <c r="AE52" s="584">
        <v>45763.0</v>
      </c>
      <c r="AF52" s="569">
        <v>1000.0</v>
      </c>
      <c r="AG52" s="568">
        <v>45735.0</v>
      </c>
      <c r="AH52" s="565">
        <v>1000.0</v>
      </c>
      <c r="AI52" s="568">
        <v>45706.0</v>
      </c>
      <c r="AJ52" s="565">
        <v>1000.0</v>
      </c>
      <c r="AK52" s="553">
        <v>45678.0</v>
      </c>
      <c r="AL52" s="572"/>
      <c r="AM52" s="572"/>
      <c r="AN52" s="572"/>
      <c r="AO52" s="572"/>
      <c r="AP52" s="572"/>
      <c r="AQ52" s="572"/>
      <c r="AR52" s="572"/>
      <c r="AS52" s="572"/>
    </row>
    <row r="53">
      <c r="A53" s="553">
        <v>45413.0</v>
      </c>
      <c r="B53" s="554">
        <v>21.0</v>
      </c>
      <c r="C53" s="576" t="s">
        <v>488</v>
      </c>
      <c r="D53" s="573">
        <v>15.0</v>
      </c>
      <c r="E53" s="577">
        <v>2.0</v>
      </c>
      <c r="F53" s="578"/>
      <c r="G53" s="559" t="s">
        <v>479</v>
      </c>
      <c r="H53" s="560" t="s">
        <v>388</v>
      </c>
      <c r="I53" s="561" t="s">
        <v>23</v>
      </c>
      <c r="J53" s="579">
        <v>7.20016424647E11</v>
      </c>
      <c r="K53" s="562" t="s">
        <v>486</v>
      </c>
      <c r="L53" s="563" t="s">
        <v>267</v>
      </c>
      <c r="M53" s="564">
        <v>900.0</v>
      </c>
      <c r="N53" s="565">
        <v>1020.0</v>
      </c>
      <c r="O53" s="580">
        <v>46010.0</v>
      </c>
      <c r="P53" s="565">
        <v>900.0</v>
      </c>
      <c r="Q53" s="581">
        <v>45980.0</v>
      </c>
      <c r="R53" s="565">
        <v>900.0</v>
      </c>
      <c r="S53" s="568">
        <v>45950.0</v>
      </c>
      <c r="T53" s="565">
        <v>900.0</v>
      </c>
      <c r="U53" s="567">
        <v>45919.0</v>
      </c>
      <c r="V53" s="565">
        <v>900.0</v>
      </c>
      <c r="W53" s="582">
        <v>900.0</v>
      </c>
      <c r="X53" s="565">
        <v>900.0</v>
      </c>
      <c r="Y53" s="568">
        <v>45861.0</v>
      </c>
      <c r="Z53" s="565">
        <v>900.0</v>
      </c>
      <c r="AA53" s="553">
        <v>45826.0</v>
      </c>
      <c r="AB53" s="565">
        <v>900.0</v>
      </c>
      <c r="AC53" s="583">
        <v>45797.0</v>
      </c>
      <c r="AD53" s="565">
        <v>900.0</v>
      </c>
      <c r="AE53" s="584">
        <v>45763.0</v>
      </c>
      <c r="AF53" s="569">
        <v>900.0</v>
      </c>
      <c r="AG53" s="568">
        <v>45735.0</v>
      </c>
      <c r="AH53" s="565">
        <v>900.01</v>
      </c>
      <c r="AI53" s="568">
        <v>45706.0</v>
      </c>
      <c r="AJ53" s="565">
        <v>900.0</v>
      </c>
      <c r="AK53" s="553">
        <v>45678.0</v>
      </c>
      <c r="AL53" s="572"/>
      <c r="AM53" s="572"/>
      <c r="AN53" s="572"/>
      <c r="AO53" s="572"/>
      <c r="AP53" s="572"/>
      <c r="AQ53" s="572"/>
      <c r="AR53" s="572"/>
      <c r="AS53" s="572"/>
    </row>
    <row r="54">
      <c r="A54" s="581">
        <v>44541.0</v>
      </c>
      <c r="B54" s="554">
        <v>7.0</v>
      </c>
      <c r="C54" s="576" t="s">
        <v>489</v>
      </c>
      <c r="D54" s="556">
        <v>16.0</v>
      </c>
      <c r="E54" s="577">
        <v>6.0</v>
      </c>
      <c r="F54" s="585" t="s">
        <v>490</v>
      </c>
      <c r="G54" s="559" t="s">
        <v>479</v>
      </c>
      <c r="H54" s="560" t="s">
        <v>300</v>
      </c>
      <c r="I54" s="561" t="s">
        <v>18</v>
      </c>
      <c r="J54" s="562">
        <v>5.72011459256E11</v>
      </c>
      <c r="K54" s="562" t="s">
        <v>131</v>
      </c>
      <c r="L54" s="563" t="s">
        <v>398</v>
      </c>
      <c r="M54" s="564">
        <v>585.0</v>
      </c>
      <c r="N54" s="565">
        <v>585.0</v>
      </c>
      <c r="O54" s="566">
        <v>46009.0</v>
      </c>
      <c r="P54" s="565">
        <v>585.0</v>
      </c>
      <c r="Q54" s="567">
        <v>45979.0</v>
      </c>
      <c r="R54" s="565">
        <v>585.0</v>
      </c>
      <c r="S54" s="568">
        <v>45947.0</v>
      </c>
      <c r="T54" s="565">
        <v>585.0</v>
      </c>
      <c r="U54" s="567">
        <v>45919.0</v>
      </c>
      <c r="V54" s="565">
        <v>585.0</v>
      </c>
      <c r="W54" s="582">
        <v>585.0</v>
      </c>
      <c r="X54" s="570">
        <v>442.0</v>
      </c>
      <c r="Y54" s="568">
        <v>45856.0</v>
      </c>
      <c r="Z54" s="565">
        <v>585.0</v>
      </c>
      <c r="AA54" s="553">
        <v>45826.0</v>
      </c>
      <c r="AB54" s="565">
        <v>585.0</v>
      </c>
      <c r="AC54" s="571">
        <v>45797.0</v>
      </c>
      <c r="AD54" s="565">
        <v>585.0</v>
      </c>
      <c r="AE54" s="568">
        <v>45793.0</v>
      </c>
      <c r="AF54" s="569">
        <v>585.0</v>
      </c>
      <c r="AG54" s="568">
        <v>45735.0</v>
      </c>
      <c r="AH54" s="565">
        <v>585.0</v>
      </c>
      <c r="AI54" s="568">
        <v>45706.0</v>
      </c>
      <c r="AJ54" s="565">
        <v>555.0</v>
      </c>
      <c r="AK54" s="553">
        <v>45677.0</v>
      </c>
      <c r="AL54" s="572"/>
      <c r="AM54" s="572"/>
      <c r="AN54" s="572"/>
      <c r="AO54" s="572"/>
      <c r="AP54" s="572"/>
      <c r="AQ54" s="572"/>
      <c r="AR54" s="572"/>
      <c r="AS54" s="572"/>
    </row>
    <row r="55">
      <c r="A55" s="553">
        <v>44763.0</v>
      </c>
      <c r="B55" s="554">
        <v>16.0</v>
      </c>
      <c r="C55" s="576" t="s">
        <v>491</v>
      </c>
      <c r="D55" s="573">
        <v>17.0</v>
      </c>
      <c r="E55" s="577">
        <v>4.0</v>
      </c>
      <c r="F55" s="586" t="s">
        <v>492</v>
      </c>
      <c r="G55" s="559" t="s">
        <v>479</v>
      </c>
      <c r="H55" s="560" t="s">
        <v>388</v>
      </c>
      <c r="I55" s="561" t="s">
        <v>23</v>
      </c>
      <c r="J55" s="579">
        <v>7.20012393086E11</v>
      </c>
      <c r="K55" s="562" t="s">
        <v>394</v>
      </c>
      <c r="L55" s="563" t="s">
        <v>493</v>
      </c>
      <c r="M55" s="564">
        <v>1120.0</v>
      </c>
      <c r="N55" s="565">
        <v>1280.0</v>
      </c>
      <c r="O55" s="580">
        <v>46010.0</v>
      </c>
      <c r="P55" s="565">
        <v>1120.0</v>
      </c>
      <c r="Q55" s="581">
        <v>45980.0</v>
      </c>
      <c r="R55" s="565">
        <v>1120.0</v>
      </c>
      <c r="S55" s="568">
        <v>45950.0</v>
      </c>
      <c r="T55" s="565">
        <v>1120.0</v>
      </c>
      <c r="U55" s="567">
        <v>45919.0</v>
      </c>
      <c r="V55" s="565">
        <v>1120.0</v>
      </c>
      <c r="W55" s="582">
        <v>1120.0</v>
      </c>
      <c r="X55" s="565">
        <v>1120.0</v>
      </c>
      <c r="Y55" s="568">
        <v>45861.0</v>
      </c>
      <c r="Z55" s="565">
        <v>1120.0</v>
      </c>
      <c r="AA55" s="553">
        <v>45826.0</v>
      </c>
      <c r="AB55" s="565">
        <v>1120.0</v>
      </c>
      <c r="AC55" s="583">
        <v>45797.0</v>
      </c>
      <c r="AD55" s="565">
        <v>1120.0</v>
      </c>
      <c r="AE55" s="584">
        <v>45763.0</v>
      </c>
      <c r="AF55" s="569">
        <v>965.0</v>
      </c>
      <c r="AG55" s="568">
        <v>45735.0</v>
      </c>
      <c r="AH55" s="565">
        <v>965.0</v>
      </c>
      <c r="AI55" s="568">
        <v>45706.0</v>
      </c>
      <c r="AJ55" s="565">
        <v>965.0</v>
      </c>
      <c r="AK55" s="553">
        <v>45678.0</v>
      </c>
      <c r="AL55" s="572"/>
      <c r="AM55" s="572"/>
      <c r="AN55" s="572"/>
      <c r="AO55" s="572"/>
      <c r="AP55" s="572"/>
      <c r="AQ55" s="572"/>
      <c r="AR55" s="572"/>
      <c r="AS55" s="572"/>
    </row>
    <row r="56">
      <c r="A56" s="553">
        <v>44414.0</v>
      </c>
      <c r="B56" s="554">
        <v>4.0</v>
      </c>
      <c r="C56" s="587" t="s">
        <v>494</v>
      </c>
      <c r="D56" s="556">
        <v>18.0</v>
      </c>
      <c r="E56" s="577">
        <v>6.0</v>
      </c>
      <c r="F56" s="588" t="s">
        <v>495</v>
      </c>
      <c r="G56" s="559" t="s">
        <v>479</v>
      </c>
      <c r="H56" s="560" t="s">
        <v>19</v>
      </c>
      <c r="I56" s="561" t="s">
        <v>18</v>
      </c>
      <c r="J56" s="562">
        <v>5.72011440983E11</v>
      </c>
      <c r="K56" s="562" t="s">
        <v>394</v>
      </c>
      <c r="L56" s="563" t="s">
        <v>398</v>
      </c>
      <c r="M56" s="564">
        <v>655.0</v>
      </c>
      <c r="N56" s="565">
        <v>655.0</v>
      </c>
      <c r="O56" s="566">
        <v>46009.0</v>
      </c>
      <c r="P56" s="565">
        <v>655.0</v>
      </c>
      <c r="Q56" s="567">
        <v>45979.0</v>
      </c>
      <c r="R56" s="565">
        <v>655.0</v>
      </c>
      <c r="S56" s="568">
        <v>45947.0</v>
      </c>
      <c r="T56" s="565">
        <v>655.0</v>
      </c>
      <c r="U56" s="567">
        <v>45919.0</v>
      </c>
      <c r="V56" s="565">
        <v>655.0</v>
      </c>
      <c r="W56" s="582">
        <v>655.0</v>
      </c>
      <c r="X56" s="570">
        <v>494.0</v>
      </c>
      <c r="Y56" s="568">
        <v>45856.0</v>
      </c>
      <c r="Z56" s="565">
        <v>655.0</v>
      </c>
      <c r="AA56" s="553">
        <v>45826.0</v>
      </c>
      <c r="AB56" s="565">
        <v>655.0</v>
      </c>
      <c r="AC56" s="571">
        <v>45797.0</v>
      </c>
      <c r="AD56" s="565">
        <v>655.0</v>
      </c>
      <c r="AE56" s="568">
        <v>45793.0</v>
      </c>
      <c r="AF56" s="569">
        <v>655.0</v>
      </c>
      <c r="AG56" s="568">
        <v>45735.0</v>
      </c>
      <c r="AH56" s="565">
        <v>655.0</v>
      </c>
      <c r="AI56" s="568">
        <v>45706.0</v>
      </c>
      <c r="AJ56" s="565">
        <v>615.0</v>
      </c>
      <c r="AK56" s="553">
        <v>45677.0</v>
      </c>
      <c r="AL56" s="572"/>
      <c r="AM56" s="572"/>
      <c r="AN56" s="572"/>
      <c r="AO56" s="572"/>
      <c r="AP56" s="572"/>
      <c r="AQ56" s="572"/>
      <c r="AR56" s="572"/>
      <c r="AS56" s="572"/>
    </row>
    <row r="57">
      <c r="A57" s="553">
        <v>44256.0</v>
      </c>
      <c r="B57" s="554"/>
      <c r="C57" s="589" t="s">
        <v>496</v>
      </c>
      <c r="D57" s="573">
        <v>25.0</v>
      </c>
      <c r="E57" s="590">
        <v>6.0</v>
      </c>
      <c r="F57" s="591" t="s">
        <v>497</v>
      </c>
      <c r="G57" s="559" t="s">
        <v>479</v>
      </c>
      <c r="H57" s="560" t="s">
        <v>19</v>
      </c>
      <c r="I57" s="561" t="s">
        <v>18</v>
      </c>
      <c r="J57" s="562">
        <v>5.72011701077E11</v>
      </c>
      <c r="K57" s="562" t="s">
        <v>131</v>
      </c>
      <c r="L57" s="563" t="s">
        <v>372</v>
      </c>
      <c r="M57" s="564">
        <v>774.0</v>
      </c>
      <c r="N57" s="565">
        <v>774.0</v>
      </c>
      <c r="O57" s="566">
        <v>46009.0</v>
      </c>
      <c r="P57" s="565">
        <v>774.0</v>
      </c>
      <c r="Q57" s="567">
        <v>45979.0</v>
      </c>
      <c r="R57" s="565">
        <v>774.0</v>
      </c>
      <c r="S57" s="568">
        <v>45947.0</v>
      </c>
      <c r="T57" s="565">
        <v>774.0</v>
      </c>
      <c r="U57" s="567">
        <v>45919.0</v>
      </c>
      <c r="V57" s="565">
        <v>774.0</v>
      </c>
      <c r="W57" s="582">
        <v>774.0</v>
      </c>
      <c r="X57" s="570">
        <v>494.0</v>
      </c>
      <c r="Y57" s="568">
        <v>45856.0</v>
      </c>
      <c r="Z57" s="565">
        <v>474.0</v>
      </c>
      <c r="AA57" s="553">
        <v>45826.0</v>
      </c>
      <c r="AB57" s="565">
        <v>474.0</v>
      </c>
      <c r="AC57" s="571">
        <v>45797.0</v>
      </c>
      <c r="AD57" s="565">
        <v>0.0</v>
      </c>
      <c r="AE57" s="568"/>
      <c r="AF57" s="569"/>
      <c r="AG57" s="568"/>
      <c r="AH57" s="565">
        <v>624.0</v>
      </c>
      <c r="AI57" s="568">
        <v>45715.0</v>
      </c>
      <c r="AJ57" s="565"/>
      <c r="AK57" s="553"/>
      <c r="AL57" s="572"/>
      <c r="AM57" s="572"/>
      <c r="AN57" s="572"/>
      <c r="AO57" s="572"/>
      <c r="AP57" s="572"/>
      <c r="AQ57" s="572"/>
      <c r="AR57" s="572"/>
      <c r="AS57" s="572"/>
    </row>
    <row r="58" hidden="1">
      <c r="A58" s="77">
        <v>43143.0</v>
      </c>
      <c r="B58" s="51">
        <v>18.0</v>
      </c>
      <c r="C58" s="507" t="s">
        <v>498</v>
      </c>
      <c r="D58" s="491"/>
      <c r="E58" s="491">
        <v>2.0</v>
      </c>
      <c r="F58" s="592" t="s">
        <v>499</v>
      </c>
      <c r="G58" s="314" t="s">
        <v>479</v>
      </c>
      <c r="H58" s="121" t="s">
        <v>382</v>
      </c>
      <c r="I58" s="115" t="s">
        <v>23</v>
      </c>
      <c r="J58" s="365" t="s">
        <v>383</v>
      </c>
      <c r="K58" s="260" t="s">
        <v>131</v>
      </c>
      <c r="L58" s="504" t="s">
        <v>186</v>
      </c>
      <c r="M58" s="428" t="s">
        <v>274</v>
      </c>
      <c r="N58" s="465"/>
      <c r="O58" s="347"/>
      <c r="P58" s="465"/>
      <c r="Q58" s="347"/>
      <c r="R58" s="465"/>
      <c r="S58" s="146"/>
      <c r="T58" s="465"/>
      <c r="U58" s="76"/>
      <c r="V58" s="465"/>
      <c r="W58" s="493"/>
      <c r="X58" s="465"/>
      <c r="Y58" s="146"/>
      <c r="Z58" s="465"/>
      <c r="AA58" s="77"/>
      <c r="AB58" s="465">
        <v>0.0</v>
      </c>
      <c r="AC58" s="146"/>
      <c r="AD58" s="465"/>
      <c r="AE58" s="146">
        <v>45392.0</v>
      </c>
      <c r="AF58" s="416"/>
      <c r="AG58" s="146"/>
      <c r="AH58" s="465"/>
      <c r="AI58" s="146"/>
      <c r="AJ58" s="465"/>
      <c r="AK58" s="77"/>
      <c r="AL58" s="90"/>
      <c r="AM58" s="90"/>
      <c r="AN58" s="90"/>
      <c r="AO58" s="90"/>
      <c r="AP58" s="90"/>
      <c r="AQ58" s="90"/>
      <c r="AR58" s="90"/>
      <c r="AS58" s="90"/>
    </row>
    <row r="59" hidden="1">
      <c r="A59" s="75">
        <v>43799.0</v>
      </c>
      <c r="B59" s="51">
        <v>20.0</v>
      </c>
      <c r="C59" s="312" t="s">
        <v>500</v>
      </c>
      <c r="D59" s="175"/>
      <c r="E59" s="175">
        <v>2.0</v>
      </c>
      <c r="F59" s="435" t="s">
        <v>501</v>
      </c>
      <c r="G59" s="314" t="s">
        <v>479</v>
      </c>
      <c r="H59" s="121" t="s">
        <v>382</v>
      </c>
      <c r="I59" s="115" t="s">
        <v>23</v>
      </c>
      <c r="J59" s="365" t="s">
        <v>383</v>
      </c>
      <c r="K59" s="260" t="s">
        <v>131</v>
      </c>
      <c r="L59" s="260" t="s">
        <v>502</v>
      </c>
      <c r="M59" s="337" t="s">
        <v>274</v>
      </c>
      <c r="N59" s="465"/>
      <c r="O59" s="347"/>
      <c r="P59" s="465"/>
      <c r="Q59" s="347"/>
      <c r="R59" s="465"/>
      <c r="S59" s="146"/>
      <c r="T59" s="465"/>
      <c r="U59" s="76"/>
      <c r="V59" s="465"/>
      <c r="W59" s="493"/>
      <c r="X59" s="465"/>
      <c r="Y59" s="146"/>
      <c r="Z59" s="465"/>
      <c r="AA59" s="77"/>
      <c r="AB59" s="465">
        <v>0.0</v>
      </c>
      <c r="AC59" s="146"/>
      <c r="AD59" s="465"/>
      <c r="AE59" s="146">
        <v>45392.0</v>
      </c>
      <c r="AF59" s="416"/>
      <c r="AG59" s="146"/>
      <c r="AH59" s="465"/>
      <c r="AI59" s="146"/>
      <c r="AJ59" s="465"/>
      <c r="AK59" s="77"/>
    </row>
    <row r="60" hidden="1">
      <c r="A60" s="77">
        <v>43872.0</v>
      </c>
      <c r="B60" s="51">
        <v>17.0</v>
      </c>
      <c r="C60" s="312" t="s">
        <v>503</v>
      </c>
      <c r="D60" s="175"/>
      <c r="E60" s="175">
        <v>5.0</v>
      </c>
      <c r="F60" s="593" t="s">
        <v>504</v>
      </c>
      <c r="G60" s="314" t="s">
        <v>479</v>
      </c>
      <c r="H60" s="121" t="s">
        <v>382</v>
      </c>
      <c r="I60" s="115" t="s">
        <v>23</v>
      </c>
      <c r="J60" s="365" t="s">
        <v>383</v>
      </c>
      <c r="K60" s="260" t="s">
        <v>131</v>
      </c>
      <c r="L60" s="260" t="s">
        <v>502</v>
      </c>
      <c r="M60" s="337" t="s">
        <v>274</v>
      </c>
      <c r="N60" s="465"/>
      <c r="O60" s="466"/>
      <c r="P60" s="465"/>
      <c r="Q60" s="347"/>
      <c r="R60" s="465"/>
      <c r="S60" s="146"/>
      <c r="T60" s="465"/>
      <c r="U60" s="76"/>
      <c r="V60" s="465"/>
      <c r="W60" s="493"/>
      <c r="X60" s="465"/>
      <c r="Y60" s="146"/>
      <c r="Z60" s="465"/>
      <c r="AA60" s="77"/>
      <c r="AB60" s="465">
        <v>0.0</v>
      </c>
      <c r="AC60" s="146"/>
      <c r="AD60" s="465"/>
      <c r="AE60" s="434">
        <v>45392.0</v>
      </c>
      <c r="AF60" s="594" t="s">
        <v>505</v>
      </c>
      <c r="AG60" s="146"/>
      <c r="AH60" s="465"/>
      <c r="AI60" s="146"/>
      <c r="AJ60" s="465"/>
      <c r="AK60" s="77"/>
    </row>
    <row r="61">
      <c r="A61" s="553">
        <v>43872.0</v>
      </c>
      <c r="B61" s="554"/>
      <c r="C61" s="595" t="s">
        <v>506</v>
      </c>
      <c r="D61" s="556">
        <v>32.0</v>
      </c>
      <c r="E61" s="577">
        <v>5.0</v>
      </c>
      <c r="F61" s="585" t="s">
        <v>507</v>
      </c>
      <c r="G61" s="559" t="s">
        <v>479</v>
      </c>
      <c r="H61" s="560" t="s">
        <v>388</v>
      </c>
      <c r="I61" s="561" t="s">
        <v>18</v>
      </c>
      <c r="J61" s="562">
        <v>5.72011702206E11</v>
      </c>
      <c r="K61" s="562" t="s">
        <v>508</v>
      </c>
      <c r="L61" s="562" t="s">
        <v>398</v>
      </c>
      <c r="M61" s="569">
        <v>924.0</v>
      </c>
      <c r="N61" s="565">
        <v>924.0</v>
      </c>
      <c r="O61" s="596">
        <v>46010.0</v>
      </c>
      <c r="P61" s="565">
        <v>924.0</v>
      </c>
      <c r="Q61" s="567">
        <v>45979.0</v>
      </c>
      <c r="R61" s="565">
        <v>924.0</v>
      </c>
      <c r="S61" s="568">
        <v>45947.0</v>
      </c>
      <c r="T61" s="565">
        <v>924.0</v>
      </c>
      <c r="U61" s="567">
        <v>45919.0</v>
      </c>
      <c r="V61" s="565">
        <v>924.0</v>
      </c>
      <c r="W61" s="582">
        <v>924.0</v>
      </c>
      <c r="X61" s="570">
        <v>924.0</v>
      </c>
      <c r="Y61" s="568">
        <v>45856.0</v>
      </c>
      <c r="Z61" s="565">
        <v>828.0</v>
      </c>
      <c r="AA61" s="553">
        <v>45826.0</v>
      </c>
      <c r="AB61" s="565">
        <v>389.62</v>
      </c>
      <c r="AC61" s="571">
        <v>45797.0</v>
      </c>
      <c r="AD61" s="565">
        <v>0.0</v>
      </c>
      <c r="AE61" s="584"/>
      <c r="AF61" s="569">
        <v>699.0</v>
      </c>
      <c r="AG61" s="568">
        <v>45723.0</v>
      </c>
      <c r="AH61" s="565"/>
      <c r="AI61" s="568"/>
      <c r="AJ61" s="565"/>
      <c r="AK61" s="553"/>
      <c r="AL61" s="572"/>
      <c r="AM61" s="572"/>
      <c r="AN61" s="572"/>
      <c r="AO61" s="572"/>
      <c r="AP61" s="572"/>
      <c r="AQ61" s="572"/>
      <c r="AR61" s="572"/>
      <c r="AS61" s="572"/>
    </row>
    <row r="62">
      <c r="A62" s="553">
        <v>44593.0</v>
      </c>
      <c r="B62" s="554">
        <v>8.0</v>
      </c>
      <c r="C62" s="595" t="s">
        <v>509</v>
      </c>
      <c r="D62" s="556">
        <v>38.0</v>
      </c>
      <c r="E62" s="577">
        <v>6.0</v>
      </c>
      <c r="F62" s="597" t="s">
        <v>510</v>
      </c>
      <c r="G62" s="559" t="s">
        <v>479</v>
      </c>
      <c r="H62" s="560" t="s">
        <v>511</v>
      </c>
      <c r="I62" s="561" t="s">
        <v>18</v>
      </c>
      <c r="J62" s="562" t="s">
        <v>512</v>
      </c>
      <c r="K62" s="562" t="s">
        <v>131</v>
      </c>
      <c r="L62" s="562" t="s">
        <v>398</v>
      </c>
      <c r="M62" s="569">
        <v>655.0</v>
      </c>
      <c r="N62" s="565">
        <v>655.0</v>
      </c>
      <c r="O62" s="596">
        <v>46010.0</v>
      </c>
      <c r="P62" s="565">
        <v>0.0</v>
      </c>
      <c r="Q62" s="567"/>
      <c r="R62" s="565">
        <v>655.0</v>
      </c>
      <c r="S62" s="568">
        <v>45947.0</v>
      </c>
      <c r="T62" s="565">
        <v>655.0</v>
      </c>
      <c r="U62" s="567">
        <v>45919.0</v>
      </c>
      <c r="V62" s="565">
        <v>655.0</v>
      </c>
      <c r="W62" s="582">
        <v>655.0</v>
      </c>
      <c r="X62" s="570">
        <v>655.0</v>
      </c>
      <c r="Y62" s="568">
        <v>45856.0</v>
      </c>
      <c r="Z62" s="565">
        <v>655.0</v>
      </c>
      <c r="AA62" s="553">
        <v>45826.0</v>
      </c>
      <c r="AB62" s="565">
        <v>685.0</v>
      </c>
      <c r="AC62" s="571">
        <v>45797.0</v>
      </c>
      <c r="AD62" s="565">
        <v>685.0</v>
      </c>
      <c r="AE62" s="568">
        <v>45793.0</v>
      </c>
      <c r="AF62" s="569">
        <v>685.0</v>
      </c>
      <c r="AG62" s="568">
        <v>45735.0</v>
      </c>
      <c r="AH62" s="565">
        <v>685.0</v>
      </c>
      <c r="AI62" s="568">
        <v>45706.0</v>
      </c>
      <c r="AJ62" s="565">
        <v>645.0</v>
      </c>
      <c r="AK62" s="553">
        <v>45677.0</v>
      </c>
      <c r="AL62" s="572"/>
      <c r="AM62" s="572"/>
      <c r="AN62" s="572"/>
      <c r="AO62" s="572"/>
      <c r="AP62" s="572"/>
      <c r="AQ62" s="572"/>
      <c r="AR62" s="572"/>
      <c r="AS62" s="572"/>
    </row>
    <row r="63">
      <c r="A63" s="553">
        <v>44435.0</v>
      </c>
      <c r="B63" s="554">
        <v>5.0</v>
      </c>
      <c r="C63" s="576" t="s">
        <v>513</v>
      </c>
      <c r="D63" s="573">
        <v>39.0</v>
      </c>
      <c r="E63" s="598">
        <v>8.0</v>
      </c>
      <c r="F63" s="576" t="s">
        <v>514</v>
      </c>
      <c r="G63" s="559" t="s">
        <v>479</v>
      </c>
      <c r="H63" s="560" t="s">
        <v>19</v>
      </c>
      <c r="I63" s="561" t="s">
        <v>23</v>
      </c>
      <c r="J63" s="579">
        <v>7.20010938551E11</v>
      </c>
      <c r="K63" s="562" t="s">
        <v>131</v>
      </c>
      <c r="L63" s="562" t="s">
        <v>515</v>
      </c>
      <c r="M63" s="564">
        <v>1015.0</v>
      </c>
      <c r="N63" s="565">
        <v>1190.0</v>
      </c>
      <c r="O63" s="580">
        <v>46010.0</v>
      </c>
      <c r="P63" s="565">
        <v>1015.0</v>
      </c>
      <c r="Q63" s="581">
        <v>45980.0</v>
      </c>
      <c r="R63" s="565">
        <v>1015.0</v>
      </c>
      <c r="S63" s="568">
        <v>45950.0</v>
      </c>
      <c r="T63" s="565">
        <v>1015.0</v>
      </c>
      <c r="U63" s="567">
        <v>45919.0</v>
      </c>
      <c r="V63" s="565">
        <v>1015.0</v>
      </c>
      <c r="W63" s="565">
        <v>1015.0</v>
      </c>
      <c r="X63" s="565">
        <v>1015.0</v>
      </c>
      <c r="Y63" s="584">
        <v>45861.0</v>
      </c>
      <c r="Z63" s="565">
        <v>1015.0</v>
      </c>
      <c r="AA63" s="553">
        <v>45826.0</v>
      </c>
      <c r="AB63" s="565">
        <v>1015.0</v>
      </c>
      <c r="AC63" s="583">
        <v>45797.0</v>
      </c>
      <c r="AD63" s="565">
        <v>1015.0</v>
      </c>
      <c r="AE63" s="584">
        <v>45763.0</v>
      </c>
      <c r="AF63" s="569">
        <v>845.0</v>
      </c>
      <c r="AG63" s="568">
        <v>45735.0</v>
      </c>
      <c r="AH63" s="565">
        <v>845.01</v>
      </c>
      <c r="AI63" s="568">
        <v>45706.0</v>
      </c>
      <c r="AJ63" s="565">
        <v>845.0</v>
      </c>
      <c r="AK63" s="553">
        <v>45678.0</v>
      </c>
      <c r="AL63" s="572"/>
      <c r="AM63" s="572"/>
      <c r="AN63" s="572"/>
      <c r="AO63" s="572"/>
      <c r="AP63" s="572"/>
      <c r="AQ63" s="572"/>
      <c r="AR63" s="572"/>
      <c r="AS63" s="572"/>
    </row>
    <row r="64">
      <c r="A64" s="553">
        <v>44435.0</v>
      </c>
      <c r="B64" s="554">
        <v>6.0</v>
      </c>
      <c r="C64" s="587" t="s">
        <v>516</v>
      </c>
      <c r="D64" s="556">
        <v>40.0</v>
      </c>
      <c r="E64" s="577">
        <v>8.0</v>
      </c>
      <c r="F64" s="587" t="s">
        <v>514</v>
      </c>
      <c r="G64" s="559" t="s">
        <v>479</v>
      </c>
      <c r="H64" s="560" t="s">
        <v>19</v>
      </c>
      <c r="I64" s="561" t="s">
        <v>23</v>
      </c>
      <c r="J64" s="579">
        <v>7.20011048396E11</v>
      </c>
      <c r="K64" s="562" t="s">
        <v>131</v>
      </c>
      <c r="L64" s="562" t="s">
        <v>515</v>
      </c>
      <c r="M64" s="564">
        <v>1015.0</v>
      </c>
      <c r="N64" s="565">
        <v>1190.0</v>
      </c>
      <c r="O64" s="580">
        <v>46010.0</v>
      </c>
      <c r="P64" s="565">
        <v>1015.0</v>
      </c>
      <c r="Q64" s="581">
        <v>45980.0</v>
      </c>
      <c r="R64" s="565">
        <v>1015.0</v>
      </c>
      <c r="S64" s="568">
        <v>45950.0</v>
      </c>
      <c r="T64" s="565">
        <v>1015.0</v>
      </c>
      <c r="U64" s="567">
        <v>45919.0</v>
      </c>
      <c r="V64" s="565">
        <v>1015.0</v>
      </c>
      <c r="W64" s="599">
        <v>1015.0</v>
      </c>
      <c r="X64" s="565">
        <v>1015.0</v>
      </c>
      <c r="Y64" s="584">
        <v>45861.0</v>
      </c>
      <c r="Z64" s="565">
        <v>1015.0</v>
      </c>
      <c r="AA64" s="553">
        <v>45826.0</v>
      </c>
      <c r="AB64" s="565">
        <v>1015.0</v>
      </c>
      <c r="AC64" s="583">
        <v>45797.0</v>
      </c>
      <c r="AD64" s="565">
        <v>1015.0</v>
      </c>
      <c r="AE64" s="584">
        <v>45763.0</v>
      </c>
      <c r="AF64" s="569">
        <v>845.0</v>
      </c>
      <c r="AG64" s="568">
        <v>45735.0</v>
      </c>
      <c r="AH64" s="565">
        <v>845.01</v>
      </c>
      <c r="AI64" s="568">
        <v>45706.0</v>
      </c>
      <c r="AJ64" s="565">
        <v>845.0</v>
      </c>
      <c r="AK64" s="553">
        <v>45678.0</v>
      </c>
      <c r="AL64" s="572"/>
      <c r="AM64" s="572"/>
      <c r="AN64" s="572"/>
      <c r="AO64" s="572"/>
      <c r="AP64" s="572"/>
      <c r="AQ64" s="572"/>
      <c r="AR64" s="572"/>
      <c r="AS64" s="572"/>
    </row>
    <row r="65">
      <c r="A65" s="553">
        <v>44909.0</v>
      </c>
      <c r="B65" s="554">
        <v>11.0</v>
      </c>
      <c r="C65" s="576" t="s">
        <v>517</v>
      </c>
      <c r="D65" s="556">
        <v>42.0</v>
      </c>
      <c r="E65" s="561">
        <v>2.0</v>
      </c>
      <c r="F65" s="585" t="s">
        <v>467</v>
      </c>
      <c r="G65" s="600" t="s">
        <v>479</v>
      </c>
      <c r="H65" s="560" t="s">
        <v>19</v>
      </c>
      <c r="I65" s="561" t="s">
        <v>18</v>
      </c>
      <c r="J65" s="562">
        <v>5.72011517442E11</v>
      </c>
      <c r="K65" s="562" t="s">
        <v>394</v>
      </c>
      <c r="L65" s="562" t="s">
        <v>398</v>
      </c>
      <c r="M65" s="564">
        <v>795.0</v>
      </c>
      <c r="N65" s="565">
        <v>795.0</v>
      </c>
      <c r="O65" s="596">
        <v>46010.0</v>
      </c>
      <c r="P65" s="565">
        <v>795.0</v>
      </c>
      <c r="Q65" s="567">
        <v>45979.0</v>
      </c>
      <c r="R65" s="565">
        <v>795.0</v>
      </c>
      <c r="S65" s="568">
        <v>45947.0</v>
      </c>
      <c r="T65" s="565">
        <v>795.0</v>
      </c>
      <c r="U65" s="567">
        <v>45919.0</v>
      </c>
      <c r="V65" s="565">
        <v>795.0</v>
      </c>
      <c r="W65" s="582">
        <v>795.0</v>
      </c>
      <c r="X65" s="570">
        <v>634.0</v>
      </c>
      <c r="Y65" s="568">
        <v>45856.0</v>
      </c>
      <c r="Z65" s="565">
        <v>795.0</v>
      </c>
      <c r="AA65" s="553">
        <v>45826.0</v>
      </c>
      <c r="AB65" s="565">
        <v>795.0</v>
      </c>
      <c r="AC65" s="571">
        <v>45797.0</v>
      </c>
      <c r="AD65" s="565">
        <v>795.0</v>
      </c>
      <c r="AE65" s="568">
        <v>45793.0</v>
      </c>
      <c r="AF65" s="569">
        <v>795.0</v>
      </c>
      <c r="AG65" s="568">
        <v>45735.0</v>
      </c>
      <c r="AH65" s="565">
        <v>795.0</v>
      </c>
      <c r="AI65" s="568">
        <v>45706.0</v>
      </c>
      <c r="AJ65" s="565">
        <v>755.0</v>
      </c>
      <c r="AK65" s="553">
        <v>45677.0</v>
      </c>
      <c r="AL65" s="572"/>
      <c r="AM65" s="572"/>
      <c r="AN65" s="572"/>
      <c r="AO65" s="572"/>
      <c r="AP65" s="572"/>
      <c r="AQ65" s="572"/>
      <c r="AR65" s="572"/>
      <c r="AS65" s="572"/>
    </row>
    <row r="66">
      <c r="A66" s="553">
        <v>44559.0</v>
      </c>
      <c r="B66" s="554">
        <v>10.0</v>
      </c>
      <c r="C66" s="576" t="s">
        <v>518</v>
      </c>
      <c r="D66" s="573">
        <v>43.0</v>
      </c>
      <c r="E66" s="561">
        <v>6.0</v>
      </c>
      <c r="F66" s="601" t="s">
        <v>519</v>
      </c>
      <c r="G66" s="600" t="s">
        <v>479</v>
      </c>
      <c r="H66" s="560" t="s">
        <v>19</v>
      </c>
      <c r="I66" s="561" t="s">
        <v>18</v>
      </c>
      <c r="J66" s="562">
        <v>5.7201146168E11</v>
      </c>
      <c r="K66" s="562" t="s">
        <v>131</v>
      </c>
      <c r="L66" s="562" t="s">
        <v>398</v>
      </c>
      <c r="M66" s="564">
        <v>655.0</v>
      </c>
      <c r="N66" s="565">
        <v>655.0</v>
      </c>
      <c r="O66" s="596">
        <v>46010.0</v>
      </c>
      <c r="P66" s="565">
        <v>655.0</v>
      </c>
      <c r="Q66" s="567">
        <v>45979.0</v>
      </c>
      <c r="R66" s="565">
        <v>655.0</v>
      </c>
      <c r="S66" s="568">
        <v>45947.0</v>
      </c>
      <c r="T66" s="565">
        <v>655.0</v>
      </c>
      <c r="U66" s="567">
        <v>45919.0</v>
      </c>
      <c r="V66" s="565">
        <v>655.0</v>
      </c>
      <c r="W66" s="582">
        <v>655.0</v>
      </c>
      <c r="X66" s="570">
        <v>494.0</v>
      </c>
      <c r="Y66" s="568">
        <v>45856.0</v>
      </c>
      <c r="Z66" s="565">
        <v>655.0</v>
      </c>
      <c r="AA66" s="553">
        <v>45826.0</v>
      </c>
      <c r="AB66" s="565">
        <v>655.0</v>
      </c>
      <c r="AC66" s="571">
        <v>45797.0</v>
      </c>
      <c r="AD66" s="565">
        <v>655.0</v>
      </c>
      <c r="AE66" s="568">
        <v>45793.0</v>
      </c>
      <c r="AF66" s="569">
        <v>655.0</v>
      </c>
      <c r="AG66" s="568">
        <v>45735.0</v>
      </c>
      <c r="AH66" s="565">
        <v>655.0</v>
      </c>
      <c r="AI66" s="568">
        <v>45706.0</v>
      </c>
      <c r="AJ66" s="565">
        <v>615.0</v>
      </c>
      <c r="AK66" s="553">
        <v>45677.0</v>
      </c>
      <c r="AL66" s="572"/>
      <c r="AM66" s="572"/>
      <c r="AN66" s="572"/>
      <c r="AO66" s="572"/>
      <c r="AP66" s="572"/>
      <c r="AQ66" s="572"/>
      <c r="AR66" s="572"/>
      <c r="AS66" s="572"/>
    </row>
    <row r="67">
      <c r="A67" s="553">
        <v>45108.0</v>
      </c>
      <c r="B67" s="554">
        <v>9.0</v>
      </c>
      <c r="C67" s="576" t="s">
        <v>520</v>
      </c>
      <c r="D67" s="556">
        <v>44.0</v>
      </c>
      <c r="E67" s="561">
        <v>10.0</v>
      </c>
      <c r="F67" s="585" t="s">
        <v>521</v>
      </c>
      <c r="G67" s="600" t="s">
        <v>479</v>
      </c>
      <c r="H67" s="560" t="s">
        <v>19</v>
      </c>
      <c r="I67" s="561" t="s">
        <v>18</v>
      </c>
      <c r="J67" s="562">
        <v>5.72011558625E11</v>
      </c>
      <c r="K67" s="562" t="s">
        <v>486</v>
      </c>
      <c r="L67" s="562" t="s">
        <v>398</v>
      </c>
      <c r="M67" s="569">
        <v>714.0</v>
      </c>
      <c r="N67" s="565">
        <v>714.0</v>
      </c>
      <c r="O67" s="596">
        <v>46010.0</v>
      </c>
      <c r="P67" s="565">
        <v>714.0</v>
      </c>
      <c r="Q67" s="567">
        <v>45979.0</v>
      </c>
      <c r="R67" s="565">
        <v>714.0</v>
      </c>
      <c r="S67" s="568">
        <v>45947.0</v>
      </c>
      <c r="T67" s="565">
        <v>714.0</v>
      </c>
      <c r="U67" s="567">
        <v>45919.0</v>
      </c>
      <c r="V67" s="565">
        <v>714.0</v>
      </c>
      <c r="W67" s="582">
        <v>714.0</v>
      </c>
      <c r="X67" s="570">
        <v>714.0</v>
      </c>
      <c r="Y67" s="568">
        <v>45856.0</v>
      </c>
      <c r="Z67" s="565">
        <v>714.0</v>
      </c>
      <c r="AA67" s="553">
        <v>45826.0</v>
      </c>
      <c r="AB67" s="565">
        <v>759.0</v>
      </c>
      <c r="AC67" s="571">
        <v>45797.0</v>
      </c>
      <c r="AD67" s="565">
        <v>759.0</v>
      </c>
      <c r="AE67" s="568">
        <v>45793.0</v>
      </c>
      <c r="AF67" s="569">
        <v>759.0</v>
      </c>
      <c r="AG67" s="568">
        <v>45735.0</v>
      </c>
      <c r="AH67" s="565">
        <v>759.0</v>
      </c>
      <c r="AI67" s="568">
        <v>45706.0</v>
      </c>
      <c r="AJ67" s="565">
        <v>719.0</v>
      </c>
      <c r="AK67" s="553">
        <v>45677.0</v>
      </c>
      <c r="AL67" s="572"/>
      <c r="AM67" s="572"/>
      <c r="AN67" s="572"/>
      <c r="AO67" s="572"/>
      <c r="AP67" s="572"/>
      <c r="AQ67" s="572"/>
      <c r="AR67" s="572"/>
      <c r="AS67" s="572"/>
    </row>
    <row r="68" hidden="1">
      <c r="A68" s="77">
        <v>44004.0</v>
      </c>
      <c r="B68" s="51">
        <v>14.0</v>
      </c>
      <c r="C68" s="296" t="s">
        <v>522</v>
      </c>
      <c r="D68" s="179"/>
      <c r="E68" s="179">
        <v>6.0</v>
      </c>
      <c r="F68" s="339" t="s">
        <v>523</v>
      </c>
      <c r="G68" s="410" t="s">
        <v>479</v>
      </c>
      <c r="H68" s="121" t="s">
        <v>382</v>
      </c>
      <c r="I68" s="115" t="s">
        <v>23</v>
      </c>
      <c r="J68" s="85" t="s">
        <v>383</v>
      </c>
      <c r="K68" s="260" t="s">
        <v>131</v>
      </c>
      <c r="L68" s="260" t="s">
        <v>384</v>
      </c>
      <c r="M68" s="337" t="s">
        <v>274</v>
      </c>
      <c r="N68" s="465"/>
      <c r="O68" s="347"/>
      <c r="P68" s="465"/>
      <c r="Q68" s="347"/>
      <c r="R68" s="465"/>
      <c r="S68" s="146"/>
      <c r="T68" s="465"/>
      <c r="U68" s="76"/>
      <c r="V68" s="465"/>
      <c r="W68" s="146"/>
      <c r="X68" s="465"/>
      <c r="Y68" s="434"/>
      <c r="Z68" s="465"/>
      <c r="AA68" s="77"/>
      <c r="AB68" s="465">
        <v>0.0</v>
      </c>
      <c r="AC68" s="146"/>
      <c r="AD68" s="465"/>
      <c r="AE68" s="146">
        <v>45392.0</v>
      </c>
      <c r="AF68" s="594" t="s">
        <v>505</v>
      </c>
      <c r="AG68" s="146"/>
      <c r="AH68" s="465"/>
      <c r="AI68" s="146"/>
      <c r="AJ68" s="465"/>
      <c r="AK68" s="77"/>
      <c r="AL68" s="90"/>
      <c r="AM68" s="90"/>
      <c r="AN68" s="90"/>
      <c r="AO68" s="90"/>
      <c r="AP68" s="90"/>
      <c r="AQ68" s="90"/>
      <c r="AR68" s="90"/>
      <c r="AS68" s="90"/>
    </row>
    <row r="69">
      <c r="A69" s="553">
        <v>44004.0</v>
      </c>
      <c r="B69" s="554"/>
      <c r="C69" s="576" t="s">
        <v>522</v>
      </c>
      <c r="D69" s="573">
        <v>45.0</v>
      </c>
      <c r="E69" s="561">
        <v>6.0</v>
      </c>
      <c r="F69" s="597" t="s">
        <v>524</v>
      </c>
      <c r="G69" s="600" t="s">
        <v>479</v>
      </c>
      <c r="H69" s="560" t="s">
        <v>388</v>
      </c>
      <c r="I69" s="561" t="s">
        <v>18</v>
      </c>
      <c r="J69" s="602">
        <v>5.72011702308E11</v>
      </c>
      <c r="K69" s="562" t="s">
        <v>131</v>
      </c>
      <c r="L69" s="562" t="s">
        <v>372</v>
      </c>
      <c r="M69" s="569">
        <v>774.0</v>
      </c>
      <c r="N69" s="565">
        <v>774.0</v>
      </c>
      <c r="O69" s="566">
        <v>46009.0</v>
      </c>
      <c r="P69" s="565">
        <v>774.0</v>
      </c>
      <c r="Q69" s="567">
        <v>45979.0</v>
      </c>
      <c r="R69" s="565">
        <v>774.0</v>
      </c>
      <c r="S69" s="568">
        <v>45947.0</v>
      </c>
      <c r="T69" s="565">
        <v>774.0</v>
      </c>
      <c r="U69" s="567">
        <v>45919.0</v>
      </c>
      <c r="V69" s="565">
        <v>774.0</v>
      </c>
      <c r="W69" s="569">
        <v>774.0</v>
      </c>
      <c r="X69" s="570">
        <v>774.0</v>
      </c>
      <c r="Y69" s="568">
        <v>45856.0</v>
      </c>
      <c r="Z69" s="565">
        <v>774.0</v>
      </c>
      <c r="AA69" s="553">
        <v>45826.0</v>
      </c>
      <c r="AB69" s="565">
        <v>550.0</v>
      </c>
      <c r="AC69" s="571">
        <v>45797.0</v>
      </c>
      <c r="AD69" s="565">
        <v>0.0</v>
      </c>
      <c r="AE69" s="584"/>
      <c r="AF69" s="569">
        <v>924.0</v>
      </c>
      <c r="AG69" s="568">
        <v>45723.0</v>
      </c>
      <c r="AH69" s="565"/>
      <c r="AI69" s="568"/>
      <c r="AJ69" s="565"/>
      <c r="AK69" s="553"/>
      <c r="AL69" s="572"/>
      <c r="AM69" s="572"/>
      <c r="AN69" s="572"/>
      <c r="AO69" s="572"/>
      <c r="AP69" s="572"/>
      <c r="AQ69" s="572"/>
      <c r="AR69" s="572"/>
      <c r="AS69" s="572"/>
    </row>
    <row r="70">
      <c r="A70" s="553"/>
      <c r="B70" s="554"/>
      <c r="C70" s="576" t="s">
        <v>525</v>
      </c>
      <c r="D70" s="556">
        <v>46.0</v>
      </c>
      <c r="E70" s="561">
        <v>4.0</v>
      </c>
      <c r="F70" s="578"/>
      <c r="G70" s="600" t="s">
        <v>479</v>
      </c>
      <c r="H70" s="560" t="s">
        <v>388</v>
      </c>
      <c r="I70" s="561" t="s">
        <v>23</v>
      </c>
      <c r="J70" s="603">
        <v>7.20016783713E11</v>
      </c>
      <c r="K70" s="562" t="s">
        <v>131</v>
      </c>
      <c r="L70" s="562"/>
      <c r="M70" s="569">
        <v>900.0</v>
      </c>
      <c r="N70" s="565">
        <v>900.0</v>
      </c>
      <c r="O70" s="580">
        <v>46010.0</v>
      </c>
      <c r="P70" s="565">
        <v>900.0</v>
      </c>
      <c r="Q70" s="581">
        <v>45980.0</v>
      </c>
      <c r="R70" s="565">
        <v>900.0</v>
      </c>
      <c r="S70" s="568">
        <v>45950.0</v>
      </c>
      <c r="T70" s="565">
        <v>900.0</v>
      </c>
      <c r="U70" s="567">
        <v>45919.0</v>
      </c>
      <c r="V70" s="565">
        <v>900.0</v>
      </c>
      <c r="W70" s="582">
        <v>900.0</v>
      </c>
      <c r="X70" s="565">
        <v>900.0</v>
      </c>
      <c r="Y70" s="584">
        <v>45861.0</v>
      </c>
      <c r="Z70" s="565">
        <v>900.0</v>
      </c>
      <c r="AA70" s="553">
        <v>45826.0</v>
      </c>
      <c r="AB70" s="565">
        <v>900.0</v>
      </c>
      <c r="AC70" s="583">
        <v>45797.0</v>
      </c>
      <c r="AD70" s="565">
        <v>900.0</v>
      </c>
      <c r="AE70" s="584">
        <v>45763.0</v>
      </c>
      <c r="AF70" s="569">
        <v>900.0</v>
      </c>
      <c r="AG70" s="568">
        <v>45735.0</v>
      </c>
      <c r="AH70" s="565">
        <v>900.0</v>
      </c>
      <c r="AI70" s="568">
        <v>45706.0</v>
      </c>
      <c r="AJ70" s="565">
        <v>900.01</v>
      </c>
      <c r="AK70" s="553">
        <v>45678.0</v>
      </c>
      <c r="AL70" s="572"/>
      <c r="AM70" s="572"/>
      <c r="AN70" s="572"/>
      <c r="AO70" s="572"/>
      <c r="AP70" s="572"/>
      <c r="AQ70" s="572"/>
      <c r="AR70" s="572"/>
      <c r="AS70" s="572"/>
    </row>
    <row r="71">
      <c r="A71" s="604">
        <v>43851.0</v>
      </c>
      <c r="B71" s="554">
        <v>13.0</v>
      </c>
      <c r="C71" s="576" t="s">
        <v>526</v>
      </c>
      <c r="D71" s="573">
        <v>47.0</v>
      </c>
      <c r="E71" s="561">
        <v>5.0</v>
      </c>
      <c r="F71" s="597" t="s">
        <v>527</v>
      </c>
      <c r="G71" s="600" t="s">
        <v>479</v>
      </c>
      <c r="H71" s="560" t="s">
        <v>388</v>
      </c>
      <c r="I71" s="561" t="s">
        <v>23</v>
      </c>
      <c r="J71" s="603">
        <v>7.2001515963E11</v>
      </c>
      <c r="K71" s="562" t="s">
        <v>131</v>
      </c>
      <c r="L71" s="562" t="s">
        <v>528</v>
      </c>
      <c r="M71" s="569">
        <v>980.0</v>
      </c>
      <c r="N71" s="565">
        <v>1110.0</v>
      </c>
      <c r="O71" s="580">
        <v>46010.0</v>
      </c>
      <c r="P71" s="565">
        <v>980.0</v>
      </c>
      <c r="Q71" s="581">
        <v>45980.0</v>
      </c>
      <c r="R71" s="565">
        <v>980.0</v>
      </c>
      <c r="S71" s="568">
        <v>45950.0</v>
      </c>
      <c r="T71" s="565">
        <v>980.0</v>
      </c>
      <c r="U71" s="567">
        <v>45919.0</v>
      </c>
      <c r="V71" s="565">
        <v>980.0</v>
      </c>
      <c r="W71" s="569">
        <v>980.0</v>
      </c>
      <c r="X71" s="565">
        <v>980.0</v>
      </c>
      <c r="Y71" s="584">
        <v>45861.0</v>
      </c>
      <c r="Z71" s="565">
        <v>980.0</v>
      </c>
      <c r="AA71" s="553">
        <v>45826.0</v>
      </c>
      <c r="AB71" s="565">
        <v>980.0</v>
      </c>
      <c r="AC71" s="583">
        <v>45797.0</v>
      </c>
      <c r="AD71" s="565">
        <v>981.0</v>
      </c>
      <c r="AE71" s="584">
        <v>45763.0</v>
      </c>
      <c r="AF71" s="569">
        <v>850.0</v>
      </c>
      <c r="AG71" s="568">
        <v>45735.0</v>
      </c>
      <c r="AH71" s="565">
        <v>850.0</v>
      </c>
      <c r="AI71" s="568">
        <v>45706.0</v>
      </c>
      <c r="AJ71" s="565">
        <v>850.0</v>
      </c>
      <c r="AK71" s="553">
        <v>45678.0</v>
      </c>
      <c r="AL71" s="572"/>
      <c r="AM71" s="572"/>
      <c r="AN71" s="572"/>
      <c r="AO71" s="572"/>
      <c r="AP71" s="572"/>
      <c r="AQ71" s="572"/>
      <c r="AR71" s="572"/>
      <c r="AS71" s="572"/>
    </row>
    <row r="72" hidden="1">
      <c r="A72" s="605">
        <v>43888.0</v>
      </c>
      <c r="B72" s="51">
        <v>12.0</v>
      </c>
      <c r="C72" s="296" t="s">
        <v>529</v>
      </c>
      <c r="D72" s="179"/>
      <c r="E72" s="179">
        <v>1.0</v>
      </c>
      <c r="F72" s="606" t="s">
        <v>530</v>
      </c>
      <c r="G72" s="410" t="s">
        <v>479</v>
      </c>
      <c r="H72" s="121" t="s">
        <v>382</v>
      </c>
      <c r="I72" s="115" t="s">
        <v>23</v>
      </c>
      <c r="J72" s="85" t="s">
        <v>383</v>
      </c>
      <c r="K72" s="260" t="s">
        <v>131</v>
      </c>
      <c r="L72" s="260" t="s">
        <v>384</v>
      </c>
      <c r="M72" s="337" t="s">
        <v>274</v>
      </c>
      <c r="N72" s="465"/>
      <c r="O72" s="347"/>
      <c r="P72" s="465"/>
      <c r="Q72" s="347"/>
      <c r="R72" s="465"/>
      <c r="S72" s="146"/>
      <c r="T72" s="465"/>
      <c r="U72" s="76"/>
      <c r="V72" s="465"/>
      <c r="W72" s="146"/>
      <c r="X72" s="465"/>
      <c r="Y72" s="146"/>
      <c r="Z72" s="465"/>
      <c r="AA72" s="77"/>
      <c r="AB72" s="465">
        <v>0.0</v>
      </c>
      <c r="AC72" s="434"/>
      <c r="AD72" s="465"/>
      <c r="AE72" s="434">
        <v>45392.0</v>
      </c>
      <c r="AF72" s="416"/>
      <c r="AG72" s="146"/>
      <c r="AH72" s="465"/>
      <c r="AI72" s="146"/>
      <c r="AJ72" s="465"/>
      <c r="AK72" s="77"/>
      <c r="AL72" s="90"/>
      <c r="AM72" s="90"/>
      <c r="AN72" s="90"/>
      <c r="AO72" s="90"/>
      <c r="AP72" s="90"/>
      <c r="AQ72" s="90"/>
      <c r="AR72" s="90"/>
      <c r="AS72" s="90"/>
    </row>
    <row r="73" hidden="1">
      <c r="A73" s="605">
        <v>43719.0</v>
      </c>
      <c r="B73" s="51">
        <v>15.0</v>
      </c>
      <c r="C73" s="296" t="s">
        <v>531</v>
      </c>
      <c r="D73" s="607"/>
      <c r="E73" s="607">
        <v>4.0</v>
      </c>
      <c r="F73" s="339" t="s">
        <v>532</v>
      </c>
      <c r="G73" s="608" t="s">
        <v>479</v>
      </c>
      <c r="H73" s="121" t="s">
        <v>382</v>
      </c>
      <c r="I73" s="48" t="s">
        <v>23</v>
      </c>
      <c r="J73" s="609" t="s">
        <v>383</v>
      </c>
      <c r="K73" s="610" t="s">
        <v>131</v>
      </c>
      <c r="L73" s="610" t="s">
        <v>384</v>
      </c>
      <c r="M73" s="611" t="s">
        <v>274</v>
      </c>
      <c r="N73" s="416"/>
      <c r="O73" s="347"/>
      <c r="P73" s="416"/>
      <c r="Q73" s="347"/>
      <c r="R73" s="416"/>
      <c r="S73" s="146"/>
      <c r="T73" s="416"/>
      <c r="U73" s="76"/>
      <c r="V73" s="416"/>
      <c r="W73" s="146"/>
      <c r="X73" s="416"/>
      <c r="Y73" s="146"/>
      <c r="Z73" s="416"/>
      <c r="AA73" s="77"/>
      <c r="AB73" s="416">
        <v>0.0</v>
      </c>
      <c r="AC73" s="146"/>
      <c r="AD73" s="416"/>
      <c r="AE73" s="146">
        <v>45392.0</v>
      </c>
      <c r="AF73" s="416"/>
      <c r="AG73" s="146"/>
      <c r="AH73" s="416"/>
      <c r="AI73" s="146"/>
      <c r="AJ73" s="416"/>
      <c r="AK73" s="77"/>
    </row>
    <row r="74">
      <c r="A74" s="553"/>
      <c r="B74" s="554"/>
      <c r="C74" s="576" t="s">
        <v>533</v>
      </c>
      <c r="D74" s="556">
        <v>48.0</v>
      </c>
      <c r="E74" s="561"/>
      <c r="F74" s="612"/>
      <c r="G74" s="600" t="s">
        <v>479</v>
      </c>
      <c r="H74" s="560" t="s">
        <v>403</v>
      </c>
      <c r="I74" s="561" t="s">
        <v>23</v>
      </c>
      <c r="J74" s="602">
        <v>7.20016799798E11</v>
      </c>
      <c r="K74" s="562" t="s">
        <v>131</v>
      </c>
      <c r="L74" s="562"/>
      <c r="M74" s="569">
        <v>700.0</v>
      </c>
      <c r="N74" s="565">
        <v>820.0</v>
      </c>
      <c r="O74" s="580">
        <v>46010.0</v>
      </c>
      <c r="P74" s="565">
        <v>700.0</v>
      </c>
      <c r="Q74" s="581">
        <v>45980.0</v>
      </c>
      <c r="R74" s="565">
        <v>700.0</v>
      </c>
      <c r="S74" s="568">
        <v>45950.0</v>
      </c>
      <c r="T74" s="565">
        <v>700.0</v>
      </c>
      <c r="U74" s="567">
        <v>45919.0</v>
      </c>
      <c r="V74" s="565">
        <v>700.0</v>
      </c>
      <c r="W74" s="569">
        <v>700.0</v>
      </c>
      <c r="X74" s="565">
        <v>700.0</v>
      </c>
      <c r="Y74" s="568">
        <v>45861.0</v>
      </c>
      <c r="Z74" s="565">
        <v>700.0</v>
      </c>
      <c r="AA74" s="553">
        <v>45826.0</v>
      </c>
      <c r="AB74" s="565">
        <v>700.0</v>
      </c>
      <c r="AC74" s="583">
        <v>45797.0</v>
      </c>
      <c r="AD74" s="565">
        <v>700.0</v>
      </c>
      <c r="AE74" s="584">
        <v>45763.0</v>
      </c>
      <c r="AF74" s="569">
        <v>700.0</v>
      </c>
      <c r="AG74" s="568">
        <v>45735.0</v>
      </c>
      <c r="AH74" s="565">
        <v>700.0</v>
      </c>
      <c r="AI74" s="568">
        <v>45707.0</v>
      </c>
      <c r="AJ74" s="565">
        <v>700.0</v>
      </c>
      <c r="AK74" s="553">
        <v>45678.0</v>
      </c>
      <c r="AL74" s="572"/>
      <c r="AM74" s="572"/>
      <c r="AN74" s="572"/>
      <c r="AO74" s="572"/>
      <c r="AP74" s="572"/>
      <c r="AQ74" s="572"/>
      <c r="AR74" s="572"/>
      <c r="AS74" s="572"/>
    </row>
    <row r="75">
      <c r="A75" s="553">
        <v>45698.0</v>
      </c>
      <c r="B75" s="554"/>
      <c r="C75" s="576" t="s">
        <v>534</v>
      </c>
      <c r="D75" s="556">
        <v>50.0</v>
      </c>
      <c r="E75" s="561"/>
      <c r="F75" s="612"/>
      <c r="G75" s="600" t="s">
        <v>479</v>
      </c>
      <c r="H75" s="560" t="s">
        <v>19</v>
      </c>
      <c r="I75" s="561" t="s">
        <v>18</v>
      </c>
      <c r="J75" s="602">
        <v>5.72011691316E11</v>
      </c>
      <c r="K75" s="562" t="s">
        <v>394</v>
      </c>
      <c r="L75" s="562"/>
      <c r="M75" s="564">
        <v>705.0</v>
      </c>
      <c r="N75" s="565">
        <v>705.0</v>
      </c>
      <c r="O75" s="566">
        <v>46009.0</v>
      </c>
      <c r="P75" s="565">
        <v>705.0</v>
      </c>
      <c r="Q75" s="567">
        <v>45979.0</v>
      </c>
      <c r="R75" s="565">
        <v>705.0</v>
      </c>
      <c r="S75" s="568">
        <v>45947.0</v>
      </c>
      <c r="T75" s="565">
        <v>705.0</v>
      </c>
      <c r="U75" s="567">
        <v>45919.0</v>
      </c>
      <c r="V75" s="565">
        <v>705.0</v>
      </c>
      <c r="W75" s="569">
        <v>705.0</v>
      </c>
      <c r="X75" s="570">
        <v>705.0</v>
      </c>
      <c r="Y75" s="568">
        <v>45856.0</v>
      </c>
      <c r="Z75" s="565">
        <v>705.0</v>
      </c>
      <c r="AA75" s="553">
        <v>45826.0</v>
      </c>
      <c r="AB75" s="565">
        <v>705.0</v>
      </c>
      <c r="AC75" s="571">
        <v>45797.0</v>
      </c>
      <c r="AD75" s="565">
        <v>705.0</v>
      </c>
      <c r="AE75" s="568">
        <v>45793.0</v>
      </c>
      <c r="AF75" s="569">
        <v>705.0</v>
      </c>
      <c r="AG75" s="568">
        <v>45735.0</v>
      </c>
      <c r="AH75" s="565">
        <v>90.97</v>
      </c>
      <c r="AI75" s="568">
        <v>45706.0</v>
      </c>
      <c r="AJ75" s="565"/>
      <c r="AK75" s="553"/>
      <c r="AL75" s="572"/>
      <c r="AM75" s="572"/>
      <c r="AN75" s="572"/>
      <c r="AO75" s="572"/>
      <c r="AP75" s="572"/>
      <c r="AQ75" s="572"/>
      <c r="AR75" s="572"/>
      <c r="AS75" s="572"/>
    </row>
    <row r="76">
      <c r="A76" s="553">
        <v>45839.0</v>
      </c>
      <c r="B76" s="554"/>
      <c r="C76" s="576" t="s">
        <v>535</v>
      </c>
      <c r="D76" s="556">
        <v>52.0</v>
      </c>
      <c r="E76" s="561">
        <v>3.0</v>
      </c>
      <c r="F76" s="612"/>
      <c r="G76" s="600" t="s">
        <v>479</v>
      </c>
      <c r="H76" s="560" t="s">
        <v>388</v>
      </c>
      <c r="I76" s="561" t="s">
        <v>18</v>
      </c>
      <c r="J76" s="602" t="s">
        <v>536</v>
      </c>
      <c r="K76" s="562" t="s">
        <v>131</v>
      </c>
      <c r="L76" s="562"/>
      <c r="M76" s="564">
        <v>849.0</v>
      </c>
      <c r="N76" s="565">
        <v>849.0</v>
      </c>
      <c r="O76" s="596">
        <v>46010.0</v>
      </c>
      <c r="P76" s="565">
        <v>849.0</v>
      </c>
      <c r="Q76" s="567">
        <v>45979.0</v>
      </c>
      <c r="R76" s="565">
        <v>849.0</v>
      </c>
      <c r="S76" s="568">
        <v>45947.0</v>
      </c>
      <c r="T76" s="565">
        <v>849.0</v>
      </c>
      <c r="U76" s="567">
        <v>45919.0</v>
      </c>
      <c r="V76" s="565">
        <v>28.3</v>
      </c>
      <c r="W76" s="569">
        <v>28.3</v>
      </c>
      <c r="X76" s="565">
        <v>1049.0</v>
      </c>
      <c r="Y76" s="568"/>
      <c r="Z76" s="565"/>
      <c r="AA76" s="553"/>
      <c r="AB76" s="565"/>
      <c r="AC76" s="571"/>
      <c r="AD76" s="565"/>
      <c r="AE76" s="568"/>
      <c r="AF76" s="565"/>
      <c r="AG76" s="584"/>
      <c r="AH76" s="565"/>
      <c r="AI76" s="568"/>
      <c r="AJ76" s="565"/>
      <c r="AK76" s="553"/>
      <c r="AL76" s="572"/>
      <c r="AM76" s="572"/>
      <c r="AN76" s="572"/>
      <c r="AO76" s="572"/>
      <c r="AP76" s="572"/>
      <c r="AQ76" s="572"/>
      <c r="AR76" s="572"/>
      <c r="AS76" s="572"/>
    </row>
    <row r="77">
      <c r="A77" s="553"/>
      <c r="B77" s="554"/>
      <c r="C77" s="576" t="s">
        <v>537</v>
      </c>
      <c r="D77" s="573">
        <v>53.0</v>
      </c>
      <c r="E77" s="561">
        <v>16.0</v>
      </c>
      <c r="F77" s="612"/>
      <c r="G77" s="600" t="s">
        <v>479</v>
      </c>
      <c r="H77" s="560" t="s">
        <v>403</v>
      </c>
      <c r="I77" s="561" t="s">
        <v>23</v>
      </c>
      <c r="J77" s="602">
        <v>7.20018759055E11</v>
      </c>
      <c r="K77" s="562" t="s">
        <v>131</v>
      </c>
      <c r="L77" s="562"/>
      <c r="M77" s="564">
        <v>970.0</v>
      </c>
      <c r="N77" s="565">
        <v>970.0</v>
      </c>
      <c r="O77" s="580">
        <v>46010.0</v>
      </c>
      <c r="P77" s="565">
        <v>950.0</v>
      </c>
      <c r="Q77" s="581">
        <v>45980.0</v>
      </c>
      <c r="R77" s="565">
        <f>950+1900</f>
        <v>2850</v>
      </c>
      <c r="S77" s="568">
        <v>45950.0</v>
      </c>
      <c r="T77" s="565"/>
      <c r="U77" s="567"/>
      <c r="V77" s="565"/>
      <c r="W77" s="569"/>
      <c r="X77" s="565"/>
      <c r="Y77" s="568"/>
      <c r="Z77" s="565"/>
      <c r="AA77" s="553"/>
      <c r="AB77" s="565"/>
      <c r="AC77" s="571"/>
      <c r="AD77" s="565"/>
      <c r="AE77" s="568"/>
      <c r="AF77" s="565"/>
      <c r="AG77" s="584"/>
      <c r="AH77" s="565"/>
      <c r="AI77" s="568"/>
      <c r="AJ77" s="565"/>
      <c r="AK77" s="553"/>
      <c r="AL77" s="572"/>
      <c r="AM77" s="572"/>
      <c r="AN77" s="572"/>
      <c r="AO77" s="572"/>
      <c r="AP77" s="572"/>
      <c r="AQ77" s="572"/>
      <c r="AR77" s="572"/>
      <c r="AS77" s="572"/>
    </row>
    <row r="78">
      <c r="A78" s="553">
        <v>45992.0</v>
      </c>
      <c r="B78" s="554"/>
      <c r="C78" s="576" t="s">
        <v>538</v>
      </c>
      <c r="D78" s="573">
        <v>63.0</v>
      </c>
      <c r="E78" s="561">
        <v>1.0</v>
      </c>
      <c r="F78" s="612"/>
      <c r="G78" s="600" t="s">
        <v>479</v>
      </c>
      <c r="H78" s="560" t="s">
        <v>388</v>
      </c>
      <c r="I78" s="561" t="s">
        <v>23</v>
      </c>
      <c r="J78" s="602">
        <v>7.20019236764E11</v>
      </c>
      <c r="K78" s="562" t="s">
        <v>394</v>
      </c>
      <c r="L78" s="562" t="s">
        <v>156</v>
      </c>
      <c r="M78" s="564">
        <v>1144.0</v>
      </c>
      <c r="N78" s="565">
        <v>1144.0</v>
      </c>
      <c r="O78" s="580">
        <v>46010.0</v>
      </c>
      <c r="P78" s="565"/>
      <c r="Q78" s="567"/>
      <c r="R78" s="565"/>
      <c r="S78" s="568"/>
      <c r="T78" s="565"/>
      <c r="U78" s="567"/>
      <c r="V78" s="565"/>
      <c r="W78" s="569"/>
      <c r="X78" s="565"/>
      <c r="Y78" s="568"/>
      <c r="Z78" s="565"/>
      <c r="AA78" s="553"/>
      <c r="AB78" s="565"/>
      <c r="AC78" s="571"/>
      <c r="AD78" s="565"/>
      <c r="AE78" s="568"/>
      <c r="AF78" s="565"/>
      <c r="AG78" s="584"/>
      <c r="AH78" s="565"/>
      <c r="AI78" s="568"/>
      <c r="AJ78" s="565"/>
      <c r="AK78" s="553"/>
      <c r="AL78" s="572"/>
      <c r="AM78" s="572"/>
      <c r="AN78" s="572"/>
      <c r="AO78" s="572"/>
      <c r="AP78" s="572"/>
      <c r="AQ78" s="572"/>
      <c r="AR78" s="572"/>
      <c r="AS78" s="572"/>
    </row>
    <row r="79">
      <c r="A79" s="613">
        <v>45839.0</v>
      </c>
      <c r="B79" s="614"/>
      <c r="C79" s="615" t="s">
        <v>539</v>
      </c>
      <c r="D79" s="616">
        <v>54.0</v>
      </c>
      <c r="E79" s="617">
        <v>1.0</v>
      </c>
      <c r="F79" s="618"/>
      <c r="G79" s="619" t="s">
        <v>540</v>
      </c>
      <c r="H79" s="620" t="s">
        <v>388</v>
      </c>
      <c r="I79" s="617" t="s">
        <v>23</v>
      </c>
      <c r="J79" s="621">
        <v>7.20018352043E11</v>
      </c>
      <c r="K79" s="622" t="s">
        <v>394</v>
      </c>
      <c r="L79" s="622" t="s">
        <v>541</v>
      </c>
      <c r="M79" s="623" t="s">
        <v>542</v>
      </c>
      <c r="N79" s="624">
        <v>1150.0</v>
      </c>
      <c r="O79" s="625">
        <v>46010.0</v>
      </c>
      <c r="P79" s="624">
        <v>1150.0</v>
      </c>
      <c r="Q79" s="626">
        <v>45980.0</v>
      </c>
      <c r="R79" s="624">
        <v>1150.0</v>
      </c>
      <c r="S79" s="627">
        <v>45950.0</v>
      </c>
      <c r="T79" s="624">
        <v>1150.0</v>
      </c>
      <c r="U79" s="628">
        <v>45919.0</v>
      </c>
      <c r="V79" s="624">
        <v>1150.0</v>
      </c>
      <c r="W79" s="629">
        <v>1150.0</v>
      </c>
      <c r="X79" s="624"/>
      <c r="Y79" s="627"/>
      <c r="Z79" s="624"/>
      <c r="AA79" s="613"/>
      <c r="AB79" s="624"/>
      <c r="AC79" s="630"/>
      <c r="AD79" s="624"/>
      <c r="AE79" s="627"/>
      <c r="AF79" s="624"/>
      <c r="AG79" s="631"/>
      <c r="AH79" s="624"/>
      <c r="AI79" s="627"/>
      <c r="AJ79" s="624"/>
      <c r="AK79" s="613"/>
      <c r="AL79" s="632"/>
      <c r="AM79" s="632"/>
      <c r="AN79" s="632"/>
      <c r="AO79" s="632"/>
      <c r="AP79" s="632"/>
      <c r="AQ79" s="632"/>
      <c r="AR79" s="632"/>
      <c r="AS79" s="632"/>
    </row>
    <row r="80">
      <c r="A80" s="613">
        <v>45870.0</v>
      </c>
      <c r="B80" s="614"/>
      <c r="C80" s="615" t="s">
        <v>543</v>
      </c>
      <c r="D80" s="633">
        <v>55.0</v>
      </c>
      <c r="E80" s="617">
        <v>1.0</v>
      </c>
      <c r="F80" s="618"/>
      <c r="G80" s="619" t="s">
        <v>540</v>
      </c>
      <c r="H80" s="620" t="s">
        <v>388</v>
      </c>
      <c r="I80" s="617" t="s">
        <v>23</v>
      </c>
      <c r="J80" s="621">
        <v>7.20018416617E11</v>
      </c>
      <c r="K80" s="622" t="s">
        <v>394</v>
      </c>
      <c r="L80" s="622" t="s">
        <v>544</v>
      </c>
      <c r="M80" s="623" t="s">
        <v>542</v>
      </c>
      <c r="N80" s="624">
        <v>1171.0</v>
      </c>
      <c r="O80" s="625">
        <v>46010.0</v>
      </c>
      <c r="P80" s="624">
        <v>1150.0</v>
      </c>
      <c r="Q80" s="626">
        <v>45980.0</v>
      </c>
      <c r="R80" s="624">
        <v>1151.0</v>
      </c>
      <c r="S80" s="627">
        <v>45950.0</v>
      </c>
      <c r="T80" s="624">
        <v>1150.0</v>
      </c>
      <c r="U80" s="628">
        <v>45919.0</v>
      </c>
      <c r="V80" s="624">
        <v>1144.0</v>
      </c>
      <c r="W80" s="629">
        <v>1144.0</v>
      </c>
      <c r="X80" s="624"/>
      <c r="Y80" s="627"/>
      <c r="Z80" s="624"/>
      <c r="AA80" s="613"/>
      <c r="AB80" s="624"/>
      <c r="AC80" s="630"/>
      <c r="AD80" s="624"/>
      <c r="AE80" s="627"/>
      <c r="AF80" s="624"/>
      <c r="AG80" s="631"/>
      <c r="AH80" s="624"/>
      <c r="AI80" s="627"/>
      <c r="AJ80" s="624"/>
      <c r="AK80" s="613"/>
      <c r="AL80" s="632"/>
      <c r="AM80" s="632"/>
      <c r="AN80" s="632"/>
      <c r="AO80" s="632"/>
      <c r="AP80" s="632"/>
      <c r="AQ80" s="632"/>
      <c r="AR80" s="632"/>
      <c r="AS80" s="632"/>
    </row>
    <row r="81">
      <c r="A81" s="613">
        <v>45870.0</v>
      </c>
      <c r="B81" s="614"/>
      <c r="C81" s="615" t="s">
        <v>545</v>
      </c>
      <c r="D81" s="616">
        <v>56.0</v>
      </c>
      <c r="E81" s="617">
        <v>1.0</v>
      </c>
      <c r="F81" s="618"/>
      <c r="G81" s="619" t="s">
        <v>540</v>
      </c>
      <c r="H81" s="620" t="s">
        <v>388</v>
      </c>
      <c r="I81" s="617" t="s">
        <v>23</v>
      </c>
      <c r="J81" s="621">
        <v>7.20018423312E11</v>
      </c>
      <c r="K81" s="622" t="s">
        <v>394</v>
      </c>
      <c r="L81" s="622" t="s">
        <v>546</v>
      </c>
      <c r="M81" s="623" t="s">
        <v>542</v>
      </c>
      <c r="N81" s="624">
        <v>1170.0</v>
      </c>
      <c r="O81" s="625">
        <v>46010.0</v>
      </c>
      <c r="P81" s="624">
        <v>1150.0</v>
      </c>
      <c r="Q81" s="626">
        <v>45980.0</v>
      </c>
      <c r="R81" s="624">
        <v>1150.0</v>
      </c>
      <c r="S81" s="627">
        <v>45950.0</v>
      </c>
      <c r="T81" s="624">
        <v>1150.0</v>
      </c>
      <c r="U81" s="628">
        <v>45919.0</v>
      </c>
      <c r="V81" s="624">
        <v>1125.0</v>
      </c>
      <c r="W81" s="629">
        <v>1125.0</v>
      </c>
      <c r="X81" s="624"/>
      <c r="Y81" s="627"/>
      <c r="Z81" s="624"/>
      <c r="AA81" s="613"/>
      <c r="AB81" s="624"/>
      <c r="AC81" s="630"/>
      <c r="AD81" s="624"/>
      <c r="AE81" s="627"/>
      <c r="AF81" s="624"/>
      <c r="AG81" s="631"/>
      <c r="AH81" s="624"/>
      <c r="AI81" s="627"/>
      <c r="AJ81" s="624"/>
      <c r="AK81" s="613"/>
      <c r="AL81" s="632"/>
      <c r="AM81" s="632"/>
      <c r="AN81" s="632"/>
      <c r="AO81" s="632"/>
      <c r="AP81" s="632"/>
      <c r="AQ81" s="632"/>
      <c r="AR81" s="632"/>
      <c r="AS81" s="632"/>
    </row>
    <row r="82">
      <c r="A82" s="613">
        <v>45870.0</v>
      </c>
      <c r="B82" s="614"/>
      <c r="C82" s="615" t="s">
        <v>547</v>
      </c>
      <c r="D82" s="633">
        <v>57.0</v>
      </c>
      <c r="E82" s="617"/>
      <c r="F82" s="618"/>
      <c r="G82" s="619" t="s">
        <v>540</v>
      </c>
      <c r="H82" s="620" t="s">
        <v>388</v>
      </c>
      <c r="I82" s="617" t="s">
        <v>23</v>
      </c>
      <c r="J82" s="621">
        <v>7.20018461921E11</v>
      </c>
      <c r="K82" s="622" t="s">
        <v>82</v>
      </c>
      <c r="L82" s="622" t="s">
        <v>338</v>
      </c>
      <c r="M82" s="623">
        <v>1150.0</v>
      </c>
      <c r="N82" s="624">
        <v>1150.0</v>
      </c>
      <c r="O82" s="625">
        <v>46010.0</v>
      </c>
      <c r="P82" s="624">
        <v>1150.0</v>
      </c>
      <c r="Q82" s="626">
        <v>45980.0</v>
      </c>
      <c r="R82" s="624">
        <v>0.0</v>
      </c>
      <c r="S82" s="627"/>
      <c r="T82" s="624">
        <v>0.0</v>
      </c>
      <c r="U82" s="628"/>
      <c r="V82" s="624"/>
      <c r="W82" s="629"/>
      <c r="X82" s="624"/>
      <c r="Y82" s="627"/>
      <c r="Z82" s="624"/>
      <c r="AA82" s="613"/>
      <c r="AB82" s="624"/>
      <c r="AC82" s="630"/>
      <c r="AD82" s="624"/>
      <c r="AE82" s="627"/>
      <c r="AF82" s="624"/>
      <c r="AG82" s="631"/>
      <c r="AH82" s="624"/>
      <c r="AI82" s="627"/>
      <c r="AJ82" s="624"/>
      <c r="AK82" s="613"/>
      <c r="AL82" s="632"/>
      <c r="AM82" s="632"/>
      <c r="AN82" s="632"/>
      <c r="AO82" s="632"/>
      <c r="AP82" s="632"/>
      <c r="AQ82" s="632"/>
      <c r="AR82" s="632"/>
      <c r="AS82" s="632"/>
    </row>
    <row r="83">
      <c r="A83" s="613">
        <v>45847.0</v>
      </c>
      <c r="B83" s="614"/>
      <c r="C83" s="615" t="s">
        <v>548</v>
      </c>
      <c r="D83" s="633">
        <v>59.0</v>
      </c>
      <c r="E83" s="617">
        <v>1.0</v>
      </c>
      <c r="F83" s="618"/>
      <c r="G83" s="619" t="s">
        <v>540</v>
      </c>
      <c r="H83" s="620" t="s">
        <v>549</v>
      </c>
      <c r="I83" s="617" t="s">
        <v>23</v>
      </c>
      <c r="J83" s="621">
        <v>7.20016244669E11</v>
      </c>
      <c r="K83" s="622" t="s">
        <v>394</v>
      </c>
      <c r="L83" s="622" t="s">
        <v>550</v>
      </c>
      <c r="M83" s="634">
        <f>1258.64+200</f>
        <v>1458.64</v>
      </c>
      <c r="N83" s="624">
        <v>1149.0</v>
      </c>
      <c r="O83" s="625">
        <v>46010.0</v>
      </c>
      <c r="P83" s="624">
        <v>1149.0</v>
      </c>
      <c r="Q83" s="626">
        <v>45980.0</v>
      </c>
      <c r="R83" s="624">
        <v>1007.0</v>
      </c>
      <c r="S83" s="627">
        <v>45950.0</v>
      </c>
      <c r="T83" s="624">
        <v>1313.0</v>
      </c>
      <c r="U83" s="628">
        <v>45919.0</v>
      </c>
      <c r="V83" s="624">
        <v>1222.0</v>
      </c>
      <c r="W83" s="629">
        <v>1222.0</v>
      </c>
      <c r="X83" s="624">
        <v>1311.0</v>
      </c>
      <c r="Y83" s="627">
        <v>45861.0</v>
      </c>
      <c r="Z83" s="624"/>
      <c r="AA83" s="613"/>
      <c r="AB83" s="624"/>
      <c r="AC83" s="630"/>
      <c r="AD83" s="624"/>
      <c r="AE83" s="627"/>
      <c r="AF83" s="624"/>
      <c r="AG83" s="631"/>
      <c r="AH83" s="624"/>
      <c r="AI83" s="627"/>
      <c r="AJ83" s="624"/>
      <c r="AK83" s="613"/>
      <c r="AL83" s="632"/>
      <c r="AM83" s="632"/>
      <c r="AN83" s="632"/>
      <c r="AO83" s="632"/>
      <c r="AP83" s="632"/>
      <c r="AQ83" s="632"/>
      <c r="AR83" s="632"/>
      <c r="AS83" s="632"/>
    </row>
    <row r="84">
      <c r="A84" s="613">
        <v>45901.0</v>
      </c>
      <c r="B84" s="614"/>
      <c r="C84" s="615" t="s">
        <v>551</v>
      </c>
      <c r="D84" s="616">
        <v>60.0</v>
      </c>
      <c r="E84" s="617"/>
      <c r="F84" s="618"/>
      <c r="G84" s="619" t="s">
        <v>540</v>
      </c>
      <c r="H84" s="620" t="s">
        <v>552</v>
      </c>
      <c r="I84" s="617" t="s">
        <v>553</v>
      </c>
      <c r="J84" s="621">
        <v>132579.0</v>
      </c>
      <c r="K84" s="622" t="s">
        <v>554</v>
      </c>
      <c r="L84" s="622" t="s">
        <v>555</v>
      </c>
      <c r="M84" s="634">
        <v>720.0</v>
      </c>
      <c r="N84" s="624">
        <v>720.0</v>
      </c>
      <c r="O84" s="635">
        <v>46009.0</v>
      </c>
      <c r="P84" s="624">
        <v>650.0</v>
      </c>
      <c r="Q84" s="626">
        <v>45980.0</v>
      </c>
      <c r="R84" s="624"/>
      <c r="S84" s="627"/>
      <c r="T84" s="624"/>
      <c r="U84" s="628"/>
      <c r="V84" s="624"/>
      <c r="W84" s="629"/>
      <c r="X84" s="624"/>
      <c r="Y84" s="627"/>
      <c r="Z84" s="624"/>
      <c r="AA84" s="613"/>
      <c r="AB84" s="624"/>
      <c r="AC84" s="630"/>
      <c r="AD84" s="624"/>
      <c r="AE84" s="627"/>
      <c r="AF84" s="624"/>
      <c r="AG84" s="631"/>
      <c r="AH84" s="624"/>
      <c r="AI84" s="627"/>
      <c r="AJ84" s="624"/>
      <c r="AK84" s="613"/>
      <c r="AL84" s="632"/>
      <c r="AM84" s="632"/>
      <c r="AN84" s="632"/>
      <c r="AO84" s="632"/>
      <c r="AP84" s="632"/>
      <c r="AQ84" s="632"/>
      <c r="AR84" s="632"/>
      <c r="AS84" s="632"/>
    </row>
    <row r="85">
      <c r="A85" s="613">
        <v>45992.0</v>
      </c>
      <c r="B85" s="614"/>
      <c r="C85" s="615" t="s">
        <v>556</v>
      </c>
      <c r="D85" s="633">
        <v>61.0</v>
      </c>
      <c r="E85" s="617">
        <v>1.0</v>
      </c>
      <c r="F85" s="618"/>
      <c r="G85" s="619" t="s">
        <v>540</v>
      </c>
      <c r="H85" s="620" t="s">
        <v>388</v>
      </c>
      <c r="I85" s="617" t="s">
        <v>18</v>
      </c>
      <c r="J85" s="621">
        <v>5.72011744475E11</v>
      </c>
      <c r="K85" s="622" t="s">
        <v>394</v>
      </c>
      <c r="L85" s="622" t="s">
        <v>557</v>
      </c>
      <c r="M85" s="634">
        <v>675.0</v>
      </c>
      <c r="N85" s="624">
        <v>45.0</v>
      </c>
      <c r="O85" s="636">
        <v>46010.0</v>
      </c>
      <c r="P85" s="624"/>
      <c r="Q85" s="626"/>
      <c r="R85" s="624"/>
      <c r="S85" s="627"/>
      <c r="T85" s="624"/>
      <c r="U85" s="628"/>
      <c r="V85" s="624"/>
      <c r="W85" s="629"/>
      <c r="X85" s="624"/>
      <c r="Y85" s="627"/>
      <c r="Z85" s="624"/>
      <c r="AA85" s="613"/>
      <c r="AB85" s="624"/>
      <c r="AC85" s="630"/>
      <c r="AD85" s="624"/>
      <c r="AE85" s="627"/>
      <c r="AF85" s="624"/>
      <c r="AG85" s="631"/>
      <c r="AH85" s="624"/>
      <c r="AI85" s="627"/>
      <c r="AJ85" s="624"/>
      <c r="AK85" s="613"/>
      <c r="AL85" s="632"/>
      <c r="AM85" s="632"/>
      <c r="AN85" s="632"/>
      <c r="AO85" s="632"/>
      <c r="AP85" s="632"/>
      <c r="AQ85" s="632"/>
      <c r="AR85" s="632"/>
      <c r="AS85" s="632"/>
    </row>
    <row r="86">
      <c r="A86" s="613">
        <v>45992.0</v>
      </c>
      <c r="B86" s="614"/>
      <c r="C86" s="615" t="s">
        <v>558</v>
      </c>
      <c r="D86" s="616">
        <v>64.0</v>
      </c>
      <c r="E86" s="617">
        <v>6.0</v>
      </c>
      <c r="F86" s="618"/>
      <c r="G86" s="619" t="s">
        <v>540</v>
      </c>
      <c r="H86" s="620" t="s">
        <v>403</v>
      </c>
      <c r="I86" s="617" t="s">
        <v>23</v>
      </c>
      <c r="J86" s="621">
        <v>7.20019370482E11</v>
      </c>
      <c r="K86" s="622" t="s">
        <v>394</v>
      </c>
      <c r="L86" s="622"/>
      <c r="M86" s="634">
        <v>1150.0</v>
      </c>
      <c r="N86" s="624"/>
      <c r="O86" s="635"/>
      <c r="P86" s="624"/>
      <c r="Q86" s="628"/>
      <c r="R86" s="624"/>
      <c r="S86" s="627"/>
      <c r="T86" s="624"/>
      <c r="U86" s="628"/>
      <c r="V86" s="624"/>
      <c r="W86" s="629"/>
      <c r="X86" s="624"/>
      <c r="Y86" s="627"/>
      <c r="Z86" s="624"/>
      <c r="AA86" s="613"/>
      <c r="AB86" s="624"/>
      <c r="AC86" s="630"/>
      <c r="AD86" s="624"/>
      <c r="AE86" s="627"/>
      <c r="AF86" s="624"/>
      <c r="AG86" s="631"/>
      <c r="AH86" s="624"/>
      <c r="AI86" s="627"/>
      <c r="AJ86" s="624"/>
      <c r="AK86" s="613"/>
      <c r="AL86" s="632"/>
      <c r="AM86" s="632"/>
      <c r="AN86" s="632"/>
      <c r="AO86" s="632"/>
      <c r="AP86" s="632"/>
      <c r="AQ86" s="632"/>
      <c r="AR86" s="632"/>
      <c r="AS86" s="632"/>
    </row>
    <row r="87">
      <c r="A87" s="637">
        <v>45962.0</v>
      </c>
      <c r="B87" s="638"/>
      <c r="C87" s="639" t="s">
        <v>559</v>
      </c>
      <c r="D87" s="640">
        <v>62.0</v>
      </c>
      <c r="E87" s="641">
        <v>8.0</v>
      </c>
      <c r="F87" s="642"/>
      <c r="G87" s="643" t="s">
        <v>560</v>
      </c>
      <c r="H87" s="644" t="s">
        <v>388</v>
      </c>
      <c r="I87" s="641" t="s">
        <v>43</v>
      </c>
      <c r="J87" s="645">
        <v>6.0401002562E10</v>
      </c>
      <c r="K87" s="646" t="s">
        <v>394</v>
      </c>
      <c r="L87" s="646"/>
      <c r="M87" s="647">
        <f>450+150</f>
        <v>600</v>
      </c>
      <c r="N87" s="648">
        <v>600.0</v>
      </c>
      <c r="O87" s="649">
        <v>46009.0</v>
      </c>
      <c r="P87" s="648">
        <v>450.0</v>
      </c>
      <c r="Q87" s="650">
        <v>45979.0</v>
      </c>
      <c r="R87" s="648"/>
      <c r="S87" s="651"/>
      <c r="T87" s="648"/>
      <c r="U87" s="650"/>
      <c r="V87" s="648"/>
      <c r="W87" s="652"/>
      <c r="X87" s="648"/>
      <c r="Y87" s="651"/>
      <c r="Z87" s="648"/>
      <c r="AA87" s="637"/>
      <c r="AB87" s="648"/>
      <c r="AC87" s="653"/>
      <c r="AD87" s="648"/>
      <c r="AE87" s="651"/>
      <c r="AF87" s="648"/>
      <c r="AG87" s="654"/>
      <c r="AH87" s="648"/>
      <c r="AI87" s="651"/>
      <c r="AJ87" s="648"/>
      <c r="AK87" s="637"/>
      <c r="AL87" s="655"/>
      <c r="AM87" s="655"/>
      <c r="AN87" s="655"/>
      <c r="AO87" s="655"/>
      <c r="AP87" s="655"/>
      <c r="AQ87" s="655"/>
      <c r="AR87" s="655"/>
      <c r="AS87" s="655"/>
    </row>
    <row r="88">
      <c r="A88" s="656">
        <v>45992.0</v>
      </c>
      <c r="B88" s="657"/>
      <c r="C88" s="658" t="s">
        <v>561</v>
      </c>
      <c r="D88" s="659">
        <v>65.0</v>
      </c>
      <c r="E88" s="660"/>
      <c r="F88" s="661"/>
      <c r="G88" s="662" t="s">
        <v>562</v>
      </c>
      <c r="H88" s="663" t="s">
        <v>388</v>
      </c>
      <c r="I88" s="660" t="s">
        <v>43</v>
      </c>
      <c r="J88" s="664"/>
      <c r="K88" s="665" t="s">
        <v>82</v>
      </c>
      <c r="L88" s="665"/>
      <c r="M88" s="666"/>
      <c r="N88" s="667"/>
      <c r="O88" s="668"/>
      <c r="P88" s="667"/>
      <c r="Q88" s="669"/>
      <c r="R88" s="667"/>
      <c r="S88" s="670"/>
      <c r="T88" s="667"/>
      <c r="U88" s="669"/>
      <c r="V88" s="667"/>
      <c r="W88" s="671"/>
      <c r="X88" s="667"/>
      <c r="Y88" s="670"/>
      <c r="Z88" s="667"/>
      <c r="AA88" s="656"/>
      <c r="AB88" s="667"/>
      <c r="AC88" s="672"/>
      <c r="AD88" s="667"/>
      <c r="AE88" s="670"/>
      <c r="AF88" s="667"/>
      <c r="AG88" s="673"/>
      <c r="AH88" s="667"/>
      <c r="AI88" s="670"/>
      <c r="AJ88" s="667"/>
      <c r="AK88" s="656"/>
      <c r="AL88" s="674"/>
      <c r="AM88" s="674"/>
      <c r="AN88" s="674"/>
      <c r="AO88" s="674"/>
      <c r="AP88" s="674"/>
      <c r="AQ88" s="674"/>
      <c r="AR88" s="674"/>
      <c r="AS88" s="674"/>
    </row>
    <row r="89">
      <c r="A89" s="675">
        <v>45383.0</v>
      </c>
      <c r="B89" s="676">
        <v>70.0</v>
      </c>
      <c r="C89" s="677" t="s">
        <v>563</v>
      </c>
      <c r="D89" s="678">
        <v>30.0</v>
      </c>
      <c r="E89" s="679"/>
      <c r="F89" s="680"/>
      <c r="G89" s="681" t="s">
        <v>564</v>
      </c>
      <c r="H89" s="682" t="s">
        <v>19</v>
      </c>
      <c r="I89" s="683" t="s">
        <v>18</v>
      </c>
      <c r="J89" s="684">
        <v>5.72011610776E11</v>
      </c>
      <c r="K89" s="684" t="s">
        <v>131</v>
      </c>
      <c r="L89" s="684" t="s">
        <v>398</v>
      </c>
      <c r="M89" s="685">
        <v>774.0</v>
      </c>
      <c r="N89" s="686">
        <v>774.0</v>
      </c>
      <c r="O89" s="687">
        <v>46010.0</v>
      </c>
      <c r="P89" s="686">
        <v>774.0</v>
      </c>
      <c r="Q89" s="688">
        <v>45979.0</v>
      </c>
      <c r="R89" s="686">
        <v>922.0</v>
      </c>
      <c r="S89" s="689">
        <v>45950.0</v>
      </c>
      <c r="T89" s="686">
        <v>1595.0</v>
      </c>
      <c r="U89" s="688">
        <v>45919.0</v>
      </c>
      <c r="V89" s="686">
        <v>774.0</v>
      </c>
      <c r="W89" s="690">
        <v>774.0</v>
      </c>
      <c r="X89" s="691">
        <v>774.0</v>
      </c>
      <c r="Y89" s="689">
        <v>45856.0</v>
      </c>
      <c r="Z89" s="686">
        <v>774.0</v>
      </c>
      <c r="AA89" s="675">
        <v>45826.0</v>
      </c>
      <c r="AB89" s="686">
        <v>774.0</v>
      </c>
      <c r="AC89" s="692">
        <v>45797.0</v>
      </c>
      <c r="AD89" s="686">
        <v>774.0</v>
      </c>
      <c r="AE89" s="689">
        <v>45793.0</v>
      </c>
      <c r="AF89" s="685">
        <v>774.0</v>
      </c>
      <c r="AG89" s="689">
        <v>45735.0</v>
      </c>
      <c r="AH89" s="686">
        <v>774.0</v>
      </c>
      <c r="AI89" s="689">
        <v>45706.0</v>
      </c>
      <c r="AJ89" s="686">
        <v>774.0</v>
      </c>
      <c r="AK89" s="675">
        <v>45677.0</v>
      </c>
      <c r="AL89" s="693"/>
      <c r="AM89" s="693"/>
      <c r="AN89" s="693"/>
      <c r="AO89" s="693"/>
      <c r="AP89" s="693"/>
      <c r="AQ89" s="693"/>
      <c r="AR89" s="693"/>
      <c r="AS89" s="693"/>
    </row>
    <row r="90">
      <c r="A90" s="675"/>
      <c r="B90" s="676"/>
      <c r="C90" s="677" t="s">
        <v>565</v>
      </c>
      <c r="D90" s="679">
        <v>31.0</v>
      </c>
      <c r="E90" s="679"/>
      <c r="F90" s="680"/>
      <c r="G90" s="681" t="s">
        <v>564</v>
      </c>
      <c r="H90" s="682" t="s">
        <v>19</v>
      </c>
      <c r="I90" s="683" t="s">
        <v>18</v>
      </c>
      <c r="J90" s="684">
        <v>5.72011654386E11</v>
      </c>
      <c r="K90" s="684" t="s">
        <v>131</v>
      </c>
      <c r="L90" s="684" t="s">
        <v>398</v>
      </c>
      <c r="M90" s="685">
        <v>774.0</v>
      </c>
      <c r="N90" s="686">
        <v>774.0</v>
      </c>
      <c r="O90" s="694">
        <v>46009.0</v>
      </c>
      <c r="P90" s="686">
        <v>774.0</v>
      </c>
      <c r="Q90" s="688">
        <v>45979.0</v>
      </c>
      <c r="R90" s="686">
        <v>774.0</v>
      </c>
      <c r="S90" s="689">
        <v>45947.0</v>
      </c>
      <c r="T90" s="686">
        <v>774.0</v>
      </c>
      <c r="U90" s="688">
        <v>45919.0</v>
      </c>
      <c r="V90" s="686">
        <v>774.0</v>
      </c>
      <c r="W90" s="690">
        <v>774.0</v>
      </c>
      <c r="X90" s="691">
        <v>774.0</v>
      </c>
      <c r="Y90" s="689">
        <v>45856.0</v>
      </c>
      <c r="Z90" s="686">
        <v>774.0</v>
      </c>
      <c r="AA90" s="675">
        <v>45826.0</v>
      </c>
      <c r="AB90" s="686">
        <v>774.0</v>
      </c>
      <c r="AC90" s="692">
        <v>45797.0</v>
      </c>
      <c r="AD90" s="686">
        <v>774.0</v>
      </c>
      <c r="AE90" s="689">
        <v>45793.0</v>
      </c>
      <c r="AF90" s="685">
        <v>774.0</v>
      </c>
      <c r="AG90" s="689">
        <v>45735.0</v>
      </c>
      <c r="AH90" s="686">
        <v>774.0</v>
      </c>
      <c r="AI90" s="689">
        <v>45706.0</v>
      </c>
      <c r="AJ90" s="686">
        <v>774.0</v>
      </c>
      <c r="AK90" s="675">
        <v>45677.0</v>
      </c>
      <c r="AL90" s="693"/>
      <c r="AM90" s="693"/>
      <c r="AN90" s="693"/>
      <c r="AO90" s="693"/>
      <c r="AP90" s="693"/>
      <c r="AQ90" s="693"/>
      <c r="AR90" s="693"/>
      <c r="AS90" s="693"/>
    </row>
    <row r="91">
      <c r="A91" s="675"/>
      <c r="B91" s="676"/>
      <c r="C91" s="677" t="s">
        <v>566</v>
      </c>
      <c r="D91" s="679"/>
      <c r="E91" s="679"/>
      <c r="F91" s="680"/>
      <c r="G91" s="681"/>
      <c r="H91" s="682"/>
      <c r="I91" s="683"/>
      <c r="J91" s="684"/>
      <c r="K91" s="684"/>
      <c r="L91" s="684"/>
      <c r="M91" s="685"/>
      <c r="N91" s="686">
        <v>7820.0</v>
      </c>
      <c r="O91" s="695"/>
      <c r="P91" s="686"/>
      <c r="Q91" s="688"/>
      <c r="R91" s="686"/>
      <c r="S91" s="689"/>
      <c r="T91" s="686"/>
      <c r="U91" s="688"/>
      <c r="V91" s="686"/>
      <c r="W91" s="690"/>
      <c r="X91" s="691"/>
      <c r="Y91" s="696"/>
      <c r="Z91" s="686"/>
      <c r="AA91" s="675"/>
      <c r="AB91" s="686"/>
      <c r="AC91" s="692"/>
      <c r="AD91" s="686"/>
      <c r="AE91" s="696"/>
      <c r="AF91" s="685"/>
      <c r="AG91" s="689"/>
      <c r="AH91" s="686"/>
      <c r="AI91" s="689"/>
      <c r="AJ91" s="686"/>
      <c r="AK91" s="675"/>
      <c r="AL91" s="693"/>
      <c r="AM91" s="693"/>
      <c r="AN91" s="693"/>
      <c r="AO91" s="693"/>
      <c r="AP91" s="693"/>
      <c r="AQ91" s="693"/>
      <c r="AR91" s="693"/>
      <c r="AS91" s="693"/>
    </row>
    <row r="92">
      <c r="A92" s="697">
        <v>43823.0</v>
      </c>
      <c r="B92" s="698">
        <v>53.0</v>
      </c>
      <c r="C92" s="699" t="s">
        <v>567</v>
      </c>
      <c r="D92" s="700">
        <v>33.0</v>
      </c>
      <c r="E92" s="701">
        <v>8.0</v>
      </c>
      <c r="F92" s="702" t="s">
        <v>397</v>
      </c>
      <c r="G92" s="703" t="s">
        <v>568</v>
      </c>
      <c r="H92" s="704" t="s">
        <v>403</v>
      </c>
      <c r="I92" s="705" t="s">
        <v>23</v>
      </c>
      <c r="J92" s="706">
        <v>7.20015499042E11</v>
      </c>
      <c r="K92" s="707" t="s">
        <v>131</v>
      </c>
      <c r="L92" s="707" t="s">
        <v>569</v>
      </c>
      <c r="M92" s="708">
        <v>780.0</v>
      </c>
      <c r="N92" s="709">
        <v>910.0</v>
      </c>
      <c r="O92" s="710">
        <v>46010.0</v>
      </c>
      <c r="P92" s="709">
        <v>780.0</v>
      </c>
      <c r="Q92" s="697">
        <v>45980.0</v>
      </c>
      <c r="R92" s="709">
        <v>780.0</v>
      </c>
      <c r="S92" s="711">
        <v>45950.0</v>
      </c>
      <c r="T92" s="709">
        <v>780.0</v>
      </c>
      <c r="U92" s="712">
        <v>45919.0</v>
      </c>
      <c r="V92" s="709">
        <v>780.0</v>
      </c>
      <c r="W92" s="713">
        <v>780.0</v>
      </c>
      <c r="X92" s="709">
        <v>780.0</v>
      </c>
      <c r="Y92" s="714">
        <v>45861.0</v>
      </c>
      <c r="Z92" s="709">
        <v>780.0</v>
      </c>
      <c r="AA92" s="715">
        <v>45826.0</v>
      </c>
      <c r="AB92" s="709">
        <v>780.0</v>
      </c>
      <c r="AC92" s="716">
        <v>45797.0</v>
      </c>
      <c r="AD92" s="709">
        <v>780.0</v>
      </c>
      <c r="AE92" s="714">
        <v>45763.0</v>
      </c>
      <c r="AF92" s="708">
        <v>650.0</v>
      </c>
      <c r="AG92" s="711">
        <v>45735.0</v>
      </c>
      <c r="AH92" s="709">
        <v>650.0</v>
      </c>
      <c r="AI92" s="711">
        <v>45706.0</v>
      </c>
      <c r="AJ92" s="709">
        <v>650.0</v>
      </c>
      <c r="AK92" s="715">
        <v>45678.0</v>
      </c>
      <c r="AL92" s="717"/>
      <c r="AM92" s="717"/>
      <c r="AN92" s="717"/>
      <c r="AO92" s="717"/>
      <c r="AP92" s="717"/>
      <c r="AQ92" s="717"/>
      <c r="AR92" s="717"/>
      <c r="AS92" s="717"/>
    </row>
    <row r="93">
      <c r="A93" s="718"/>
      <c r="B93" s="718">
        <v>54.0</v>
      </c>
      <c r="C93" s="719" t="s">
        <v>570</v>
      </c>
      <c r="D93" s="720">
        <v>34.0</v>
      </c>
      <c r="E93" s="721"/>
      <c r="F93" s="722"/>
      <c r="G93" s="723" t="s">
        <v>571</v>
      </c>
      <c r="H93" s="724" t="s">
        <v>183</v>
      </c>
      <c r="I93" s="725" t="s">
        <v>266</v>
      </c>
      <c r="J93" s="726">
        <v>6.063194562E9</v>
      </c>
      <c r="K93" s="726" t="s">
        <v>572</v>
      </c>
      <c r="L93" s="726" t="s">
        <v>350</v>
      </c>
      <c r="M93" s="372">
        <v>550.0</v>
      </c>
      <c r="N93" s="727">
        <v>0.0</v>
      </c>
      <c r="O93" s="728"/>
      <c r="P93" s="727">
        <v>0.0</v>
      </c>
      <c r="Q93" s="729"/>
      <c r="R93" s="727">
        <v>0.0</v>
      </c>
      <c r="S93" s="730"/>
      <c r="T93" s="727">
        <v>0.0</v>
      </c>
      <c r="U93" s="731"/>
      <c r="V93" s="727" t="s">
        <v>573</v>
      </c>
      <c r="W93" s="732"/>
      <c r="X93" s="727">
        <v>0.0</v>
      </c>
      <c r="Y93" s="733"/>
      <c r="Z93" s="727">
        <v>0.0</v>
      </c>
      <c r="AA93" s="734">
        <v>45826.0</v>
      </c>
      <c r="AB93" s="727">
        <v>0.0</v>
      </c>
      <c r="AC93" s="735"/>
      <c r="AD93" s="727">
        <v>0.0</v>
      </c>
      <c r="AE93" s="733"/>
      <c r="AF93" s="372">
        <v>550.0</v>
      </c>
      <c r="AG93" s="736">
        <v>45735.0</v>
      </c>
      <c r="AH93" s="727">
        <v>550.0</v>
      </c>
      <c r="AI93" s="734">
        <v>45707.0</v>
      </c>
      <c r="AJ93" s="727">
        <v>550.0</v>
      </c>
      <c r="AK93" s="734">
        <v>45682.0</v>
      </c>
      <c r="AL93" s="737"/>
      <c r="AM93" s="737"/>
      <c r="AN93" s="737"/>
      <c r="AO93" s="737"/>
      <c r="AP93" s="737"/>
      <c r="AQ93" s="737"/>
      <c r="AR93" s="737"/>
      <c r="AS93" s="737"/>
    </row>
    <row r="94">
      <c r="A94" s="718"/>
      <c r="B94" s="718"/>
      <c r="C94" s="719" t="s">
        <v>570</v>
      </c>
      <c r="D94" s="721">
        <v>35.0</v>
      </c>
      <c r="E94" s="721"/>
      <c r="F94" s="722"/>
      <c r="G94" s="723" t="s">
        <v>571</v>
      </c>
      <c r="H94" s="724" t="s">
        <v>388</v>
      </c>
      <c r="I94" s="725" t="s">
        <v>18</v>
      </c>
      <c r="J94" s="726">
        <v>5.72011705572E11</v>
      </c>
      <c r="K94" s="726" t="s">
        <v>574</v>
      </c>
      <c r="L94" s="726"/>
      <c r="M94" s="372">
        <v>849.0</v>
      </c>
      <c r="N94" s="727">
        <v>849.0</v>
      </c>
      <c r="O94" s="728">
        <v>46010.0</v>
      </c>
      <c r="P94" s="727">
        <v>849.0</v>
      </c>
      <c r="Q94" s="731">
        <v>45979.0</v>
      </c>
      <c r="R94" s="727">
        <v>849.0</v>
      </c>
      <c r="S94" s="730">
        <v>45947.0</v>
      </c>
      <c r="T94" s="727">
        <v>849.0</v>
      </c>
      <c r="U94" s="731">
        <v>45919.0</v>
      </c>
      <c r="V94" s="727">
        <v>546.58</v>
      </c>
      <c r="W94" s="738">
        <v>546.58</v>
      </c>
      <c r="X94" s="739">
        <v>474.0</v>
      </c>
      <c r="Y94" s="730">
        <v>45856.0</v>
      </c>
      <c r="Z94" s="727">
        <v>474.0</v>
      </c>
      <c r="AA94" s="734">
        <v>45826.0</v>
      </c>
      <c r="AB94" s="727">
        <v>54.78</v>
      </c>
      <c r="AC94" s="735">
        <v>45797.0</v>
      </c>
      <c r="AD94" s="727">
        <v>0.0</v>
      </c>
      <c r="AE94" s="733"/>
      <c r="AF94" s="372"/>
      <c r="AG94" s="736"/>
      <c r="AH94" s="727"/>
      <c r="AI94" s="734"/>
      <c r="AJ94" s="727"/>
      <c r="AK94" s="734"/>
      <c r="AL94" s="737"/>
      <c r="AM94" s="737"/>
      <c r="AN94" s="737"/>
      <c r="AO94" s="737"/>
      <c r="AP94" s="737"/>
      <c r="AQ94" s="737"/>
      <c r="AR94" s="737"/>
      <c r="AS94" s="737"/>
    </row>
    <row r="95">
      <c r="A95" s="740">
        <v>45716.0</v>
      </c>
      <c r="B95" s="741"/>
      <c r="C95" s="742" t="s">
        <v>575</v>
      </c>
      <c r="D95" s="743">
        <v>36.0</v>
      </c>
      <c r="E95" s="744"/>
      <c r="F95" s="745"/>
      <c r="G95" s="746" t="s">
        <v>576</v>
      </c>
      <c r="H95" s="747" t="s">
        <v>19</v>
      </c>
      <c r="I95" s="748" t="s">
        <v>18</v>
      </c>
      <c r="J95" s="748" t="s">
        <v>577</v>
      </c>
      <c r="K95" s="749" t="s">
        <v>578</v>
      </c>
      <c r="L95" s="749" t="s">
        <v>398</v>
      </c>
      <c r="M95" s="750">
        <v>774.0</v>
      </c>
      <c r="N95" s="751">
        <v>774.0</v>
      </c>
      <c r="O95" s="752">
        <v>46009.0</v>
      </c>
      <c r="P95" s="751">
        <v>774.0</v>
      </c>
      <c r="Q95" s="753">
        <v>45979.0</v>
      </c>
      <c r="R95" s="751">
        <v>774.0</v>
      </c>
      <c r="S95" s="754">
        <v>45947.0</v>
      </c>
      <c r="T95" s="751">
        <v>0.0</v>
      </c>
      <c r="U95" s="753"/>
      <c r="V95" s="751">
        <v>774.0</v>
      </c>
      <c r="W95" s="755">
        <v>774.0</v>
      </c>
      <c r="X95" s="756">
        <v>504.0</v>
      </c>
      <c r="Y95" s="754">
        <v>45856.0</v>
      </c>
      <c r="Z95" s="751">
        <v>474.0</v>
      </c>
      <c r="AA95" s="740">
        <v>45826.0</v>
      </c>
      <c r="AB95" s="751">
        <v>474.0</v>
      </c>
      <c r="AC95" s="757">
        <v>45797.0</v>
      </c>
      <c r="AD95" s="751">
        <v>115.93</v>
      </c>
      <c r="AE95" s="754">
        <v>45793.0</v>
      </c>
      <c r="AF95" s="750"/>
      <c r="AG95" s="758"/>
      <c r="AH95" s="751">
        <v>525.0</v>
      </c>
      <c r="AI95" s="754">
        <v>37315.0</v>
      </c>
      <c r="AJ95" s="751"/>
      <c r="AK95" s="740"/>
      <c r="AL95" s="759"/>
      <c r="AM95" s="759"/>
      <c r="AN95" s="759"/>
      <c r="AO95" s="759"/>
      <c r="AP95" s="759"/>
      <c r="AQ95" s="759"/>
      <c r="AR95" s="759"/>
      <c r="AS95" s="759"/>
    </row>
    <row r="96">
      <c r="A96" s="760">
        <v>44896.0</v>
      </c>
      <c r="B96" s="761">
        <v>68.0</v>
      </c>
      <c r="C96" s="762" t="s">
        <v>579</v>
      </c>
      <c r="D96" s="763">
        <v>37.0</v>
      </c>
      <c r="E96" s="763"/>
      <c r="F96" s="764" t="s">
        <v>580</v>
      </c>
      <c r="G96" s="765" t="s">
        <v>581</v>
      </c>
      <c r="H96" s="766" t="s">
        <v>582</v>
      </c>
      <c r="I96" s="767" t="s">
        <v>18</v>
      </c>
      <c r="J96" s="767" t="s">
        <v>583</v>
      </c>
      <c r="K96" s="768" t="s">
        <v>82</v>
      </c>
      <c r="L96" s="768" t="s">
        <v>398</v>
      </c>
      <c r="M96" s="769">
        <v>680.0</v>
      </c>
      <c r="N96" s="770">
        <v>680.0</v>
      </c>
      <c r="O96" s="771">
        <v>46010.0</v>
      </c>
      <c r="P96" s="770">
        <v>680.0</v>
      </c>
      <c r="Q96" s="772">
        <v>45979.0</v>
      </c>
      <c r="R96" s="770">
        <v>680.0</v>
      </c>
      <c r="S96" s="773">
        <v>45949.0</v>
      </c>
      <c r="T96" s="770">
        <v>680.0</v>
      </c>
      <c r="U96" s="772">
        <v>45919.0</v>
      </c>
      <c r="V96" s="770">
        <v>680.0</v>
      </c>
      <c r="W96" s="774">
        <v>680.0</v>
      </c>
      <c r="X96" s="775">
        <v>680.0</v>
      </c>
      <c r="Y96" s="773">
        <v>45856.0</v>
      </c>
      <c r="Z96" s="770">
        <v>680.0</v>
      </c>
      <c r="AA96" s="760">
        <v>45826.0</v>
      </c>
      <c r="AB96" s="770">
        <v>680.0</v>
      </c>
      <c r="AC96" s="776">
        <v>45797.0</v>
      </c>
      <c r="AD96" s="770">
        <v>680.0</v>
      </c>
      <c r="AE96" s="773">
        <v>45793.0</v>
      </c>
      <c r="AF96" s="769">
        <f>680+315</f>
        <v>995</v>
      </c>
      <c r="AG96" s="773">
        <v>45735.0</v>
      </c>
      <c r="AH96" s="770">
        <v>680.0</v>
      </c>
      <c r="AI96" s="773">
        <v>45706.0</v>
      </c>
      <c r="AJ96" s="770">
        <v>680.0</v>
      </c>
      <c r="AK96" s="760">
        <v>45678.0</v>
      </c>
      <c r="AL96" s="777"/>
      <c r="AM96" s="777"/>
      <c r="AN96" s="777"/>
      <c r="AO96" s="777"/>
      <c r="AP96" s="777"/>
      <c r="AQ96" s="777"/>
      <c r="AR96" s="777"/>
      <c r="AS96" s="777"/>
    </row>
    <row r="97" ht="17.25" customHeight="1">
      <c r="A97" s="778">
        <v>45383.0</v>
      </c>
      <c r="B97" s="111">
        <v>69.0</v>
      </c>
      <c r="C97" s="779" t="s">
        <v>584</v>
      </c>
      <c r="D97" s="780">
        <v>41.0</v>
      </c>
      <c r="E97" s="781"/>
      <c r="F97" s="782" t="s">
        <v>585</v>
      </c>
      <c r="G97" s="783" t="s">
        <v>586</v>
      </c>
      <c r="H97" s="784" t="s">
        <v>19</v>
      </c>
      <c r="I97" s="785" t="s">
        <v>18</v>
      </c>
      <c r="J97" s="786">
        <v>5.72011440926E11</v>
      </c>
      <c r="K97" s="786" t="s">
        <v>131</v>
      </c>
      <c r="L97" s="786" t="s">
        <v>398</v>
      </c>
      <c r="M97" s="787">
        <v>685.0</v>
      </c>
      <c r="N97" s="788">
        <v>685.0</v>
      </c>
      <c r="O97" s="789">
        <v>46010.0</v>
      </c>
      <c r="P97" s="788">
        <v>685.0</v>
      </c>
      <c r="Q97" s="374">
        <v>45979.0</v>
      </c>
      <c r="R97" s="788">
        <v>685.0</v>
      </c>
      <c r="S97" s="790">
        <v>45947.0</v>
      </c>
      <c r="T97" s="788">
        <v>685.0</v>
      </c>
      <c r="U97" s="374">
        <v>45919.0</v>
      </c>
      <c r="V97" s="788">
        <v>685.0</v>
      </c>
      <c r="W97" s="791">
        <v>685.0</v>
      </c>
      <c r="X97" s="792">
        <v>685.0</v>
      </c>
      <c r="Y97" s="790">
        <v>45856.0</v>
      </c>
      <c r="Z97" s="788">
        <v>685.0</v>
      </c>
      <c r="AA97" s="778">
        <v>45826.0</v>
      </c>
      <c r="AB97" s="788">
        <v>685.0</v>
      </c>
      <c r="AC97" s="793">
        <v>45797.0</v>
      </c>
      <c r="AD97" s="788">
        <v>685.0</v>
      </c>
      <c r="AE97" s="790">
        <v>45793.0</v>
      </c>
      <c r="AF97" s="794">
        <v>685.0</v>
      </c>
      <c r="AG97" s="790">
        <v>45735.0</v>
      </c>
      <c r="AH97" s="788">
        <v>685.0</v>
      </c>
      <c r="AI97" s="790">
        <v>45706.0</v>
      </c>
      <c r="AJ97" s="788">
        <v>645.0</v>
      </c>
      <c r="AK97" s="778">
        <v>45677.0</v>
      </c>
      <c r="AL97" s="795"/>
      <c r="AM97" s="795"/>
      <c r="AN97" s="795"/>
      <c r="AO97" s="795"/>
      <c r="AP97" s="795"/>
      <c r="AQ97" s="795"/>
      <c r="AR97" s="795"/>
      <c r="AS97" s="795"/>
    </row>
    <row r="98">
      <c r="A98" s="361">
        <v>45573.0</v>
      </c>
      <c r="B98" s="349"/>
      <c r="C98" s="796" t="s">
        <v>587</v>
      </c>
      <c r="D98" s="797">
        <v>49.0</v>
      </c>
      <c r="E98" s="798"/>
      <c r="F98" s="799"/>
      <c r="G98" s="800" t="s">
        <v>588</v>
      </c>
      <c r="H98" s="259" t="s">
        <v>19</v>
      </c>
      <c r="I98" s="798" t="s">
        <v>18</v>
      </c>
      <c r="J98" s="354">
        <v>5.72011674007E11</v>
      </c>
      <c r="K98" s="801" t="s">
        <v>394</v>
      </c>
      <c r="L98" s="801" t="s">
        <v>398</v>
      </c>
      <c r="M98" s="802">
        <v>630.0</v>
      </c>
      <c r="N98" s="803">
        <v>630.0</v>
      </c>
      <c r="O98" s="804">
        <v>46009.0</v>
      </c>
      <c r="P98" s="803">
        <v>630.0</v>
      </c>
      <c r="Q98" s="359">
        <v>45979.0</v>
      </c>
      <c r="R98" s="803">
        <v>630.0</v>
      </c>
      <c r="S98" s="805">
        <v>45947.0</v>
      </c>
      <c r="T98" s="803">
        <v>630.0</v>
      </c>
      <c r="U98" s="359">
        <v>45919.0</v>
      </c>
      <c r="V98" s="803">
        <v>630.0</v>
      </c>
      <c r="W98" s="356">
        <v>630.0</v>
      </c>
      <c r="X98" s="806">
        <v>630.0</v>
      </c>
      <c r="Y98" s="805">
        <v>45856.0</v>
      </c>
      <c r="Z98" s="803">
        <v>630.0</v>
      </c>
      <c r="AA98" s="361">
        <v>45826.0</v>
      </c>
      <c r="AB98" s="803">
        <v>630.0</v>
      </c>
      <c r="AC98" s="807">
        <v>45797.0</v>
      </c>
      <c r="AD98" s="803">
        <v>630.0</v>
      </c>
      <c r="AE98" s="805">
        <v>45793.0</v>
      </c>
      <c r="AF98" s="356">
        <v>630.0</v>
      </c>
      <c r="AG98" s="805">
        <v>45735.0</v>
      </c>
      <c r="AH98" s="803">
        <v>630.0</v>
      </c>
      <c r="AI98" s="805">
        <v>45706.0</v>
      </c>
      <c r="AJ98" s="803">
        <v>581.62</v>
      </c>
      <c r="AK98" s="361">
        <v>45677.0</v>
      </c>
      <c r="AL98" s="362"/>
      <c r="AM98" s="362"/>
      <c r="AN98" s="362"/>
      <c r="AO98" s="362"/>
      <c r="AP98" s="362"/>
      <c r="AQ98" s="362"/>
      <c r="AR98" s="362"/>
      <c r="AS98" s="362"/>
    </row>
    <row r="99">
      <c r="A99" s="808">
        <v>45839.0</v>
      </c>
      <c r="B99" s="809"/>
      <c r="C99" s="810" t="s">
        <v>589</v>
      </c>
      <c r="D99" s="811">
        <v>58.0</v>
      </c>
      <c r="E99" s="812">
        <v>2.0</v>
      </c>
      <c r="F99" s="813"/>
      <c r="G99" s="814" t="s">
        <v>590</v>
      </c>
      <c r="H99" s="815" t="s">
        <v>388</v>
      </c>
      <c r="I99" s="812" t="s">
        <v>23</v>
      </c>
      <c r="J99" s="816">
        <v>7.20018363854E11</v>
      </c>
      <c r="K99" s="817" t="s">
        <v>131</v>
      </c>
      <c r="L99" s="817" t="s">
        <v>591</v>
      </c>
      <c r="M99" s="818">
        <v>950.0</v>
      </c>
      <c r="N99" s="819">
        <v>950.0</v>
      </c>
      <c r="O99" s="820">
        <v>46010.0</v>
      </c>
      <c r="P99" s="819">
        <v>950.0</v>
      </c>
      <c r="Q99" s="821">
        <v>45980.0</v>
      </c>
      <c r="R99" s="819">
        <v>950.0</v>
      </c>
      <c r="S99" s="822">
        <v>45950.0</v>
      </c>
      <c r="T99" s="819">
        <v>950.0</v>
      </c>
      <c r="U99" s="823">
        <v>45919.0</v>
      </c>
      <c r="V99" s="819">
        <v>950.0</v>
      </c>
      <c r="W99" s="824">
        <v>950.0</v>
      </c>
      <c r="X99" s="819"/>
      <c r="Y99" s="822"/>
      <c r="Z99" s="819"/>
      <c r="AA99" s="808"/>
      <c r="AB99" s="819"/>
      <c r="AC99" s="825"/>
      <c r="AD99" s="819"/>
      <c r="AE99" s="822"/>
      <c r="AF99" s="819"/>
      <c r="AG99" s="826"/>
      <c r="AH99" s="819"/>
      <c r="AI99" s="822"/>
      <c r="AJ99" s="819"/>
      <c r="AK99" s="808"/>
      <c r="AL99" s="827"/>
      <c r="AM99" s="827"/>
      <c r="AN99" s="827"/>
      <c r="AO99" s="827"/>
      <c r="AP99" s="827"/>
      <c r="AQ99" s="827"/>
      <c r="AR99" s="827"/>
      <c r="AS99" s="827"/>
    </row>
    <row r="100">
      <c r="A100" s="180"/>
      <c r="B100" s="181" t="s">
        <v>308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/>
      <c r="N100" s="828">
        <f>SUM(N4:N99)</f>
        <v>58900</v>
      </c>
      <c r="O100" s="828"/>
      <c r="P100" s="828">
        <f>SUM(P4:P99)</f>
        <v>46351.01</v>
      </c>
      <c r="Q100" s="828"/>
      <c r="R100" s="828">
        <f>SUM(R4:R99)</f>
        <v>45488</v>
      </c>
      <c r="S100" s="828"/>
      <c r="T100" s="828">
        <f>SUM(T4:T99)</f>
        <v>42624</v>
      </c>
      <c r="U100" s="828"/>
      <c r="V100" s="828">
        <f>SUM(V4:V99)</f>
        <v>40228.88</v>
      </c>
      <c r="W100" s="828"/>
      <c r="X100" s="828">
        <f>SUM(X4:X99)</f>
        <v>35438</v>
      </c>
      <c r="Y100" s="828"/>
      <c r="Z100" s="828">
        <f>SUM(Z4:Z99)</f>
        <v>32957</v>
      </c>
      <c r="AA100" s="828"/>
      <c r="AB100" s="828">
        <f>SUM(AB4:AB99)</f>
        <v>31656.4</v>
      </c>
      <c r="AC100" s="828"/>
      <c r="AD100" s="828">
        <f>SUM(AD4:AD99)</f>
        <v>28550.86</v>
      </c>
      <c r="AE100" s="828"/>
      <c r="AF100" s="828">
        <f>SUM(AF4:AF99)</f>
        <v>30923</v>
      </c>
      <c r="AG100" s="828"/>
      <c r="AH100" s="828">
        <f>SUM(AH4:AH99)</f>
        <v>28546</v>
      </c>
      <c r="AI100" s="828"/>
      <c r="AJ100" s="828">
        <f>SUM(AJ4:AJ99)</f>
        <v>26283.63</v>
      </c>
      <c r="AK100" s="299"/>
    </row>
    <row r="101">
      <c r="D101" s="209"/>
      <c r="E101" s="209"/>
      <c r="G101" s="90"/>
    </row>
    <row r="102">
      <c r="A102" s="829"/>
      <c r="B102" s="829"/>
      <c r="C102" s="829"/>
      <c r="D102" s="830"/>
      <c r="E102" s="830"/>
      <c r="F102" s="831"/>
      <c r="G102" s="832"/>
      <c r="H102" s="829"/>
      <c r="I102" s="829"/>
      <c r="J102" s="829"/>
      <c r="K102" s="829"/>
      <c r="L102" s="833" t="s">
        <v>381</v>
      </c>
      <c r="M102" s="829"/>
      <c r="N102" s="830">
        <f>SUM(N4:N14)</f>
        <v>8684</v>
      </c>
      <c r="O102" s="830"/>
      <c r="P102" s="830">
        <f>SUM(P4:P14)</f>
        <v>7878.01</v>
      </c>
      <c r="Q102" s="830"/>
      <c r="R102" s="830">
        <f>SUM(R4:R14)</f>
        <v>6703</v>
      </c>
      <c r="S102" s="830"/>
      <c r="T102" s="830">
        <f>SUM(T4:T14)</f>
        <v>6703</v>
      </c>
      <c r="U102" s="830"/>
      <c r="V102" s="830">
        <f>SUM(V4:V14)</f>
        <v>6038</v>
      </c>
      <c r="W102" s="830"/>
      <c r="X102" s="830">
        <f>SUM(X4:X14)</f>
        <v>6433</v>
      </c>
      <c r="Y102" s="830"/>
      <c r="Z102" s="830">
        <f>SUM(Z4:Z14)</f>
        <v>5203</v>
      </c>
      <c r="AA102" s="830"/>
      <c r="AB102" s="830">
        <f>SUM(AB4:AB14)</f>
        <v>5088</v>
      </c>
      <c r="AC102" s="830"/>
      <c r="AD102" s="830">
        <f>SUM(AD4:AD14)</f>
        <v>4505.93</v>
      </c>
      <c r="AE102" s="830"/>
      <c r="AF102" s="830">
        <f>SUM(AF4:AF14)</f>
        <v>4374</v>
      </c>
      <c r="AG102" s="830"/>
      <c r="AH102" s="830">
        <f>SUM(AH4:AH14)</f>
        <v>4798</v>
      </c>
      <c r="AI102" s="830"/>
      <c r="AJ102" s="830">
        <f>SUM(AJ4:AJ14)</f>
        <v>4094</v>
      </c>
      <c r="AK102" s="829"/>
      <c r="AL102" s="186">
        <f t="shared" ref="AL102:AL117" si="1">SUM(N102:AJ102)</f>
        <v>70501.94</v>
      </c>
      <c r="AM102" s="829"/>
      <c r="AN102" s="829"/>
      <c r="AO102" s="829"/>
      <c r="AP102" s="829"/>
      <c r="AQ102" s="829"/>
      <c r="AR102" s="829"/>
      <c r="AS102" s="829"/>
    </row>
    <row r="103">
      <c r="A103" s="829"/>
      <c r="B103" s="829"/>
      <c r="C103" s="829"/>
      <c r="D103" s="830"/>
      <c r="E103" s="830"/>
      <c r="F103" s="829"/>
      <c r="G103" s="832"/>
      <c r="H103" s="829"/>
      <c r="I103" s="829"/>
      <c r="J103" s="829"/>
      <c r="K103" s="829"/>
      <c r="L103" s="833" t="s">
        <v>417</v>
      </c>
      <c r="M103" s="829"/>
      <c r="N103" s="830">
        <f>SUM(N16:N17)</f>
        <v>1369</v>
      </c>
      <c r="O103" s="830"/>
      <c r="P103" s="830">
        <f>SUM(P16:P17)</f>
        <v>1099</v>
      </c>
      <c r="Q103" s="830"/>
      <c r="R103" s="830">
        <f>SUM(R16:R17)</f>
        <v>1099</v>
      </c>
      <c r="S103" s="830"/>
      <c r="T103" s="830">
        <f>SUM(T16:T17)</f>
        <v>1022</v>
      </c>
      <c r="U103" s="830"/>
      <c r="V103" s="830">
        <f>SUM(V16:V17)</f>
        <v>700</v>
      </c>
      <c r="W103" s="830"/>
      <c r="X103" s="830">
        <f>SUM(X16:X17)</f>
        <v>700</v>
      </c>
      <c r="Y103" s="830"/>
      <c r="Z103" s="830">
        <f>SUM(Z16:Z17)</f>
        <v>700</v>
      </c>
      <c r="AA103" s="830"/>
      <c r="AB103" s="830">
        <f>SUM(AB16:AB17)</f>
        <v>700</v>
      </c>
      <c r="AC103" s="830"/>
      <c r="AD103" s="830">
        <f>SUM(AD16:AD17)</f>
        <v>700</v>
      </c>
      <c r="AE103" s="830"/>
      <c r="AF103" s="830">
        <f>SUM(AF16:AF17)</f>
        <v>850</v>
      </c>
      <c r="AG103" s="830"/>
      <c r="AH103" s="830">
        <f>SUM(AH16:AH17)</f>
        <v>700</v>
      </c>
      <c r="AI103" s="830"/>
      <c r="AJ103" s="830">
        <f>SUM(AJ16:AJ17)</f>
        <v>700</v>
      </c>
      <c r="AK103" s="829"/>
      <c r="AL103" s="186">
        <f t="shared" si="1"/>
        <v>10339</v>
      </c>
      <c r="AM103" s="829"/>
      <c r="AN103" s="829"/>
      <c r="AO103" s="829"/>
      <c r="AP103" s="829"/>
      <c r="AQ103" s="829"/>
      <c r="AR103" s="829"/>
      <c r="AS103" s="829"/>
    </row>
    <row r="104">
      <c r="A104" s="829"/>
      <c r="B104" s="829"/>
      <c r="C104" s="829"/>
      <c r="D104" s="830"/>
      <c r="E104" s="830"/>
      <c r="F104" s="829"/>
      <c r="G104" s="832"/>
      <c r="H104" s="829"/>
      <c r="I104" s="829"/>
      <c r="J104" s="829"/>
      <c r="K104" s="829"/>
      <c r="L104" s="833" t="s">
        <v>465</v>
      </c>
      <c r="M104" s="829"/>
      <c r="N104" s="830">
        <f>SUM(N41:N47)</f>
        <v>5118</v>
      </c>
      <c r="O104" s="830"/>
      <c r="P104" s="830">
        <f>SUM(P41:P47)</f>
        <v>4798</v>
      </c>
      <c r="Q104" s="830"/>
      <c r="R104" s="830">
        <f>SUM(R41:R47)</f>
        <v>4798</v>
      </c>
      <c r="S104" s="830"/>
      <c r="T104" s="830">
        <f>SUM(T41:T47)</f>
        <v>4798</v>
      </c>
      <c r="U104" s="830"/>
      <c r="V104" s="830">
        <f>SUM(V41:V47)</f>
        <v>4798</v>
      </c>
      <c r="W104" s="830"/>
      <c r="X104" s="830">
        <f>SUM(X41:X47)</f>
        <v>4798</v>
      </c>
      <c r="Y104" s="830"/>
      <c r="Z104" s="830">
        <f>SUM(Z41:Z47)</f>
        <v>4798</v>
      </c>
      <c r="AA104" s="830"/>
      <c r="AB104" s="830">
        <f>SUM(AB41:AB47)</f>
        <v>4843</v>
      </c>
      <c r="AC104" s="830"/>
      <c r="AD104" s="830">
        <f>SUM(AD41:AD47)</f>
        <v>4843</v>
      </c>
      <c r="AE104" s="830"/>
      <c r="AF104" s="830">
        <f>SUM(AF41:AF47)</f>
        <v>4533</v>
      </c>
      <c r="AG104" s="830"/>
      <c r="AH104" s="830">
        <f>SUM(AH41:AH47)</f>
        <v>4533</v>
      </c>
      <c r="AI104" s="830"/>
      <c r="AJ104" s="830">
        <f>SUM(AJ41:AJ47)</f>
        <v>4533</v>
      </c>
      <c r="AK104" s="829"/>
      <c r="AL104" s="186">
        <f t="shared" si="1"/>
        <v>57191</v>
      </c>
      <c r="AM104" s="829"/>
      <c r="AN104" s="829"/>
      <c r="AO104" s="829"/>
      <c r="AP104" s="829"/>
      <c r="AQ104" s="829"/>
      <c r="AR104" s="829"/>
      <c r="AS104" s="829"/>
    </row>
    <row r="105">
      <c r="A105" s="829"/>
      <c r="B105" s="829"/>
      <c r="C105" s="829"/>
      <c r="D105" s="830"/>
      <c r="E105" s="830"/>
      <c r="F105" s="829"/>
      <c r="G105" s="832"/>
      <c r="H105" s="829"/>
      <c r="I105" s="829"/>
      <c r="J105" s="829"/>
      <c r="K105" s="829"/>
      <c r="L105" s="833" t="s">
        <v>477</v>
      </c>
      <c r="M105" s="829"/>
      <c r="N105" s="834">
        <f>N48</f>
        <v>1471</v>
      </c>
      <c r="O105" s="834"/>
      <c r="P105" s="834">
        <f>P48</f>
        <v>1273</v>
      </c>
      <c r="Q105" s="834"/>
      <c r="R105" s="834">
        <f>R48</f>
        <v>1273</v>
      </c>
      <c r="S105" s="834"/>
      <c r="T105" s="834">
        <f>T48</f>
        <v>1132</v>
      </c>
      <c r="U105" s="834"/>
      <c r="V105" s="834">
        <f>V48</f>
        <v>1074</v>
      </c>
      <c r="W105" s="834"/>
      <c r="X105" s="834">
        <f>X48</f>
        <v>938</v>
      </c>
      <c r="Y105" s="834"/>
      <c r="Z105" s="834">
        <f>Z48</f>
        <v>1566</v>
      </c>
      <c r="AA105" s="834"/>
      <c r="AB105" s="834">
        <f>AB48</f>
        <v>1493</v>
      </c>
      <c r="AC105" s="834"/>
      <c r="AD105" s="834">
        <f>AD48</f>
        <v>1393</v>
      </c>
      <c r="AE105" s="834"/>
      <c r="AF105" s="834">
        <f>AF48</f>
        <v>1393</v>
      </c>
      <c r="AG105" s="834"/>
      <c r="AH105" s="834">
        <f>AH48</f>
        <v>1393</v>
      </c>
      <c r="AI105" s="834"/>
      <c r="AJ105" s="834">
        <f>AJ48</f>
        <v>1393</v>
      </c>
      <c r="AK105" s="829"/>
      <c r="AL105" s="186">
        <f t="shared" si="1"/>
        <v>15792</v>
      </c>
      <c r="AM105" s="829"/>
      <c r="AN105" s="829"/>
      <c r="AO105" s="829"/>
      <c r="AP105" s="829"/>
      <c r="AQ105" s="829"/>
      <c r="AR105" s="829"/>
      <c r="AS105" s="829"/>
    </row>
    <row r="106">
      <c r="A106" s="829"/>
      <c r="B106" s="829"/>
      <c r="C106" s="829"/>
      <c r="D106" s="830"/>
      <c r="E106" s="830"/>
      <c r="F106" s="829"/>
      <c r="G106" s="832"/>
      <c r="H106" s="829"/>
      <c r="I106" s="829"/>
      <c r="J106" s="829"/>
      <c r="K106" s="829"/>
      <c r="L106" s="833" t="s">
        <v>479</v>
      </c>
      <c r="M106" s="829"/>
      <c r="N106" s="834">
        <f>SUM(N49:N78)</f>
        <v>20257</v>
      </c>
      <c r="O106" s="834"/>
      <c r="P106" s="834">
        <f>SUM(P49:P78)</f>
        <v>17558</v>
      </c>
      <c r="Q106" s="834"/>
      <c r="R106" s="834">
        <f>SUM(R49:R78)</f>
        <v>20113</v>
      </c>
      <c r="S106" s="834"/>
      <c r="T106" s="834">
        <f>SUM(T49:T78)</f>
        <v>17263</v>
      </c>
      <c r="U106" s="834"/>
      <c r="V106" s="834">
        <f>SUM(V49:V78)</f>
        <v>16384.3</v>
      </c>
      <c r="W106" s="834"/>
      <c r="X106" s="834">
        <f>SUM(X49:X78)</f>
        <v>15957</v>
      </c>
      <c r="Y106" s="834"/>
      <c r="Z106" s="834">
        <f>SUM(Z49:Z78)</f>
        <v>15419</v>
      </c>
      <c r="AA106" s="834"/>
      <c r="AB106" s="834">
        <f>SUM(AB49:AB78)</f>
        <v>14680.62</v>
      </c>
      <c r="AC106" s="834"/>
      <c r="AD106" s="834">
        <f>SUM(AD49:AD78)</f>
        <v>12670</v>
      </c>
      <c r="AE106" s="834"/>
      <c r="AF106" s="834">
        <f>SUM(AF49:AF78)</f>
        <v>14715</v>
      </c>
      <c r="AG106" s="834"/>
      <c r="AH106" s="834">
        <f>SUM(AH49:AH78)</f>
        <v>11854</v>
      </c>
      <c r="AI106" s="834"/>
      <c r="AJ106" s="834">
        <f>SUM(AJ49:AJ78)</f>
        <v>10909.01</v>
      </c>
      <c r="AK106" s="829"/>
      <c r="AL106" s="186">
        <f t="shared" si="1"/>
        <v>187779.93</v>
      </c>
      <c r="AM106" s="829"/>
      <c r="AN106" s="829"/>
      <c r="AO106" s="829"/>
      <c r="AP106" s="829"/>
      <c r="AQ106" s="829"/>
      <c r="AR106" s="829"/>
      <c r="AS106" s="829"/>
    </row>
    <row r="107">
      <c r="A107" s="829"/>
      <c r="B107" s="829"/>
      <c r="C107" s="829"/>
      <c r="D107" s="830"/>
      <c r="E107" s="830"/>
      <c r="F107" s="829"/>
      <c r="G107" s="832"/>
      <c r="H107" s="829"/>
      <c r="I107" s="829"/>
      <c r="J107" s="829"/>
      <c r="K107" s="829"/>
      <c r="L107" s="833" t="s">
        <v>540</v>
      </c>
      <c r="M107" s="829"/>
      <c r="N107" s="830">
        <f>SUM(N79:N86)</f>
        <v>6555</v>
      </c>
      <c r="O107" s="830"/>
      <c r="P107" s="830">
        <f>SUM(P79:P86)</f>
        <v>6399</v>
      </c>
      <c r="Q107" s="830"/>
      <c r="R107" s="830">
        <f>SUM(R79:R86)</f>
        <v>4458</v>
      </c>
      <c r="S107" s="830"/>
      <c r="T107" s="830">
        <f>SUM(T79:T86)</f>
        <v>4763</v>
      </c>
      <c r="U107" s="830"/>
      <c r="V107" s="830">
        <f>SUM(V79:V86)</f>
        <v>4641</v>
      </c>
      <c r="W107" s="830"/>
      <c r="X107" s="830">
        <f>SUM(X79:X86)</f>
        <v>1311</v>
      </c>
      <c r="Y107" s="830"/>
      <c r="Z107" s="830">
        <f>SUM(Z79:Z86)</f>
        <v>0</v>
      </c>
      <c r="AA107" s="830"/>
      <c r="AB107" s="830">
        <f>SUM(AB79:AB86)</f>
        <v>0</v>
      </c>
      <c r="AC107" s="830"/>
      <c r="AD107" s="830">
        <f>SUM(AD79:AD86)</f>
        <v>0</v>
      </c>
      <c r="AE107" s="830"/>
      <c r="AF107" s="830">
        <f>SUM(AF79:AF86)</f>
        <v>0</v>
      </c>
      <c r="AG107" s="830"/>
      <c r="AH107" s="830">
        <f>SUM(AH79:AH86)</f>
        <v>0</v>
      </c>
      <c r="AI107" s="830"/>
      <c r="AJ107" s="830">
        <f>SUM(AJ79:AJ86)</f>
        <v>0</v>
      </c>
      <c r="AK107" s="829"/>
      <c r="AL107" s="186">
        <f t="shared" si="1"/>
        <v>28127</v>
      </c>
      <c r="AM107" s="829"/>
      <c r="AN107" s="829"/>
      <c r="AO107" s="829"/>
      <c r="AP107" s="829"/>
      <c r="AQ107" s="829"/>
      <c r="AR107" s="829"/>
      <c r="AS107" s="829"/>
    </row>
    <row r="108">
      <c r="A108" s="829"/>
      <c r="B108" s="829"/>
      <c r="C108" s="829"/>
      <c r="D108" s="830"/>
      <c r="E108" s="830"/>
      <c r="F108" s="829"/>
      <c r="G108" s="832"/>
      <c r="H108" s="829"/>
      <c r="I108" s="829"/>
      <c r="J108" s="829"/>
      <c r="K108" s="829"/>
      <c r="L108" s="833" t="s">
        <v>560</v>
      </c>
      <c r="M108" s="829"/>
      <c r="N108" s="830">
        <f t="shared" ref="N108:N109" si="3">N87</f>
        <v>600</v>
      </c>
      <c r="O108" s="830"/>
      <c r="P108" s="830">
        <f>P87</f>
        <v>450</v>
      </c>
      <c r="Q108" s="830"/>
      <c r="R108" s="830" t="str">
        <f t="shared" ref="R108:AJ108" si="2">R87</f>
        <v/>
      </c>
      <c r="S108" s="830" t="str">
        <f t="shared" si="2"/>
        <v/>
      </c>
      <c r="T108" s="830" t="str">
        <f t="shared" si="2"/>
        <v/>
      </c>
      <c r="U108" s="830" t="str">
        <f t="shared" si="2"/>
        <v/>
      </c>
      <c r="V108" s="830" t="str">
        <f t="shared" si="2"/>
        <v/>
      </c>
      <c r="W108" s="830" t="str">
        <f t="shared" si="2"/>
        <v/>
      </c>
      <c r="X108" s="830" t="str">
        <f t="shared" si="2"/>
        <v/>
      </c>
      <c r="Y108" s="830" t="str">
        <f t="shared" si="2"/>
        <v/>
      </c>
      <c r="Z108" s="830" t="str">
        <f t="shared" si="2"/>
        <v/>
      </c>
      <c r="AA108" s="830" t="str">
        <f t="shared" si="2"/>
        <v/>
      </c>
      <c r="AB108" s="830" t="str">
        <f t="shared" si="2"/>
        <v/>
      </c>
      <c r="AC108" s="830" t="str">
        <f t="shared" si="2"/>
        <v/>
      </c>
      <c r="AD108" s="830" t="str">
        <f t="shared" si="2"/>
        <v/>
      </c>
      <c r="AE108" s="830" t="str">
        <f t="shared" si="2"/>
        <v/>
      </c>
      <c r="AF108" s="830" t="str">
        <f t="shared" si="2"/>
        <v/>
      </c>
      <c r="AG108" s="830" t="str">
        <f t="shared" si="2"/>
        <v/>
      </c>
      <c r="AH108" s="830" t="str">
        <f t="shared" si="2"/>
        <v/>
      </c>
      <c r="AI108" s="830" t="str">
        <f t="shared" si="2"/>
        <v/>
      </c>
      <c r="AJ108" s="830" t="str">
        <f t="shared" si="2"/>
        <v/>
      </c>
      <c r="AK108" s="829"/>
      <c r="AL108" s="186">
        <f t="shared" si="1"/>
        <v>1050</v>
      </c>
      <c r="AM108" s="829"/>
      <c r="AN108" s="829"/>
      <c r="AO108" s="829"/>
      <c r="AP108" s="829"/>
      <c r="AQ108" s="829"/>
      <c r="AR108" s="829"/>
      <c r="AS108" s="829"/>
    </row>
    <row r="109">
      <c r="A109" s="829"/>
      <c r="B109" s="829"/>
      <c r="C109" s="829"/>
      <c r="D109" s="830"/>
      <c r="E109" s="830"/>
      <c r="F109" s="829"/>
      <c r="G109" s="832"/>
      <c r="H109" s="829"/>
      <c r="I109" s="829"/>
      <c r="J109" s="829"/>
      <c r="K109" s="829"/>
      <c r="L109" s="833" t="s">
        <v>562</v>
      </c>
      <c r="M109" s="829"/>
      <c r="N109" s="830" t="str">
        <f t="shared" si="3"/>
        <v/>
      </c>
      <c r="O109" s="829"/>
      <c r="P109" s="829"/>
      <c r="Q109" s="829"/>
      <c r="R109" s="829"/>
      <c r="S109" s="829"/>
      <c r="T109" s="829"/>
      <c r="U109" s="829"/>
      <c r="V109" s="829"/>
      <c r="W109" s="829"/>
      <c r="X109" s="829"/>
      <c r="Y109" s="829"/>
      <c r="Z109" s="829"/>
      <c r="AA109" s="829"/>
      <c r="AB109" s="829"/>
      <c r="AC109" s="829"/>
      <c r="AD109" s="829"/>
      <c r="AE109" s="829"/>
      <c r="AF109" s="829"/>
      <c r="AG109" s="829"/>
      <c r="AH109" s="829"/>
      <c r="AI109" s="829"/>
      <c r="AJ109" s="829"/>
      <c r="AK109" s="829"/>
      <c r="AL109" s="186">
        <f t="shared" si="1"/>
        <v>0</v>
      </c>
      <c r="AM109" s="829"/>
      <c r="AN109" s="829"/>
      <c r="AO109" s="829"/>
      <c r="AP109" s="829"/>
      <c r="AQ109" s="829"/>
      <c r="AR109" s="829"/>
      <c r="AS109" s="829"/>
    </row>
    <row r="110">
      <c r="A110" s="829"/>
      <c r="B110" s="829"/>
      <c r="C110" s="829"/>
      <c r="D110" s="830"/>
      <c r="E110" s="830"/>
      <c r="F110" s="829"/>
      <c r="G110" s="832"/>
      <c r="H110" s="829"/>
      <c r="I110" s="829"/>
      <c r="J110" s="829"/>
      <c r="K110" s="829"/>
      <c r="L110" s="833" t="s">
        <v>564</v>
      </c>
      <c r="M110" s="829"/>
      <c r="N110" s="830">
        <f>SUM(N89:N91)</f>
        <v>9368</v>
      </c>
      <c r="O110" s="830"/>
      <c r="P110" s="830">
        <f>SUM(P89:P91)</f>
        <v>1548</v>
      </c>
      <c r="Q110" s="830"/>
      <c r="R110" s="830">
        <f>SUM(R89:R91)</f>
        <v>1696</v>
      </c>
      <c r="S110" s="830"/>
      <c r="T110" s="830">
        <f>SUM(T89:T91)</f>
        <v>2369</v>
      </c>
      <c r="U110" s="830"/>
      <c r="V110" s="830">
        <f>SUM(V89:V91)</f>
        <v>1548</v>
      </c>
      <c r="W110" s="830"/>
      <c r="X110" s="830">
        <f>SUM(X89:X91)</f>
        <v>1548</v>
      </c>
      <c r="Y110" s="830"/>
      <c r="Z110" s="830">
        <f>SUM(Z89:Z91)</f>
        <v>1548</v>
      </c>
      <c r="AA110" s="830"/>
      <c r="AB110" s="830">
        <f>SUM(AB89:AB91)</f>
        <v>1548</v>
      </c>
      <c r="AC110" s="830"/>
      <c r="AD110" s="830">
        <f>SUM(AD89:AD91)</f>
        <v>1548</v>
      </c>
      <c r="AE110" s="830"/>
      <c r="AF110" s="830">
        <f>SUM(AF89:AF91)</f>
        <v>1548</v>
      </c>
      <c r="AG110" s="830"/>
      <c r="AH110" s="830">
        <f>SUM(AH89:AH91)</f>
        <v>1548</v>
      </c>
      <c r="AI110" s="830"/>
      <c r="AJ110" s="830">
        <f>SUM(AJ89:AJ91)</f>
        <v>1548</v>
      </c>
      <c r="AK110" s="829"/>
      <c r="AL110" s="186">
        <f t="shared" si="1"/>
        <v>27365</v>
      </c>
      <c r="AM110" s="829"/>
      <c r="AN110" s="829"/>
      <c r="AO110" s="829"/>
      <c r="AP110" s="829"/>
      <c r="AQ110" s="829"/>
      <c r="AR110" s="829"/>
      <c r="AS110" s="829"/>
    </row>
    <row r="111">
      <c r="A111" s="829"/>
      <c r="B111" s="829"/>
      <c r="C111" s="829"/>
      <c r="D111" s="830"/>
      <c r="E111" s="830"/>
      <c r="F111" s="829"/>
      <c r="G111" s="832"/>
      <c r="H111" s="829"/>
      <c r="I111" s="829"/>
      <c r="J111" s="829"/>
      <c r="K111" s="829"/>
      <c r="L111" s="833" t="s">
        <v>568</v>
      </c>
      <c r="M111" s="829"/>
      <c r="N111" s="830">
        <f>N92</f>
        <v>910</v>
      </c>
      <c r="O111" s="830"/>
      <c r="P111" s="830">
        <f>P92</f>
        <v>780</v>
      </c>
      <c r="Q111" s="830"/>
      <c r="R111" s="830">
        <f>R92</f>
        <v>780</v>
      </c>
      <c r="S111" s="830"/>
      <c r="T111" s="830">
        <f>T92</f>
        <v>780</v>
      </c>
      <c r="U111" s="830"/>
      <c r="V111" s="830">
        <f>V92</f>
        <v>780</v>
      </c>
      <c r="W111" s="830"/>
      <c r="X111" s="830">
        <f>X92</f>
        <v>780</v>
      </c>
      <c r="Y111" s="830"/>
      <c r="Z111" s="830">
        <f>Z92</f>
        <v>780</v>
      </c>
      <c r="AA111" s="830"/>
      <c r="AB111" s="830">
        <f>AB92</f>
        <v>780</v>
      </c>
      <c r="AC111" s="830"/>
      <c r="AD111" s="830">
        <f>AD92</f>
        <v>780</v>
      </c>
      <c r="AE111" s="830"/>
      <c r="AF111" s="830">
        <f>AF92</f>
        <v>650</v>
      </c>
      <c r="AG111" s="830"/>
      <c r="AH111" s="830">
        <f>AH92</f>
        <v>650</v>
      </c>
      <c r="AI111" s="830"/>
      <c r="AJ111" s="830">
        <f>AJ92</f>
        <v>650</v>
      </c>
      <c r="AK111" s="829"/>
      <c r="AL111" s="186">
        <f t="shared" si="1"/>
        <v>9100</v>
      </c>
      <c r="AM111" s="829"/>
      <c r="AN111" s="829"/>
      <c r="AO111" s="829"/>
      <c r="AP111" s="829"/>
      <c r="AQ111" s="829"/>
      <c r="AR111" s="829"/>
      <c r="AS111" s="829"/>
    </row>
    <row r="112">
      <c r="A112" s="829"/>
      <c r="B112" s="829"/>
      <c r="C112" s="829"/>
      <c r="D112" s="830"/>
      <c r="E112" s="830"/>
      <c r="F112" s="829"/>
      <c r="G112" s="832"/>
      <c r="H112" s="829"/>
      <c r="I112" s="829"/>
      <c r="J112" s="829"/>
      <c r="K112" s="829"/>
      <c r="L112" s="835" t="s">
        <v>571</v>
      </c>
      <c r="M112" s="836"/>
      <c r="N112" s="837">
        <f>SUM(N93:N94)</f>
        <v>849</v>
      </c>
      <c r="O112" s="837"/>
      <c r="P112" s="837">
        <f>SUM(P93:P94)</f>
        <v>849</v>
      </c>
      <c r="Q112" s="837"/>
      <c r="R112" s="837">
        <f>SUM(R93:R94)</f>
        <v>849</v>
      </c>
      <c r="S112" s="837"/>
      <c r="T112" s="837">
        <f>SUM(T93:T94)</f>
        <v>849</v>
      </c>
      <c r="U112" s="837"/>
      <c r="V112" s="837">
        <f>SUM(V93:V94)</f>
        <v>546.58</v>
      </c>
      <c r="W112" s="837"/>
      <c r="X112" s="837">
        <f>SUM(X93:X94)</f>
        <v>474</v>
      </c>
      <c r="Y112" s="837"/>
      <c r="Z112" s="837">
        <f>SUM(Z93:Z94)</f>
        <v>474</v>
      </c>
      <c r="AA112" s="837"/>
      <c r="AB112" s="837">
        <f>SUM(AB93:AB94)</f>
        <v>54.78</v>
      </c>
      <c r="AC112" s="837"/>
      <c r="AD112" s="837">
        <f>SUM(AD93:AD94)</f>
        <v>0</v>
      </c>
      <c r="AE112" s="837"/>
      <c r="AF112" s="837">
        <f>SUM(AF93:AF94)</f>
        <v>550</v>
      </c>
      <c r="AG112" s="837"/>
      <c r="AH112" s="837">
        <f>SUM(AH93:AH94)</f>
        <v>550</v>
      </c>
      <c r="AI112" s="837"/>
      <c r="AJ112" s="837">
        <f>SUM(AJ93:AJ94)</f>
        <v>550</v>
      </c>
      <c r="AK112" s="836"/>
      <c r="AL112" s="838">
        <f t="shared" si="1"/>
        <v>6595.36</v>
      </c>
      <c r="AM112" s="829"/>
      <c r="AN112" s="829"/>
      <c r="AO112" s="829"/>
      <c r="AP112" s="829"/>
      <c r="AQ112" s="829"/>
      <c r="AR112" s="829"/>
      <c r="AS112" s="829"/>
    </row>
    <row r="113">
      <c r="A113" s="829"/>
      <c r="B113" s="829"/>
      <c r="C113" s="829"/>
      <c r="D113" s="830"/>
      <c r="E113" s="830"/>
      <c r="F113" s="829"/>
      <c r="G113" s="832"/>
      <c r="H113" s="829"/>
      <c r="I113" s="829"/>
      <c r="J113" s="829"/>
      <c r="K113" s="829"/>
      <c r="L113" s="833" t="s">
        <v>576</v>
      </c>
      <c r="M113" s="829"/>
      <c r="N113" s="830">
        <f t="shared" ref="N113:N117" si="6">N95</f>
        <v>774</v>
      </c>
      <c r="O113" s="830"/>
      <c r="P113" s="830">
        <f t="shared" ref="P113:P117" si="7">P95</f>
        <v>774</v>
      </c>
      <c r="Q113" s="830"/>
      <c r="R113" s="830">
        <f t="shared" ref="R113:R117" si="8">R95</f>
        <v>774</v>
      </c>
      <c r="S113" s="830"/>
      <c r="T113" s="830">
        <f t="shared" ref="T113:V113" si="4">T95</f>
        <v>0</v>
      </c>
      <c r="U113" s="830" t="str">
        <f t="shared" si="4"/>
        <v/>
      </c>
      <c r="V113" s="830">
        <f t="shared" si="4"/>
        <v>774</v>
      </c>
      <c r="W113" s="830"/>
      <c r="X113" s="830">
        <f t="shared" ref="X113:X117" si="9">X95</f>
        <v>504</v>
      </c>
      <c r="Y113" s="830"/>
      <c r="Z113" s="830">
        <f t="shared" ref="Z113:Z116" si="10">Z95</f>
        <v>474</v>
      </c>
      <c r="AA113" s="830"/>
      <c r="AB113" s="830">
        <f t="shared" ref="AB113:AB116" si="11">AB95</f>
        <v>474</v>
      </c>
      <c r="AC113" s="830"/>
      <c r="AD113" s="830">
        <f t="shared" ref="AD113:AD116" si="12">AD95</f>
        <v>115.93</v>
      </c>
      <c r="AE113" s="830"/>
      <c r="AF113" s="830" t="str">
        <f t="shared" ref="AF113:AH113" si="5">AF95</f>
        <v/>
      </c>
      <c r="AG113" s="830" t="str">
        <f t="shared" si="5"/>
        <v/>
      </c>
      <c r="AH113" s="830">
        <f t="shared" si="5"/>
        <v>525</v>
      </c>
      <c r="AI113" s="830"/>
      <c r="AJ113" s="830" t="str">
        <f t="shared" ref="AJ113:AJ116" si="13">AJ95</f>
        <v/>
      </c>
      <c r="AK113" s="829"/>
      <c r="AL113" s="186">
        <f t="shared" si="1"/>
        <v>5188.93</v>
      </c>
      <c r="AM113" s="829"/>
      <c r="AN113" s="829"/>
      <c r="AO113" s="829"/>
      <c r="AP113" s="829"/>
      <c r="AQ113" s="829"/>
      <c r="AR113" s="829"/>
      <c r="AS113" s="829"/>
    </row>
    <row r="114">
      <c r="A114" s="829"/>
      <c r="B114" s="829"/>
      <c r="C114" s="829"/>
      <c r="D114" s="830"/>
      <c r="E114" s="830"/>
      <c r="F114" s="829"/>
      <c r="G114" s="832"/>
      <c r="H114" s="829"/>
      <c r="I114" s="829"/>
      <c r="J114" s="829"/>
      <c r="K114" s="829"/>
      <c r="L114" s="833" t="s">
        <v>581</v>
      </c>
      <c r="M114" s="829"/>
      <c r="N114" s="830">
        <f t="shared" si="6"/>
        <v>680</v>
      </c>
      <c r="O114" s="830"/>
      <c r="P114" s="830">
        <f t="shared" si="7"/>
        <v>680</v>
      </c>
      <c r="Q114" s="830"/>
      <c r="R114" s="830">
        <f t="shared" si="8"/>
        <v>680</v>
      </c>
      <c r="S114" s="830"/>
      <c r="T114" s="830">
        <f t="shared" ref="T114:T117" si="14">T96</f>
        <v>680</v>
      </c>
      <c r="U114" s="830"/>
      <c r="V114" s="830">
        <f t="shared" ref="V114:V117" si="15">V96</f>
        <v>680</v>
      </c>
      <c r="W114" s="830"/>
      <c r="X114" s="830">
        <f t="shared" si="9"/>
        <v>680</v>
      </c>
      <c r="Y114" s="830"/>
      <c r="Z114" s="830">
        <f t="shared" si="10"/>
        <v>680</v>
      </c>
      <c r="AA114" s="830"/>
      <c r="AB114" s="830">
        <f t="shared" si="11"/>
        <v>680</v>
      </c>
      <c r="AC114" s="830"/>
      <c r="AD114" s="830">
        <f t="shared" si="12"/>
        <v>680</v>
      </c>
      <c r="AE114" s="830"/>
      <c r="AF114" s="830">
        <f t="shared" ref="AF114:AF116" si="16">AF96</f>
        <v>995</v>
      </c>
      <c r="AG114" s="830"/>
      <c r="AH114" s="830">
        <f t="shared" ref="AH114:AH116" si="17">AH96</f>
        <v>680</v>
      </c>
      <c r="AI114" s="830"/>
      <c r="AJ114" s="830">
        <f t="shared" si="13"/>
        <v>680</v>
      </c>
      <c r="AK114" s="829"/>
      <c r="AL114" s="186">
        <f t="shared" si="1"/>
        <v>8475</v>
      </c>
      <c r="AM114" s="829"/>
      <c r="AN114" s="829"/>
      <c r="AO114" s="829"/>
      <c r="AP114" s="829"/>
      <c r="AQ114" s="829"/>
      <c r="AR114" s="829"/>
      <c r="AS114" s="829"/>
    </row>
    <row r="115">
      <c r="A115" s="829"/>
      <c r="B115" s="829"/>
      <c r="C115" s="829"/>
      <c r="D115" s="830"/>
      <c r="E115" s="830"/>
      <c r="F115" s="829"/>
      <c r="G115" s="832"/>
      <c r="H115" s="829"/>
      <c r="I115" s="829"/>
      <c r="J115" s="829"/>
      <c r="K115" s="829"/>
      <c r="L115" s="833" t="s">
        <v>586</v>
      </c>
      <c r="M115" s="829"/>
      <c r="N115" s="830">
        <f t="shared" si="6"/>
        <v>685</v>
      </c>
      <c r="O115" s="830"/>
      <c r="P115" s="830">
        <f t="shared" si="7"/>
        <v>685</v>
      </c>
      <c r="Q115" s="830"/>
      <c r="R115" s="830">
        <f t="shared" si="8"/>
        <v>685</v>
      </c>
      <c r="S115" s="830"/>
      <c r="T115" s="830">
        <f t="shared" si="14"/>
        <v>685</v>
      </c>
      <c r="U115" s="830"/>
      <c r="V115" s="830">
        <f t="shared" si="15"/>
        <v>685</v>
      </c>
      <c r="W115" s="830"/>
      <c r="X115" s="830">
        <f t="shared" si="9"/>
        <v>685</v>
      </c>
      <c r="Y115" s="830"/>
      <c r="Z115" s="830">
        <f t="shared" si="10"/>
        <v>685</v>
      </c>
      <c r="AA115" s="830"/>
      <c r="AB115" s="830">
        <f t="shared" si="11"/>
        <v>685</v>
      </c>
      <c r="AC115" s="830"/>
      <c r="AD115" s="830">
        <f t="shared" si="12"/>
        <v>685</v>
      </c>
      <c r="AE115" s="830"/>
      <c r="AF115" s="830">
        <f t="shared" si="16"/>
        <v>685</v>
      </c>
      <c r="AG115" s="830"/>
      <c r="AH115" s="830">
        <f t="shared" si="17"/>
        <v>685</v>
      </c>
      <c r="AI115" s="830"/>
      <c r="AJ115" s="830">
        <f t="shared" si="13"/>
        <v>645</v>
      </c>
      <c r="AK115" s="829"/>
      <c r="AL115" s="186">
        <f t="shared" si="1"/>
        <v>8180</v>
      </c>
      <c r="AM115" s="829"/>
      <c r="AN115" s="829"/>
      <c r="AO115" s="829"/>
      <c r="AP115" s="829"/>
      <c r="AQ115" s="829"/>
      <c r="AR115" s="829"/>
      <c r="AS115" s="829"/>
    </row>
    <row r="116">
      <c r="A116" s="829"/>
      <c r="B116" s="829"/>
      <c r="C116" s="829"/>
      <c r="D116" s="830"/>
      <c r="E116" s="830"/>
      <c r="F116" s="829"/>
      <c r="G116" s="832"/>
      <c r="H116" s="829"/>
      <c r="I116" s="829"/>
      <c r="J116" s="829"/>
      <c r="K116" s="829"/>
      <c r="L116" s="833" t="s">
        <v>588</v>
      </c>
      <c r="M116" s="829"/>
      <c r="N116" s="830">
        <f t="shared" si="6"/>
        <v>630</v>
      </c>
      <c r="O116" s="830"/>
      <c r="P116" s="830">
        <f t="shared" si="7"/>
        <v>630</v>
      </c>
      <c r="Q116" s="830"/>
      <c r="R116" s="830">
        <f t="shared" si="8"/>
        <v>630</v>
      </c>
      <c r="S116" s="830"/>
      <c r="T116" s="830">
        <f t="shared" si="14"/>
        <v>630</v>
      </c>
      <c r="U116" s="830"/>
      <c r="V116" s="830">
        <f t="shared" si="15"/>
        <v>630</v>
      </c>
      <c r="W116" s="830"/>
      <c r="X116" s="830">
        <f t="shared" si="9"/>
        <v>630</v>
      </c>
      <c r="Y116" s="830"/>
      <c r="Z116" s="830">
        <f t="shared" si="10"/>
        <v>630</v>
      </c>
      <c r="AA116" s="830"/>
      <c r="AB116" s="830">
        <f t="shared" si="11"/>
        <v>630</v>
      </c>
      <c r="AC116" s="830"/>
      <c r="AD116" s="830">
        <f t="shared" si="12"/>
        <v>630</v>
      </c>
      <c r="AE116" s="830"/>
      <c r="AF116" s="830">
        <f t="shared" si="16"/>
        <v>630</v>
      </c>
      <c r="AG116" s="830"/>
      <c r="AH116" s="830">
        <f t="shared" si="17"/>
        <v>630</v>
      </c>
      <c r="AI116" s="830"/>
      <c r="AJ116" s="830">
        <f t="shared" si="13"/>
        <v>581.62</v>
      </c>
      <c r="AK116" s="829"/>
      <c r="AL116" s="186">
        <f t="shared" si="1"/>
        <v>7511.62</v>
      </c>
      <c r="AM116" s="829"/>
      <c r="AN116" s="829"/>
      <c r="AO116" s="829"/>
      <c r="AP116" s="829"/>
      <c r="AQ116" s="829"/>
      <c r="AR116" s="829"/>
      <c r="AS116" s="829"/>
    </row>
    <row r="117">
      <c r="A117" s="829"/>
      <c r="B117" s="829"/>
      <c r="C117" s="829"/>
      <c r="D117" s="830"/>
      <c r="E117" s="830"/>
      <c r="F117" s="829"/>
      <c r="G117" s="832"/>
      <c r="H117" s="829"/>
      <c r="I117" s="829"/>
      <c r="J117" s="829"/>
      <c r="K117" s="829"/>
      <c r="L117" s="833" t="s">
        <v>590</v>
      </c>
      <c r="M117" s="829"/>
      <c r="N117" s="830">
        <f t="shared" si="6"/>
        <v>950</v>
      </c>
      <c r="O117" s="830"/>
      <c r="P117" s="830">
        <f t="shared" si="7"/>
        <v>950</v>
      </c>
      <c r="Q117" s="830"/>
      <c r="R117" s="830">
        <f t="shared" si="8"/>
        <v>950</v>
      </c>
      <c r="S117" s="830"/>
      <c r="T117" s="830">
        <f t="shared" si="14"/>
        <v>950</v>
      </c>
      <c r="U117" s="830"/>
      <c r="V117" s="830">
        <f t="shared" si="15"/>
        <v>950</v>
      </c>
      <c r="W117" s="830"/>
      <c r="X117" s="830" t="str">
        <f t="shared" si="9"/>
        <v/>
      </c>
      <c r="Y117" s="830" t="str">
        <f t="shared" ref="Y117:AJ117" si="18">Y99</f>
        <v/>
      </c>
      <c r="Z117" s="830" t="str">
        <f t="shared" si="18"/>
        <v/>
      </c>
      <c r="AA117" s="830" t="str">
        <f t="shared" si="18"/>
        <v/>
      </c>
      <c r="AB117" s="830" t="str">
        <f t="shared" si="18"/>
        <v/>
      </c>
      <c r="AC117" s="830" t="str">
        <f t="shared" si="18"/>
        <v/>
      </c>
      <c r="AD117" s="830" t="str">
        <f t="shared" si="18"/>
        <v/>
      </c>
      <c r="AE117" s="830" t="str">
        <f t="shared" si="18"/>
        <v/>
      </c>
      <c r="AF117" s="830" t="str">
        <f t="shared" si="18"/>
        <v/>
      </c>
      <c r="AG117" s="830" t="str">
        <f t="shared" si="18"/>
        <v/>
      </c>
      <c r="AH117" s="830" t="str">
        <f t="shared" si="18"/>
        <v/>
      </c>
      <c r="AI117" s="830" t="str">
        <f t="shared" si="18"/>
        <v/>
      </c>
      <c r="AJ117" s="830" t="str">
        <f t="shared" si="18"/>
        <v/>
      </c>
      <c r="AK117" s="829"/>
      <c r="AL117" s="186">
        <f t="shared" si="1"/>
        <v>4750</v>
      </c>
      <c r="AM117" s="829"/>
      <c r="AN117" s="829"/>
      <c r="AO117" s="829"/>
      <c r="AP117" s="829"/>
      <c r="AQ117" s="829"/>
      <c r="AR117" s="829"/>
      <c r="AS117" s="829"/>
    </row>
    <row r="118">
      <c r="D118" s="209"/>
      <c r="E118" s="209"/>
      <c r="G118" s="90"/>
    </row>
    <row r="119">
      <c r="D119" s="209"/>
      <c r="E119" s="209"/>
      <c r="G119" s="90"/>
    </row>
    <row r="120">
      <c r="D120" s="209"/>
      <c r="E120" s="209"/>
      <c r="G120" s="90"/>
    </row>
    <row r="121">
      <c r="D121" s="209"/>
      <c r="E121" s="209"/>
      <c r="G121" s="90"/>
    </row>
    <row r="122">
      <c r="D122" s="209"/>
      <c r="E122" s="209"/>
      <c r="G122" s="90"/>
    </row>
    <row r="123">
      <c r="D123" s="209"/>
      <c r="E123" s="209"/>
      <c r="G123" s="90"/>
    </row>
    <row r="124">
      <c r="D124" s="209"/>
      <c r="E124" s="209"/>
      <c r="G124" s="90"/>
    </row>
    <row r="125">
      <c r="D125" s="209"/>
      <c r="E125" s="209"/>
      <c r="G125" s="90"/>
    </row>
    <row r="126">
      <c r="D126" s="209"/>
      <c r="E126" s="209"/>
      <c r="G126" s="90"/>
    </row>
    <row r="127">
      <c r="D127" s="209"/>
      <c r="E127" s="209"/>
      <c r="G127" s="90"/>
    </row>
    <row r="128">
      <c r="D128" s="209"/>
      <c r="E128" s="209"/>
      <c r="G128" s="90"/>
    </row>
    <row r="129">
      <c r="D129" s="209"/>
      <c r="E129" s="209"/>
      <c r="G129" s="90"/>
    </row>
    <row r="130">
      <c r="D130" s="209"/>
      <c r="E130" s="209"/>
      <c r="G130" s="90"/>
    </row>
    <row r="131">
      <c r="D131" s="209"/>
      <c r="E131" s="209"/>
      <c r="G131" s="90"/>
    </row>
    <row r="132">
      <c r="D132" s="209"/>
      <c r="E132" s="209"/>
      <c r="G132" s="90"/>
    </row>
    <row r="133">
      <c r="D133" s="209"/>
      <c r="E133" s="209"/>
      <c r="G133" s="90"/>
    </row>
    <row r="134">
      <c r="D134" s="209"/>
      <c r="E134" s="209"/>
      <c r="G134" s="90"/>
    </row>
    <row r="135">
      <c r="D135" s="209"/>
      <c r="E135" s="209"/>
      <c r="G135" s="90"/>
    </row>
    <row r="136">
      <c r="D136" s="209"/>
      <c r="E136" s="209"/>
      <c r="G136" s="90"/>
    </row>
    <row r="137">
      <c r="D137" s="209"/>
      <c r="E137" s="209"/>
      <c r="G137" s="90"/>
    </row>
    <row r="138">
      <c r="D138" s="209"/>
      <c r="E138" s="209"/>
      <c r="G138" s="90"/>
    </row>
    <row r="139">
      <c r="D139" s="209"/>
      <c r="E139" s="209"/>
      <c r="G139" s="90"/>
    </row>
    <row r="140">
      <c r="D140" s="209"/>
      <c r="E140" s="209"/>
      <c r="G140" s="90"/>
    </row>
    <row r="141">
      <c r="D141" s="209"/>
      <c r="E141" s="209"/>
      <c r="G141" s="90"/>
    </row>
    <row r="142">
      <c r="D142" s="209"/>
      <c r="E142" s="209"/>
      <c r="G142" s="90"/>
    </row>
    <row r="143">
      <c r="D143" s="209"/>
      <c r="E143" s="209"/>
      <c r="G143" s="90"/>
    </row>
    <row r="144">
      <c r="D144" s="209"/>
      <c r="E144" s="209"/>
      <c r="G144" s="90"/>
    </row>
    <row r="145">
      <c r="D145" s="209"/>
      <c r="E145" s="209"/>
      <c r="G145" s="90"/>
    </row>
    <row r="146">
      <c r="D146" s="209"/>
      <c r="E146" s="209"/>
      <c r="G146" s="90"/>
    </row>
    <row r="147">
      <c r="D147" s="209"/>
      <c r="E147" s="209"/>
      <c r="G147" s="90"/>
    </row>
    <row r="148">
      <c r="D148" s="209"/>
      <c r="E148" s="209"/>
      <c r="G148" s="90"/>
    </row>
    <row r="149">
      <c r="D149" s="209"/>
      <c r="E149" s="209"/>
      <c r="G149" s="90"/>
    </row>
    <row r="150">
      <c r="D150" s="209"/>
      <c r="E150" s="209"/>
      <c r="G150" s="90"/>
    </row>
    <row r="151">
      <c r="D151" s="209"/>
      <c r="E151" s="209"/>
      <c r="G151" s="90"/>
    </row>
    <row r="152">
      <c r="D152" s="209"/>
      <c r="E152" s="209"/>
      <c r="G152" s="90"/>
    </row>
    <row r="153">
      <c r="D153" s="209"/>
      <c r="E153" s="209"/>
      <c r="G153" s="90"/>
    </row>
    <row r="154">
      <c r="D154" s="209"/>
      <c r="E154" s="209"/>
      <c r="G154" s="90"/>
    </row>
    <row r="155">
      <c r="D155" s="209"/>
      <c r="E155" s="209"/>
      <c r="G155" s="90"/>
    </row>
    <row r="156">
      <c r="D156" s="209"/>
      <c r="E156" s="209"/>
      <c r="G156" s="90"/>
    </row>
    <row r="157">
      <c r="D157" s="209"/>
      <c r="E157" s="209"/>
      <c r="G157" s="90"/>
    </row>
    <row r="158">
      <c r="D158" s="209"/>
      <c r="E158" s="209"/>
      <c r="G158" s="90"/>
    </row>
    <row r="159">
      <c r="D159" s="209"/>
      <c r="E159" s="209"/>
      <c r="G159" s="90"/>
    </row>
    <row r="160">
      <c r="D160" s="209"/>
      <c r="E160" s="209"/>
      <c r="G160" s="90"/>
    </row>
    <row r="161">
      <c r="D161" s="209"/>
      <c r="E161" s="209"/>
      <c r="G161" s="90"/>
    </row>
    <row r="162">
      <c r="D162" s="209"/>
      <c r="E162" s="209"/>
      <c r="G162" s="90"/>
    </row>
    <row r="163">
      <c r="D163" s="209"/>
      <c r="E163" s="209"/>
      <c r="G163" s="90"/>
    </row>
    <row r="164">
      <c r="D164" s="209"/>
      <c r="E164" s="209"/>
      <c r="G164" s="90"/>
    </row>
    <row r="165">
      <c r="D165" s="209"/>
      <c r="E165" s="209"/>
      <c r="G165" s="90"/>
    </row>
    <row r="166">
      <c r="D166" s="209"/>
      <c r="E166" s="209"/>
      <c r="G166" s="90"/>
    </row>
    <row r="167">
      <c r="D167" s="209"/>
      <c r="E167" s="209"/>
      <c r="G167" s="90"/>
    </row>
    <row r="168">
      <c r="D168" s="209"/>
      <c r="E168" s="209"/>
      <c r="G168" s="90"/>
    </row>
    <row r="169">
      <c r="D169" s="209"/>
      <c r="E169" s="209"/>
      <c r="G169" s="90"/>
    </row>
    <row r="170">
      <c r="D170" s="209"/>
      <c r="E170" s="209"/>
      <c r="G170" s="90"/>
    </row>
    <row r="171">
      <c r="D171" s="209"/>
      <c r="E171" s="209"/>
      <c r="G171" s="90"/>
    </row>
    <row r="172">
      <c r="D172" s="209"/>
      <c r="E172" s="209"/>
      <c r="G172" s="90"/>
    </row>
    <row r="173">
      <c r="D173" s="209"/>
      <c r="E173" s="209"/>
      <c r="G173" s="90"/>
    </row>
    <row r="174">
      <c r="D174" s="209"/>
      <c r="E174" s="209"/>
      <c r="G174" s="90"/>
    </row>
    <row r="175">
      <c r="D175" s="209"/>
      <c r="E175" s="209"/>
      <c r="G175" s="90"/>
    </row>
    <row r="176">
      <c r="D176" s="209"/>
      <c r="E176" s="209"/>
      <c r="G176" s="90"/>
    </row>
    <row r="177">
      <c r="D177" s="209"/>
      <c r="E177" s="209"/>
      <c r="G177" s="90"/>
    </row>
    <row r="178">
      <c r="D178" s="209"/>
      <c r="E178" s="209"/>
      <c r="G178" s="90"/>
    </row>
    <row r="179">
      <c r="D179" s="209"/>
      <c r="E179" s="209"/>
      <c r="G179" s="90"/>
    </row>
    <row r="180">
      <c r="D180" s="209"/>
      <c r="E180" s="209"/>
      <c r="G180" s="90"/>
    </row>
    <row r="181">
      <c r="D181" s="209"/>
      <c r="E181" s="209"/>
      <c r="G181" s="90"/>
    </row>
    <row r="182">
      <c r="D182" s="209"/>
      <c r="E182" s="209"/>
      <c r="G182" s="90"/>
    </row>
    <row r="183">
      <c r="D183" s="209"/>
      <c r="E183" s="209"/>
      <c r="G183" s="90"/>
    </row>
    <row r="184">
      <c r="D184" s="209"/>
      <c r="E184" s="209"/>
      <c r="G184" s="90"/>
    </row>
    <row r="185">
      <c r="D185" s="209"/>
      <c r="E185" s="209"/>
      <c r="G185" s="90"/>
    </row>
    <row r="186">
      <c r="D186" s="209"/>
      <c r="E186" s="209"/>
      <c r="G186" s="90"/>
    </row>
    <row r="187">
      <c r="D187" s="209"/>
      <c r="E187" s="209"/>
      <c r="G187" s="90"/>
    </row>
    <row r="188">
      <c r="D188" s="209"/>
      <c r="E188" s="209"/>
      <c r="G188" s="90"/>
    </row>
    <row r="189">
      <c r="D189" s="209"/>
      <c r="E189" s="209"/>
      <c r="G189" s="90"/>
    </row>
    <row r="190">
      <c r="D190" s="209"/>
      <c r="E190" s="209"/>
      <c r="G190" s="90"/>
    </row>
    <row r="191">
      <c r="D191" s="209"/>
      <c r="E191" s="209"/>
      <c r="G191" s="90"/>
    </row>
    <row r="192">
      <c r="D192" s="209"/>
      <c r="E192" s="209"/>
      <c r="G192" s="90"/>
    </row>
    <row r="193">
      <c r="D193" s="209"/>
      <c r="E193" s="209"/>
      <c r="G193" s="90"/>
    </row>
    <row r="194">
      <c r="D194" s="209"/>
      <c r="E194" s="209"/>
      <c r="G194" s="90"/>
    </row>
    <row r="195">
      <c r="D195" s="209"/>
      <c r="E195" s="209"/>
      <c r="G195" s="90"/>
    </row>
    <row r="196">
      <c r="D196" s="209"/>
      <c r="E196" s="209"/>
      <c r="G196" s="90"/>
    </row>
    <row r="197">
      <c r="D197" s="209"/>
      <c r="E197" s="209"/>
      <c r="G197" s="90"/>
    </row>
    <row r="198">
      <c r="D198" s="209"/>
      <c r="E198" s="209"/>
      <c r="G198" s="90"/>
    </row>
    <row r="199">
      <c r="D199" s="209"/>
      <c r="E199" s="209"/>
      <c r="G199" s="90"/>
    </row>
    <row r="200">
      <c r="D200" s="209"/>
      <c r="E200" s="209"/>
      <c r="G200" s="90"/>
    </row>
    <row r="201">
      <c r="D201" s="209"/>
      <c r="E201" s="209"/>
      <c r="G201" s="90"/>
    </row>
    <row r="202">
      <c r="D202" s="209"/>
      <c r="E202" s="209"/>
      <c r="G202" s="90"/>
    </row>
    <row r="203">
      <c r="D203" s="209"/>
      <c r="E203" s="209"/>
      <c r="G203" s="90"/>
    </row>
    <row r="204">
      <c r="D204" s="209"/>
      <c r="E204" s="209"/>
      <c r="G204" s="90"/>
    </row>
    <row r="205">
      <c r="D205" s="209"/>
      <c r="E205" s="209"/>
      <c r="G205" s="90"/>
    </row>
    <row r="206">
      <c r="D206" s="209"/>
      <c r="E206" s="209"/>
      <c r="G206" s="90"/>
    </row>
    <row r="207">
      <c r="D207" s="209"/>
      <c r="E207" s="209"/>
      <c r="G207" s="90"/>
    </row>
    <row r="208">
      <c r="D208" s="209"/>
      <c r="E208" s="209"/>
      <c r="G208" s="90"/>
    </row>
    <row r="209">
      <c r="D209" s="209"/>
      <c r="E209" s="209"/>
      <c r="G209" s="90"/>
    </row>
    <row r="210">
      <c r="D210" s="209"/>
      <c r="E210" s="209"/>
      <c r="G210" s="90"/>
    </row>
    <row r="211">
      <c r="D211" s="209"/>
      <c r="E211" s="209"/>
      <c r="G211" s="90"/>
    </row>
    <row r="212">
      <c r="D212" s="209"/>
      <c r="E212" s="209"/>
      <c r="G212" s="90"/>
    </row>
    <row r="213">
      <c r="D213" s="209"/>
      <c r="E213" s="209"/>
      <c r="G213" s="90"/>
    </row>
    <row r="214">
      <c r="D214" s="209"/>
      <c r="E214" s="209"/>
      <c r="G214" s="90"/>
    </row>
    <row r="215">
      <c r="D215" s="209"/>
      <c r="E215" s="209"/>
      <c r="G215" s="90"/>
    </row>
    <row r="216">
      <c r="D216" s="209"/>
      <c r="E216" s="209"/>
      <c r="G216" s="90"/>
    </row>
    <row r="217">
      <c r="D217" s="209"/>
      <c r="E217" s="209"/>
      <c r="G217" s="90"/>
    </row>
    <row r="218">
      <c r="D218" s="209"/>
      <c r="E218" s="209"/>
      <c r="G218" s="90"/>
    </row>
    <row r="219">
      <c r="D219" s="209"/>
      <c r="E219" s="209"/>
      <c r="G219" s="90"/>
    </row>
    <row r="220">
      <c r="D220" s="209"/>
      <c r="E220" s="209"/>
      <c r="G220" s="90"/>
    </row>
    <row r="221">
      <c r="D221" s="209"/>
      <c r="E221" s="209"/>
      <c r="G221" s="90"/>
    </row>
    <row r="222">
      <c r="D222" s="209"/>
      <c r="E222" s="209"/>
      <c r="G222" s="90"/>
    </row>
    <row r="223">
      <c r="D223" s="209"/>
      <c r="E223" s="209"/>
      <c r="G223" s="90"/>
    </row>
    <row r="224">
      <c r="D224" s="209"/>
      <c r="E224" s="209"/>
      <c r="G224" s="90"/>
    </row>
    <row r="225">
      <c r="D225" s="209"/>
      <c r="E225" s="209"/>
      <c r="G225" s="90"/>
    </row>
    <row r="226">
      <c r="D226" s="209"/>
      <c r="E226" s="209"/>
      <c r="G226" s="90"/>
    </row>
    <row r="227">
      <c r="D227" s="209"/>
      <c r="E227" s="209"/>
      <c r="G227" s="90"/>
    </row>
    <row r="228">
      <c r="D228" s="209"/>
      <c r="E228" s="209"/>
      <c r="G228" s="90"/>
    </row>
    <row r="229">
      <c r="D229" s="209"/>
      <c r="E229" s="209"/>
      <c r="G229" s="90"/>
    </row>
    <row r="230">
      <c r="D230" s="209"/>
      <c r="E230" s="209"/>
      <c r="G230" s="90"/>
    </row>
    <row r="231">
      <c r="D231" s="209"/>
      <c r="E231" s="209"/>
      <c r="G231" s="90"/>
    </row>
    <row r="232">
      <c r="D232" s="209"/>
      <c r="E232" s="209"/>
      <c r="G232" s="90"/>
    </row>
    <row r="233">
      <c r="D233" s="209"/>
      <c r="E233" s="209"/>
      <c r="G233" s="90"/>
    </row>
    <row r="234">
      <c r="D234" s="209"/>
      <c r="E234" s="209"/>
      <c r="G234" s="90"/>
    </row>
    <row r="235">
      <c r="D235" s="209"/>
      <c r="E235" s="209"/>
      <c r="G235" s="90"/>
    </row>
    <row r="236">
      <c r="D236" s="209"/>
      <c r="E236" s="209"/>
      <c r="G236" s="90"/>
    </row>
    <row r="237">
      <c r="D237" s="209"/>
      <c r="E237" s="209"/>
      <c r="G237" s="90"/>
    </row>
    <row r="238">
      <c r="D238" s="209"/>
      <c r="E238" s="209"/>
      <c r="G238" s="90"/>
    </row>
    <row r="239">
      <c r="D239" s="209"/>
      <c r="E239" s="209"/>
      <c r="G239" s="90"/>
    </row>
    <row r="240">
      <c r="D240" s="209"/>
      <c r="E240" s="209"/>
      <c r="G240" s="90"/>
    </row>
    <row r="241">
      <c r="D241" s="209"/>
      <c r="E241" s="209"/>
      <c r="G241" s="90"/>
    </row>
    <row r="242">
      <c r="D242" s="209"/>
      <c r="E242" s="209"/>
      <c r="G242" s="90"/>
    </row>
    <row r="243">
      <c r="D243" s="209"/>
      <c r="E243" s="209"/>
      <c r="G243" s="90"/>
    </row>
    <row r="244">
      <c r="D244" s="209"/>
      <c r="E244" s="209"/>
      <c r="G244" s="90"/>
    </row>
    <row r="245">
      <c r="D245" s="209"/>
      <c r="E245" s="209"/>
      <c r="G245" s="90"/>
    </row>
    <row r="246">
      <c r="D246" s="209"/>
      <c r="E246" s="209"/>
      <c r="G246" s="90"/>
    </row>
    <row r="247">
      <c r="D247" s="209"/>
      <c r="E247" s="209"/>
      <c r="G247" s="90"/>
    </row>
    <row r="248">
      <c r="D248" s="209"/>
      <c r="E248" s="209"/>
      <c r="G248" s="90"/>
    </row>
    <row r="249">
      <c r="D249" s="209"/>
      <c r="E249" s="209"/>
      <c r="G249" s="90"/>
    </row>
    <row r="250">
      <c r="D250" s="209"/>
      <c r="E250" s="209"/>
      <c r="G250" s="90"/>
    </row>
    <row r="251">
      <c r="D251" s="209"/>
      <c r="E251" s="209"/>
      <c r="G251" s="90"/>
    </row>
    <row r="252">
      <c r="D252" s="209"/>
      <c r="E252" s="209"/>
      <c r="G252" s="90"/>
    </row>
    <row r="253">
      <c r="D253" s="209"/>
      <c r="E253" s="209"/>
      <c r="G253" s="90"/>
    </row>
    <row r="254">
      <c r="D254" s="209"/>
      <c r="E254" s="209"/>
      <c r="G254" s="90"/>
    </row>
    <row r="255">
      <c r="D255" s="209"/>
      <c r="E255" s="209"/>
      <c r="G255" s="90"/>
    </row>
    <row r="256">
      <c r="D256" s="209"/>
      <c r="E256" s="209"/>
      <c r="G256" s="90"/>
    </row>
    <row r="257">
      <c r="D257" s="209"/>
      <c r="E257" s="209"/>
      <c r="G257" s="90"/>
    </row>
    <row r="258">
      <c r="D258" s="209"/>
      <c r="E258" s="209"/>
      <c r="G258" s="90"/>
    </row>
    <row r="259">
      <c r="D259" s="209"/>
      <c r="E259" s="209"/>
      <c r="G259" s="90"/>
    </row>
    <row r="260">
      <c r="D260" s="209"/>
      <c r="E260" s="209"/>
      <c r="G260" s="90"/>
    </row>
    <row r="261">
      <c r="D261" s="209"/>
      <c r="E261" s="209"/>
      <c r="G261" s="90"/>
    </row>
    <row r="262">
      <c r="D262" s="209"/>
      <c r="E262" s="209"/>
      <c r="G262" s="90"/>
    </row>
    <row r="263">
      <c r="D263" s="209"/>
      <c r="E263" s="209"/>
      <c r="G263" s="90"/>
    </row>
    <row r="264">
      <c r="D264" s="209"/>
      <c r="E264" s="209"/>
      <c r="G264" s="90"/>
    </row>
    <row r="265">
      <c r="D265" s="209"/>
      <c r="E265" s="209"/>
      <c r="G265" s="90"/>
    </row>
    <row r="266">
      <c r="D266" s="209"/>
      <c r="E266" s="209"/>
      <c r="G266" s="90"/>
    </row>
    <row r="267">
      <c r="D267" s="209"/>
      <c r="E267" s="209"/>
      <c r="G267" s="90"/>
    </row>
    <row r="268">
      <c r="D268" s="209"/>
      <c r="E268" s="209"/>
      <c r="G268" s="90"/>
    </row>
    <row r="269">
      <c r="D269" s="209"/>
      <c r="E269" s="209"/>
      <c r="G269" s="90"/>
    </row>
    <row r="270">
      <c r="D270" s="209"/>
      <c r="E270" s="209"/>
      <c r="G270" s="90"/>
    </row>
    <row r="271">
      <c r="D271" s="209"/>
      <c r="E271" s="209"/>
      <c r="G271" s="90"/>
    </row>
    <row r="272">
      <c r="D272" s="209"/>
      <c r="E272" s="209"/>
      <c r="G272" s="90"/>
    </row>
    <row r="273">
      <c r="D273" s="209"/>
      <c r="E273" s="209"/>
      <c r="G273" s="90"/>
    </row>
    <row r="274">
      <c r="D274" s="209"/>
      <c r="E274" s="209"/>
      <c r="G274" s="90"/>
    </row>
    <row r="275">
      <c r="D275" s="209"/>
      <c r="E275" s="209"/>
      <c r="G275" s="90"/>
    </row>
    <row r="276">
      <c r="D276" s="209"/>
      <c r="E276" s="209"/>
      <c r="G276" s="90"/>
    </row>
    <row r="277">
      <c r="D277" s="209"/>
      <c r="E277" s="209"/>
      <c r="G277" s="90"/>
    </row>
    <row r="278">
      <c r="D278" s="209"/>
      <c r="E278" s="209"/>
      <c r="G278" s="90"/>
    </row>
    <row r="279">
      <c r="D279" s="209"/>
      <c r="E279" s="209"/>
      <c r="G279" s="90"/>
    </row>
    <row r="280">
      <c r="D280" s="209"/>
      <c r="E280" s="209"/>
      <c r="G280" s="90"/>
    </row>
    <row r="281">
      <c r="D281" s="209"/>
      <c r="E281" s="209"/>
      <c r="G281" s="90"/>
    </row>
    <row r="282">
      <c r="D282" s="209"/>
      <c r="E282" s="209"/>
      <c r="G282" s="90"/>
    </row>
    <row r="283">
      <c r="D283" s="209"/>
      <c r="E283" s="209"/>
      <c r="G283" s="90"/>
    </row>
    <row r="284">
      <c r="D284" s="209"/>
      <c r="E284" s="209"/>
      <c r="G284" s="90"/>
    </row>
    <row r="285">
      <c r="D285" s="209"/>
      <c r="E285" s="209"/>
      <c r="G285" s="90"/>
    </row>
    <row r="286">
      <c r="D286" s="209"/>
      <c r="E286" s="209"/>
      <c r="G286" s="90"/>
    </row>
    <row r="287">
      <c r="D287" s="209"/>
      <c r="E287" s="209"/>
      <c r="G287" s="90"/>
    </row>
    <row r="288">
      <c r="D288" s="209"/>
      <c r="E288" s="209"/>
      <c r="G288" s="90"/>
    </row>
    <row r="289">
      <c r="D289" s="209"/>
      <c r="E289" s="209"/>
      <c r="G289" s="90"/>
    </row>
    <row r="290">
      <c r="D290" s="209"/>
      <c r="E290" s="209"/>
      <c r="G290" s="90"/>
    </row>
    <row r="291">
      <c r="D291" s="209"/>
      <c r="E291" s="209"/>
      <c r="G291" s="90"/>
    </row>
    <row r="292">
      <c r="D292" s="209"/>
      <c r="E292" s="209"/>
      <c r="G292" s="90"/>
    </row>
    <row r="293">
      <c r="D293" s="209"/>
      <c r="E293" s="209"/>
      <c r="G293" s="90"/>
    </row>
    <row r="294">
      <c r="D294" s="209"/>
      <c r="E294" s="209"/>
      <c r="G294" s="90"/>
    </row>
    <row r="295">
      <c r="D295" s="209"/>
      <c r="E295" s="209"/>
      <c r="G295" s="90"/>
    </row>
    <row r="296">
      <c r="D296" s="209"/>
      <c r="E296" s="209"/>
      <c r="G296" s="90"/>
    </row>
    <row r="297">
      <c r="D297" s="209"/>
      <c r="E297" s="209"/>
      <c r="G297" s="90"/>
    </row>
    <row r="298">
      <c r="D298" s="209"/>
      <c r="E298" s="209"/>
      <c r="G298" s="90"/>
    </row>
    <row r="299">
      <c r="D299" s="209"/>
      <c r="E299" s="209"/>
      <c r="G299" s="90"/>
    </row>
    <row r="300">
      <c r="D300" s="209"/>
      <c r="E300" s="209"/>
      <c r="G300" s="90"/>
    </row>
    <row r="301">
      <c r="D301" s="209"/>
      <c r="E301" s="209"/>
      <c r="G301" s="90"/>
    </row>
    <row r="302">
      <c r="D302" s="209"/>
      <c r="E302" s="209"/>
      <c r="G302" s="90"/>
    </row>
    <row r="303">
      <c r="D303" s="209"/>
      <c r="E303" s="209"/>
      <c r="G303" s="90"/>
    </row>
    <row r="304">
      <c r="D304" s="209"/>
      <c r="E304" s="209"/>
      <c r="G304" s="90"/>
    </row>
    <row r="305">
      <c r="D305" s="209"/>
      <c r="E305" s="209"/>
      <c r="G305" s="90"/>
    </row>
    <row r="306">
      <c r="D306" s="209"/>
      <c r="E306" s="209"/>
      <c r="G306" s="90"/>
    </row>
    <row r="307">
      <c r="D307" s="209"/>
      <c r="E307" s="209"/>
      <c r="G307" s="90"/>
    </row>
    <row r="308">
      <c r="D308" s="209"/>
      <c r="E308" s="209"/>
      <c r="G308" s="90"/>
    </row>
    <row r="309">
      <c r="D309" s="209"/>
      <c r="E309" s="209"/>
      <c r="G309" s="90"/>
    </row>
    <row r="310">
      <c r="D310" s="209"/>
      <c r="E310" s="209"/>
      <c r="G310" s="90"/>
    </row>
    <row r="311">
      <c r="D311" s="209"/>
      <c r="E311" s="209"/>
      <c r="G311" s="90"/>
    </row>
    <row r="312">
      <c r="D312" s="209"/>
      <c r="E312" s="209"/>
      <c r="G312" s="90"/>
    </row>
    <row r="313">
      <c r="D313" s="209"/>
      <c r="E313" s="209"/>
      <c r="G313" s="90"/>
    </row>
    <row r="314">
      <c r="D314" s="209"/>
      <c r="E314" s="209"/>
      <c r="G314" s="90"/>
    </row>
    <row r="315">
      <c r="D315" s="209"/>
      <c r="E315" s="209"/>
      <c r="G315" s="90"/>
    </row>
    <row r="316">
      <c r="D316" s="209"/>
      <c r="E316" s="209"/>
      <c r="G316" s="90"/>
    </row>
    <row r="317">
      <c r="D317" s="209"/>
      <c r="E317" s="209"/>
      <c r="G317" s="90"/>
    </row>
    <row r="318">
      <c r="D318" s="209"/>
      <c r="E318" s="209"/>
      <c r="G318" s="90"/>
    </row>
    <row r="319">
      <c r="D319" s="209"/>
      <c r="E319" s="209"/>
      <c r="G319" s="90"/>
    </row>
    <row r="320">
      <c r="D320" s="209"/>
      <c r="E320" s="209"/>
      <c r="G320" s="90"/>
    </row>
    <row r="321">
      <c r="D321" s="209"/>
      <c r="E321" s="209"/>
      <c r="G321" s="90"/>
    </row>
    <row r="322">
      <c r="D322" s="209"/>
      <c r="E322" s="209"/>
      <c r="G322" s="90"/>
    </row>
    <row r="323">
      <c r="D323" s="209"/>
      <c r="E323" s="209"/>
      <c r="G323" s="90"/>
    </row>
    <row r="324">
      <c r="D324" s="209"/>
      <c r="E324" s="209"/>
      <c r="G324" s="90"/>
    </row>
    <row r="325">
      <c r="D325" s="209"/>
      <c r="E325" s="209"/>
      <c r="G325" s="90"/>
    </row>
    <row r="326">
      <c r="D326" s="209"/>
      <c r="E326" s="209"/>
      <c r="G326" s="90"/>
    </row>
    <row r="327">
      <c r="D327" s="209"/>
      <c r="E327" s="209"/>
      <c r="G327" s="90"/>
    </row>
    <row r="328">
      <c r="D328" s="209"/>
      <c r="E328" s="209"/>
      <c r="G328" s="90"/>
    </row>
    <row r="329">
      <c r="D329" s="209"/>
      <c r="E329" s="209"/>
      <c r="G329" s="90"/>
    </row>
    <row r="330">
      <c r="D330" s="209"/>
      <c r="E330" s="209"/>
      <c r="G330" s="90"/>
    </row>
    <row r="331">
      <c r="D331" s="209"/>
      <c r="E331" s="209"/>
      <c r="G331" s="90"/>
    </row>
    <row r="332">
      <c r="D332" s="209"/>
      <c r="E332" s="209"/>
      <c r="G332" s="90"/>
    </row>
    <row r="333">
      <c r="D333" s="209"/>
      <c r="E333" s="209"/>
      <c r="G333" s="90"/>
    </row>
    <row r="334">
      <c r="D334" s="209"/>
      <c r="E334" s="209"/>
      <c r="G334" s="90"/>
    </row>
    <row r="335">
      <c r="D335" s="209"/>
      <c r="E335" s="209"/>
      <c r="G335" s="90"/>
    </row>
    <row r="336">
      <c r="D336" s="209"/>
      <c r="E336" s="209"/>
      <c r="G336" s="90"/>
    </row>
    <row r="337">
      <c r="D337" s="209"/>
      <c r="E337" s="209"/>
      <c r="G337" s="90"/>
    </row>
    <row r="338">
      <c r="D338" s="209"/>
      <c r="E338" s="209"/>
      <c r="G338" s="90"/>
    </row>
    <row r="339">
      <c r="D339" s="209"/>
      <c r="E339" s="209"/>
      <c r="G339" s="90"/>
    </row>
    <row r="340">
      <c r="D340" s="209"/>
      <c r="E340" s="209"/>
      <c r="G340" s="90"/>
    </row>
    <row r="341">
      <c r="D341" s="209"/>
      <c r="E341" s="209"/>
      <c r="G341" s="90"/>
    </row>
    <row r="342">
      <c r="D342" s="209"/>
      <c r="E342" s="209"/>
      <c r="G342" s="90"/>
    </row>
    <row r="343">
      <c r="D343" s="209"/>
      <c r="E343" s="209"/>
      <c r="G343" s="90"/>
    </row>
    <row r="344">
      <c r="D344" s="209"/>
      <c r="E344" s="209"/>
      <c r="G344" s="90"/>
    </row>
    <row r="345">
      <c r="D345" s="209"/>
      <c r="E345" s="209"/>
      <c r="G345" s="90"/>
    </row>
    <row r="346">
      <c r="D346" s="209"/>
      <c r="E346" s="209"/>
      <c r="G346" s="90"/>
    </row>
    <row r="347">
      <c r="D347" s="209"/>
      <c r="E347" s="209"/>
      <c r="G347" s="90"/>
    </row>
    <row r="348">
      <c r="D348" s="209"/>
      <c r="E348" s="209"/>
      <c r="G348" s="90"/>
    </row>
    <row r="349">
      <c r="D349" s="209"/>
      <c r="E349" s="209"/>
      <c r="G349" s="90"/>
    </row>
    <row r="350">
      <c r="D350" s="209"/>
      <c r="E350" s="209"/>
      <c r="G350" s="90"/>
    </row>
    <row r="351">
      <c r="D351" s="209"/>
      <c r="E351" s="209"/>
      <c r="G351" s="90"/>
    </row>
    <row r="352">
      <c r="D352" s="209"/>
      <c r="E352" s="209"/>
      <c r="G352" s="90"/>
    </row>
    <row r="353">
      <c r="D353" s="209"/>
      <c r="E353" s="209"/>
      <c r="G353" s="90"/>
    </row>
    <row r="354">
      <c r="D354" s="209"/>
      <c r="E354" s="209"/>
      <c r="G354" s="90"/>
    </row>
    <row r="355">
      <c r="D355" s="209"/>
      <c r="E355" s="209"/>
      <c r="G355" s="90"/>
    </row>
    <row r="356">
      <c r="D356" s="209"/>
      <c r="E356" s="209"/>
      <c r="G356" s="90"/>
    </row>
    <row r="357">
      <c r="D357" s="209"/>
      <c r="E357" s="209"/>
      <c r="G357" s="90"/>
    </row>
    <row r="358">
      <c r="D358" s="209"/>
      <c r="E358" s="209"/>
      <c r="G358" s="90"/>
    </row>
    <row r="359">
      <c r="D359" s="209"/>
      <c r="E359" s="209"/>
      <c r="G359" s="90"/>
    </row>
    <row r="360">
      <c r="D360" s="209"/>
      <c r="E360" s="209"/>
      <c r="G360" s="90"/>
    </row>
    <row r="361">
      <c r="D361" s="209"/>
      <c r="E361" s="209"/>
      <c r="G361" s="90"/>
    </row>
    <row r="362">
      <c r="D362" s="209"/>
      <c r="E362" s="209"/>
      <c r="G362" s="90"/>
    </row>
    <row r="363">
      <c r="D363" s="209"/>
      <c r="E363" s="209"/>
      <c r="G363" s="90"/>
    </row>
    <row r="364">
      <c r="D364" s="209"/>
      <c r="E364" s="209"/>
      <c r="G364" s="90"/>
    </row>
    <row r="365">
      <c r="D365" s="209"/>
      <c r="E365" s="209"/>
      <c r="G365" s="90"/>
    </row>
    <row r="366">
      <c r="D366" s="209"/>
      <c r="E366" s="209"/>
      <c r="G366" s="90"/>
    </row>
    <row r="367">
      <c r="D367" s="209"/>
      <c r="E367" s="209"/>
      <c r="G367" s="90"/>
    </row>
    <row r="368">
      <c r="D368" s="209"/>
      <c r="E368" s="209"/>
      <c r="G368" s="90"/>
    </row>
    <row r="369">
      <c r="D369" s="209"/>
      <c r="E369" s="209"/>
      <c r="G369" s="90"/>
    </row>
    <row r="370">
      <c r="D370" s="209"/>
      <c r="E370" s="209"/>
      <c r="G370" s="90"/>
    </row>
    <row r="371">
      <c r="D371" s="209"/>
      <c r="E371" s="209"/>
      <c r="G371" s="90"/>
    </row>
    <row r="372">
      <c r="D372" s="209"/>
      <c r="E372" s="209"/>
      <c r="G372" s="90"/>
    </row>
    <row r="373">
      <c r="D373" s="209"/>
      <c r="E373" s="209"/>
      <c r="G373" s="90"/>
    </row>
    <row r="374">
      <c r="D374" s="209"/>
      <c r="E374" s="209"/>
      <c r="G374" s="90"/>
    </row>
    <row r="375">
      <c r="D375" s="209"/>
      <c r="E375" s="209"/>
      <c r="G375" s="90"/>
    </row>
    <row r="376">
      <c r="D376" s="209"/>
      <c r="E376" s="209"/>
      <c r="G376" s="90"/>
    </row>
    <row r="377">
      <c r="D377" s="209"/>
      <c r="E377" s="209"/>
      <c r="G377" s="90"/>
    </row>
    <row r="378">
      <c r="D378" s="209"/>
      <c r="E378" s="209"/>
      <c r="G378" s="90"/>
    </row>
    <row r="379">
      <c r="D379" s="209"/>
      <c r="E379" s="209"/>
      <c r="G379" s="90"/>
    </row>
    <row r="380">
      <c r="D380" s="209"/>
      <c r="E380" s="209"/>
      <c r="G380" s="90"/>
    </row>
    <row r="381">
      <c r="D381" s="209"/>
      <c r="E381" s="209"/>
      <c r="G381" s="90"/>
    </row>
    <row r="382">
      <c r="D382" s="209"/>
      <c r="E382" s="209"/>
      <c r="G382" s="90"/>
    </row>
    <row r="383">
      <c r="D383" s="209"/>
      <c r="E383" s="209"/>
      <c r="G383" s="90"/>
    </row>
    <row r="384">
      <c r="D384" s="209"/>
      <c r="E384" s="209"/>
      <c r="G384" s="90"/>
    </row>
    <row r="385">
      <c r="D385" s="209"/>
      <c r="E385" s="209"/>
      <c r="G385" s="90"/>
    </row>
    <row r="386">
      <c r="D386" s="209"/>
      <c r="E386" s="209"/>
      <c r="G386" s="90"/>
    </row>
    <row r="387">
      <c r="D387" s="209"/>
      <c r="E387" s="209"/>
      <c r="G387" s="90"/>
    </row>
    <row r="388">
      <c r="D388" s="209"/>
      <c r="E388" s="209"/>
      <c r="G388" s="90"/>
    </row>
    <row r="389">
      <c r="D389" s="209"/>
      <c r="E389" s="209"/>
      <c r="G389" s="90"/>
    </row>
    <row r="390">
      <c r="D390" s="209"/>
      <c r="E390" s="209"/>
      <c r="G390" s="90"/>
    </row>
    <row r="391">
      <c r="D391" s="209"/>
      <c r="E391" s="209"/>
      <c r="G391" s="90"/>
    </row>
    <row r="392">
      <c r="D392" s="209"/>
      <c r="E392" s="209"/>
      <c r="G392" s="90"/>
    </row>
    <row r="393">
      <c r="D393" s="209"/>
      <c r="E393" s="209"/>
      <c r="G393" s="90"/>
    </row>
    <row r="394">
      <c r="D394" s="209"/>
      <c r="E394" s="209"/>
      <c r="G394" s="90"/>
    </row>
    <row r="395">
      <c r="D395" s="209"/>
      <c r="E395" s="209"/>
      <c r="G395" s="90"/>
    </row>
    <row r="396">
      <c r="D396" s="209"/>
      <c r="E396" s="209"/>
      <c r="G396" s="90"/>
    </row>
    <row r="397">
      <c r="D397" s="209"/>
      <c r="E397" s="209"/>
      <c r="G397" s="90"/>
    </row>
    <row r="398">
      <c r="D398" s="209"/>
      <c r="E398" s="209"/>
      <c r="G398" s="90"/>
    </row>
    <row r="399">
      <c r="D399" s="209"/>
      <c r="E399" s="209"/>
      <c r="G399" s="90"/>
    </row>
    <row r="400">
      <c r="D400" s="209"/>
      <c r="E400" s="209"/>
      <c r="G400" s="90"/>
    </row>
    <row r="401">
      <c r="D401" s="209"/>
      <c r="E401" s="209"/>
      <c r="G401" s="90"/>
    </row>
    <row r="402">
      <c r="D402" s="209"/>
      <c r="E402" s="209"/>
      <c r="G402" s="90"/>
    </row>
    <row r="403">
      <c r="D403" s="209"/>
      <c r="E403" s="209"/>
      <c r="G403" s="90"/>
    </row>
    <row r="404">
      <c r="D404" s="209"/>
      <c r="E404" s="209"/>
      <c r="G404" s="90"/>
    </row>
    <row r="405">
      <c r="D405" s="209"/>
      <c r="E405" s="209"/>
      <c r="G405" s="90"/>
    </row>
    <row r="406">
      <c r="D406" s="209"/>
      <c r="E406" s="209"/>
      <c r="G406" s="90"/>
    </row>
    <row r="407">
      <c r="D407" s="209"/>
      <c r="E407" s="209"/>
      <c r="G407" s="90"/>
    </row>
    <row r="408">
      <c r="D408" s="209"/>
      <c r="E408" s="209"/>
      <c r="G408" s="90"/>
    </row>
    <row r="409">
      <c r="D409" s="209"/>
      <c r="E409" s="209"/>
      <c r="G409" s="90"/>
    </row>
    <row r="410">
      <c r="D410" s="209"/>
      <c r="E410" s="209"/>
      <c r="G410" s="90"/>
    </row>
    <row r="411">
      <c r="D411" s="209"/>
      <c r="E411" s="209"/>
      <c r="G411" s="90"/>
    </row>
    <row r="412">
      <c r="D412" s="209"/>
      <c r="E412" s="209"/>
      <c r="G412" s="90"/>
    </row>
    <row r="413">
      <c r="D413" s="209"/>
      <c r="E413" s="209"/>
      <c r="G413" s="90"/>
    </row>
    <row r="414">
      <c r="D414" s="209"/>
      <c r="E414" s="209"/>
      <c r="G414" s="90"/>
    </row>
    <row r="415">
      <c r="D415" s="209"/>
      <c r="E415" s="209"/>
      <c r="G415" s="90"/>
    </row>
    <row r="416">
      <c r="D416" s="209"/>
      <c r="E416" s="209"/>
      <c r="G416" s="90"/>
    </row>
    <row r="417">
      <c r="D417" s="209"/>
      <c r="E417" s="209"/>
      <c r="G417" s="90"/>
    </row>
    <row r="418">
      <c r="D418" s="209"/>
      <c r="E418" s="209"/>
      <c r="G418" s="90"/>
    </row>
    <row r="419">
      <c r="D419" s="209"/>
      <c r="E419" s="209"/>
      <c r="G419" s="90"/>
    </row>
    <row r="420">
      <c r="D420" s="209"/>
      <c r="E420" s="209"/>
      <c r="G420" s="90"/>
    </row>
    <row r="421">
      <c r="D421" s="209"/>
      <c r="E421" s="209"/>
      <c r="G421" s="90"/>
    </row>
    <row r="422">
      <c r="D422" s="209"/>
      <c r="E422" s="209"/>
      <c r="G422" s="90"/>
    </row>
    <row r="423">
      <c r="D423" s="209"/>
      <c r="E423" s="209"/>
      <c r="G423" s="90"/>
    </row>
    <row r="424">
      <c r="D424" s="209"/>
      <c r="E424" s="209"/>
      <c r="G424" s="90"/>
    </row>
    <row r="425">
      <c r="D425" s="209"/>
      <c r="E425" s="209"/>
      <c r="G425" s="90"/>
    </row>
    <row r="426">
      <c r="D426" s="209"/>
      <c r="E426" s="209"/>
      <c r="G426" s="90"/>
    </row>
    <row r="427">
      <c r="D427" s="209"/>
      <c r="E427" s="209"/>
      <c r="G427" s="90"/>
    </row>
    <row r="428">
      <c r="D428" s="209"/>
      <c r="E428" s="209"/>
      <c r="G428" s="90"/>
    </row>
    <row r="429">
      <c r="D429" s="209"/>
      <c r="E429" s="209"/>
      <c r="G429" s="90"/>
    </row>
    <row r="430">
      <c r="D430" s="209"/>
      <c r="E430" s="209"/>
      <c r="G430" s="90"/>
    </row>
    <row r="431">
      <c r="D431" s="209"/>
      <c r="E431" s="209"/>
      <c r="G431" s="90"/>
    </row>
    <row r="432">
      <c r="D432" s="209"/>
      <c r="E432" s="209"/>
      <c r="G432" s="90"/>
    </row>
    <row r="433">
      <c r="D433" s="209"/>
      <c r="E433" s="209"/>
      <c r="G433" s="90"/>
    </row>
    <row r="434">
      <c r="D434" s="209"/>
      <c r="E434" s="209"/>
      <c r="G434" s="90"/>
    </row>
    <row r="435">
      <c r="D435" s="209"/>
      <c r="E435" s="209"/>
      <c r="G435" s="90"/>
    </row>
    <row r="436">
      <c r="D436" s="209"/>
      <c r="E436" s="209"/>
      <c r="G436" s="90"/>
    </row>
    <row r="437">
      <c r="D437" s="209"/>
      <c r="E437" s="209"/>
      <c r="G437" s="90"/>
    </row>
    <row r="438">
      <c r="D438" s="209"/>
      <c r="E438" s="209"/>
      <c r="G438" s="90"/>
    </row>
    <row r="439">
      <c r="D439" s="209"/>
      <c r="E439" s="209"/>
      <c r="G439" s="90"/>
    </row>
    <row r="440">
      <c r="D440" s="209"/>
      <c r="E440" s="209"/>
      <c r="G440" s="90"/>
    </row>
    <row r="441">
      <c r="D441" s="209"/>
      <c r="E441" s="209"/>
      <c r="G441" s="90"/>
    </row>
    <row r="442">
      <c r="D442" s="209"/>
      <c r="E442" s="209"/>
      <c r="G442" s="90"/>
    </row>
    <row r="443">
      <c r="D443" s="209"/>
      <c r="E443" s="209"/>
      <c r="G443" s="90"/>
    </row>
    <row r="444">
      <c r="D444" s="209"/>
      <c r="E444" s="209"/>
      <c r="G444" s="90"/>
    </row>
    <row r="445">
      <c r="D445" s="209"/>
      <c r="E445" s="209"/>
      <c r="G445" s="90"/>
    </row>
    <row r="446">
      <c r="D446" s="209"/>
      <c r="E446" s="209"/>
      <c r="G446" s="90"/>
    </row>
    <row r="447">
      <c r="D447" s="209"/>
      <c r="E447" s="209"/>
      <c r="G447" s="90"/>
    </row>
    <row r="448">
      <c r="D448" s="209"/>
      <c r="E448" s="209"/>
      <c r="G448" s="90"/>
    </row>
    <row r="449">
      <c r="D449" s="209"/>
      <c r="E449" s="209"/>
      <c r="G449" s="90"/>
    </row>
    <row r="450">
      <c r="D450" s="209"/>
      <c r="E450" s="209"/>
      <c r="G450" s="90"/>
    </row>
    <row r="451">
      <c r="D451" s="209"/>
      <c r="E451" s="209"/>
      <c r="G451" s="90"/>
    </row>
    <row r="452">
      <c r="D452" s="209"/>
      <c r="E452" s="209"/>
      <c r="G452" s="90"/>
    </row>
    <row r="453">
      <c r="D453" s="209"/>
      <c r="E453" s="209"/>
      <c r="G453" s="90"/>
    </row>
    <row r="454">
      <c r="D454" s="209"/>
      <c r="E454" s="209"/>
      <c r="G454" s="90"/>
    </row>
    <row r="455">
      <c r="D455" s="209"/>
      <c r="E455" s="209"/>
      <c r="G455" s="90"/>
    </row>
    <row r="456">
      <c r="D456" s="209"/>
      <c r="E456" s="209"/>
      <c r="G456" s="90"/>
    </row>
    <row r="457">
      <c r="D457" s="209"/>
      <c r="E457" s="209"/>
      <c r="G457" s="90"/>
    </row>
    <row r="458">
      <c r="D458" s="209"/>
      <c r="E458" s="209"/>
      <c r="G458" s="90"/>
    </row>
    <row r="459">
      <c r="D459" s="209"/>
      <c r="E459" s="209"/>
      <c r="G459" s="90"/>
    </row>
    <row r="460">
      <c r="D460" s="209"/>
      <c r="E460" s="209"/>
      <c r="G460" s="90"/>
    </row>
    <row r="461">
      <c r="D461" s="209"/>
      <c r="E461" s="209"/>
      <c r="G461" s="90"/>
    </row>
    <row r="462">
      <c r="D462" s="209"/>
      <c r="E462" s="209"/>
      <c r="G462" s="90"/>
    </row>
    <row r="463">
      <c r="D463" s="209"/>
      <c r="E463" s="209"/>
      <c r="G463" s="90"/>
    </row>
    <row r="464">
      <c r="D464" s="209"/>
      <c r="E464" s="209"/>
      <c r="G464" s="90"/>
    </row>
    <row r="465">
      <c r="D465" s="209"/>
      <c r="E465" s="209"/>
      <c r="G465" s="90"/>
    </row>
    <row r="466">
      <c r="D466" s="209"/>
      <c r="E466" s="209"/>
      <c r="G466" s="90"/>
    </row>
    <row r="467">
      <c r="D467" s="209"/>
      <c r="E467" s="209"/>
      <c r="G467" s="90"/>
    </row>
    <row r="468">
      <c r="D468" s="209"/>
      <c r="E468" s="209"/>
      <c r="G468" s="90"/>
    </row>
    <row r="469">
      <c r="D469" s="209"/>
      <c r="E469" s="209"/>
      <c r="G469" s="90"/>
    </row>
    <row r="470">
      <c r="D470" s="209"/>
      <c r="E470" s="209"/>
      <c r="G470" s="90"/>
    </row>
    <row r="471">
      <c r="D471" s="209"/>
      <c r="E471" s="209"/>
      <c r="G471" s="90"/>
    </row>
    <row r="472">
      <c r="D472" s="209"/>
      <c r="E472" s="209"/>
      <c r="G472" s="90"/>
    </row>
    <row r="473">
      <c r="D473" s="209"/>
      <c r="E473" s="209"/>
      <c r="G473" s="90"/>
    </row>
    <row r="474">
      <c r="D474" s="209"/>
      <c r="E474" s="209"/>
      <c r="G474" s="90"/>
    </row>
    <row r="475">
      <c r="D475" s="209"/>
      <c r="E475" s="209"/>
      <c r="G475" s="90"/>
    </row>
    <row r="476">
      <c r="D476" s="209"/>
      <c r="E476" s="209"/>
      <c r="G476" s="90"/>
    </row>
    <row r="477">
      <c r="D477" s="209"/>
      <c r="E477" s="209"/>
      <c r="G477" s="90"/>
    </row>
    <row r="478">
      <c r="D478" s="209"/>
      <c r="E478" s="209"/>
      <c r="G478" s="90"/>
    </row>
    <row r="479">
      <c r="D479" s="209"/>
      <c r="E479" s="209"/>
      <c r="G479" s="90"/>
    </row>
    <row r="480">
      <c r="D480" s="209"/>
      <c r="E480" s="209"/>
      <c r="G480" s="90"/>
    </row>
    <row r="481">
      <c r="D481" s="209"/>
      <c r="E481" s="209"/>
      <c r="G481" s="90"/>
    </row>
    <row r="482">
      <c r="D482" s="209"/>
      <c r="E482" s="209"/>
      <c r="G482" s="90"/>
    </row>
    <row r="483">
      <c r="D483" s="209"/>
      <c r="E483" s="209"/>
      <c r="G483" s="90"/>
    </row>
    <row r="484">
      <c r="D484" s="209"/>
      <c r="E484" s="209"/>
      <c r="G484" s="90"/>
    </row>
    <row r="485">
      <c r="D485" s="209"/>
      <c r="E485" s="209"/>
      <c r="G485" s="90"/>
    </row>
    <row r="486">
      <c r="D486" s="209"/>
      <c r="E486" s="209"/>
      <c r="G486" s="90"/>
    </row>
    <row r="487">
      <c r="D487" s="209"/>
      <c r="E487" s="209"/>
      <c r="G487" s="90"/>
    </row>
    <row r="488">
      <c r="D488" s="209"/>
      <c r="E488" s="209"/>
      <c r="G488" s="90"/>
    </row>
    <row r="489">
      <c r="D489" s="209"/>
      <c r="E489" s="209"/>
      <c r="G489" s="90"/>
    </row>
    <row r="490">
      <c r="D490" s="209"/>
      <c r="E490" s="209"/>
      <c r="G490" s="90"/>
    </row>
    <row r="491">
      <c r="D491" s="209"/>
      <c r="E491" s="209"/>
      <c r="G491" s="90"/>
    </row>
    <row r="492">
      <c r="D492" s="209"/>
      <c r="E492" s="209"/>
      <c r="G492" s="90"/>
    </row>
    <row r="493">
      <c r="D493" s="209"/>
      <c r="E493" s="209"/>
      <c r="G493" s="90"/>
    </row>
    <row r="494">
      <c r="D494" s="209"/>
      <c r="E494" s="209"/>
      <c r="G494" s="90"/>
    </row>
    <row r="495">
      <c r="D495" s="209"/>
      <c r="E495" s="209"/>
      <c r="G495" s="90"/>
    </row>
    <row r="496">
      <c r="D496" s="209"/>
      <c r="E496" s="209"/>
      <c r="G496" s="90"/>
    </row>
    <row r="497">
      <c r="D497" s="209"/>
      <c r="E497" s="209"/>
      <c r="G497" s="90"/>
    </row>
    <row r="498">
      <c r="D498" s="209"/>
      <c r="E498" s="209"/>
      <c r="G498" s="90"/>
    </row>
    <row r="499">
      <c r="D499" s="209"/>
      <c r="E499" s="209"/>
      <c r="G499" s="90"/>
    </row>
    <row r="500">
      <c r="D500" s="209"/>
      <c r="E500" s="209"/>
      <c r="G500" s="90"/>
    </row>
    <row r="501">
      <c r="D501" s="209"/>
      <c r="E501" s="209"/>
      <c r="G501" s="90"/>
    </row>
    <row r="502">
      <c r="D502" s="209"/>
      <c r="E502" s="209"/>
      <c r="G502" s="90"/>
    </row>
    <row r="503">
      <c r="D503" s="209"/>
      <c r="E503" s="209"/>
      <c r="G503" s="90"/>
    </row>
    <row r="504">
      <c r="D504" s="209"/>
      <c r="E504" s="209"/>
      <c r="G504" s="90"/>
    </row>
    <row r="505">
      <c r="D505" s="209"/>
      <c r="E505" s="209"/>
      <c r="G505" s="90"/>
    </row>
    <row r="506">
      <c r="D506" s="209"/>
      <c r="E506" s="209"/>
      <c r="G506" s="90"/>
    </row>
    <row r="507">
      <c r="D507" s="209"/>
      <c r="E507" s="209"/>
      <c r="G507" s="90"/>
    </row>
    <row r="508">
      <c r="D508" s="209"/>
      <c r="E508" s="209"/>
      <c r="G508" s="90"/>
    </row>
    <row r="509">
      <c r="D509" s="209"/>
      <c r="E509" s="209"/>
      <c r="G509" s="90"/>
    </row>
    <row r="510">
      <c r="D510" s="209"/>
      <c r="E510" s="209"/>
      <c r="G510" s="90"/>
    </row>
    <row r="511">
      <c r="D511" s="209"/>
      <c r="E511" s="209"/>
      <c r="G511" s="90"/>
    </row>
    <row r="512">
      <c r="D512" s="209"/>
      <c r="E512" s="209"/>
      <c r="G512" s="90"/>
    </row>
    <row r="513">
      <c r="D513" s="209"/>
      <c r="E513" s="209"/>
      <c r="G513" s="90"/>
    </row>
    <row r="514">
      <c r="D514" s="209"/>
      <c r="E514" s="209"/>
      <c r="G514" s="90"/>
    </row>
    <row r="515">
      <c r="D515" s="209"/>
      <c r="E515" s="209"/>
      <c r="G515" s="90"/>
    </row>
    <row r="516">
      <c r="D516" s="209"/>
      <c r="E516" s="209"/>
      <c r="G516" s="90"/>
    </row>
    <row r="517">
      <c r="D517" s="209"/>
      <c r="E517" s="209"/>
      <c r="G517" s="90"/>
    </row>
    <row r="518">
      <c r="D518" s="209"/>
      <c r="E518" s="209"/>
      <c r="G518" s="90"/>
    </row>
    <row r="519">
      <c r="D519" s="209"/>
      <c r="E519" s="209"/>
      <c r="G519" s="90"/>
    </row>
    <row r="520">
      <c r="D520" s="209"/>
      <c r="E520" s="209"/>
      <c r="G520" s="90"/>
    </row>
    <row r="521">
      <c r="D521" s="209"/>
      <c r="E521" s="209"/>
      <c r="G521" s="90"/>
    </row>
    <row r="522">
      <c r="D522" s="209"/>
      <c r="E522" s="209"/>
      <c r="G522" s="90"/>
    </row>
    <row r="523">
      <c r="D523" s="209"/>
      <c r="E523" s="209"/>
      <c r="G523" s="90"/>
    </row>
    <row r="524">
      <c r="D524" s="209"/>
      <c r="E524" s="209"/>
      <c r="G524" s="90"/>
    </row>
    <row r="525">
      <c r="D525" s="209"/>
      <c r="E525" s="209"/>
      <c r="G525" s="90"/>
    </row>
    <row r="526">
      <c r="D526" s="209"/>
      <c r="E526" s="209"/>
      <c r="G526" s="90"/>
    </row>
    <row r="527">
      <c r="D527" s="209"/>
      <c r="E527" s="209"/>
      <c r="G527" s="90"/>
    </row>
    <row r="528">
      <c r="D528" s="209"/>
      <c r="E528" s="209"/>
      <c r="G528" s="90"/>
    </row>
    <row r="529">
      <c r="D529" s="209"/>
      <c r="E529" s="209"/>
      <c r="G529" s="90"/>
    </row>
    <row r="530">
      <c r="D530" s="209"/>
      <c r="E530" s="209"/>
      <c r="G530" s="90"/>
    </row>
    <row r="531">
      <c r="D531" s="209"/>
      <c r="E531" s="209"/>
      <c r="G531" s="90"/>
    </row>
    <row r="532">
      <c r="D532" s="209"/>
      <c r="E532" s="209"/>
      <c r="G532" s="90"/>
    </row>
    <row r="533">
      <c r="D533" s="209"/>
      <c r="E533" s="209"/>
      <c r="G533" s="90"/>
    </row>
    <row r="534">
      <c r="D534" s="209"/>
      <c r="E534" s="209"/>
      <c r="G534" s="90"/>
    </row>
    <row r="535">
      <c r="D535" s="209"/>
      <c r="E535" s="209"/>
      <c r="G535" s="90"/>
    </row>
    <row r="536">
      <c r="D536" s="209"/>
      <c r="E536" s="209"/>
      <c r="G536" s="90"/>
    </row>
    <row r="537">
      <c r="D537" s="209"/>
      <c r="E537" s="209"/>
      <c r="G537" s="90"/>
    </row>
    <row r="538">
      <c r="D538" s="209"/>
      <c r="E538" s="209"/>
      <c r="G538" s="90"/>
    </row>
    <row r="539">
      <c r="D539" s="209"/>
      <c r="E539" s="209"/>
      <c r="G539" s="90"/>
    </row>
    <row r="540">
      <c r="D540" s="209"/>
      <c r="E540" s="209"/>
      <c r="G540" s="90"/>
    </row>
    <row r="541">
      <c r="D541" s="209"/>
      <c r="E541" s="209"/>
      <c r="G541" s="90"/>
    </row>
    <row r="542">
      <c r="D542" s="209"/>
      <c r="E542" s="209"/>
      <c r="G542" s="90"/>
    </row>
    <row r="543">
      <c r="D543" s="209"/>
      <c r="E543" s="209"/>
      <c r="G543" s="90"/>
    </row>
    <row r="544">
      <c r="D544" s="209"/>
      <c r="E544" s="209"/>
      <c r="G544" s="90"/>
    </row>
    <row r="545">
      <c r="D545" s="209"/>
      <c r="E545" s="209"/>
      <c r="G545" s="90"/>
    </row>
    <row r="546">
      <c r="D546" s="209"/>
      <c r="E546" s="209"/>
      <c r="G546" s="90"/>
    </row>
    <row r="547">
      <c r="D547" s="209"/>
      <c r="E547" s="209"/>
      <c r="G547" s="90"/>
    </row>
    <row r="548">
      <c r="D548" s="209"/>
      <c r="E548" s="209"/>
      <c r="G548" s="90"/>
    </row>
    <row r="549">
      <c r="D549" s="209"/>
      <c r="E549" s="209"/>
      <c r="G549" s="90"/>
    </row>
    <row r="550">
      <c r="D550" s="209"/>
      <c r="E550" s="209"/>
      <c r="G550" s="90"/>
    </row>
    <row r="551">
      <c r="D551" s="209"/>
      <c r="E551" s="209"/>
      <c r="G551" s="90"/>
    </row>
    <row r="552">
      <c r="D552" s="209"/>
      <c r="E552" s="209"/>
      <c r="G552" s="90"/>
    </row>
    <row r="553">
      <c r="D553" s="209"/>
      <c r="E553" s="209"/>
      <c r="G553" s="90"/>
    </row>
    <row r="554">
      <c r="D554" s="209"/>
      <c r="E554" s="209"/>
      <c r="G554" s="90"/>
    </row>
    <row r="555">
      <c r="D555" s="209"/>
      <c r="E555" s="209"/>
      <c r="G555" s="90"/>
    </row>
    <row r="556">
      <c r="D556" s="209"/>
      <c r="E556" s="209"/>
      <c r="G556" s="90"/>
    </row>
    <row r="557">
      <c r="D557" s="209"/>
      <c r="E557" s="209"/>
      <c r="G557" s="90"/>
    </row>
    <row r="558">
      <c r="D558" s="209"/>
      <c r="E558" s="209"/>
      <c r="G558" s="90"/>
    </row>
    <row r="559">
      <c r="D559" s="209"/>
      <c r="E559" s="209"/>
      <c r="G559" s="90"/>
    </row>
    <row r="560">
      <c r="D560" s="209"/>
      <c r="E560" s="209"/>
      <c r="G560" s="90"/>
    </row>
    <row r="561">
      <c r="D561" s="209"/>
      <c r="E561" s="209"/>
      <c r="G561" s="90"/>
    </row>
    <row r="562">
      <c r="D562" s="209"/>
      <c r="E562" s="209"/>
      <c r="G562" s="90"/>
    </row>
    <row r="563">
      <c r="D563" s="209"/>
      <c r="E563" s="209"/>
      <c r="G563" s="90"/>
    </row>
    <row r="564">
      <c r="D564" s="209"/>
      <c r="E564" s="209"/>
      <c r="G564" s="90"/>
    </row>
    <row r="565">
      <c r="D565" s="209"/>
      <c r="E565" s="209"/>
      <c r="G565" s="90"/>
    </row>
    <row r="566">
      <c r="D566" s="209"/>
      <c r="E566" s="209"/>
      <c r="G566" s="90"/>
    </row>
    <row r="567">
      <c r="D567" s="209"/>
      <c r="E567" s="209"/>
      <c r="G567" s="90"/>
    </row>
    <row r="568">
      <c r="D568" s="209"/>
      <c r="E568" s="209"/>
      <c r="G568" s="90"/>
    </row>
    <row r="569">
      <c r="D569" s="209"/>
      <c r="E569" s="209"/>
      <c r="G569" s="90"/>
    </row>
    <row r="570">
      <c r="D570" s="209"/>
      <c r="E570" s="209"/>
      <c r="G570" s="90"/>
    </row>
    <row r="571">
      <c r="D571" s="209"/>
      <c r="E571" s="209"/>
      <c r="G571" s="90"/>
    </row>
    <row r="572">
      <c r="D572" s="209"/>
      <c r="E572" s="209"/>
      <c r="G572" s="90"/>
    </row>
    <row r="573">
      <c r="D573" s="209"/>
      <c r="E573" s="209"/>
      <c r="G573" s="90"/>
    </row>
    <row r="574">
      <c r="D574" s="209"/>
      <c r="E574" s="209"/>
      <c r="G574" s="90"/>
    </row>
    <row r="575">
      <c r="D575" s="209"/>
      <c r="E575" s="209"/>
      <c r="G575" s="90"/>
    </row>
    <row r="576">
      <c r="D576" s="209"/>
      <c r="E576" s="209"/>
      <c r="G576" s="90"/>
    </row>
    <row r="577">
      <c r="D577" s="209"/>
      <c r="E577" s="209"/>
      <c r="G577" s="90"/>
    </row>
    <row r="578">
      <c r="D578" s="209"/>
      <c r="E578" s="209"/>
      <c r="G578" s="90"/>
    </row>
    <row r="579">
      <c r="D579" s="209"/>
      <c r="E579" s="209"/>
      <c r="G579" s="90"/>
    </row>
    <row r="580">
      <c r="D580" s="209"/>
      <c r="E580" s="209"/>
      <c r="G580" s="90"/>
    </row>
    <row r="581">
      <c r="D581" s="209"/>
      <c r="E581" s="209"/>
      <c r="G581" s="90"/>
    </row>
    <row r="582">
      <c r="D582" s="209"/>
      <c r="E582" s="209"/>
      <c r="G582" s="90"/>
    </row>
    <row r="583">
      <c r="D583" s="209"/>
      <c r="E583" s="209"/>
      <c r="G583" s="90"/>
    </row>
    <row r="584">
      <c r="D584" s="209"/>
      <c r="E584" s="209"/>
      <c r="G584" s="90"/>
    </row>
    <row r="585">
      <c r="D585" s="209"/>
      <c r="E585" s="209"/>
      <c r="G585" s="90"/>
    </row>
    <row r="586">
      <c r="D586" s="209"/>
      <c r="E586" s="209"/>
      <c r="G586" s="90"/>
    </row>
    <row r="587">
      <c r="D587" s="209"/>
      <c r="E587" s="209"/>
      <c r="G587" s="90"/>
    </row>
    <row r="588">
      <c r="D588" s="209"/>
      <c r="E588" s="209"/>
      <c r="G588" s="90"/>
    </row>
    <row r="589">
      <c r="D589" s="209"/>
      <c r="E589" s="209"/>
      <c r="G589" s="90"/>
    </row>
    <row r="590">
      <c r="D590" s="209"/>
      <c r="E590" s="209"/>
      <c r="G590" s="90"/>
    </row>
    <row r="591">
      <c r="D591" s="209"/>
      <c r="E591" s="209"/>
      <c r="G591" s="90"/>
    </row>
    <row r="592">
      <c r="D592" s="209"/>
      <c r="E592" s="209"/>
      <c r="G592" s="90"/>
    </row>
    <row r="593">
      <c r="D593" s="209"/>
      <c r="E593" s="209"/>
      <c r="G593" s="90"/>
    </row>
    <row r="594">
      <c r="D594" s="209"/>
      <c r="E594" s="209"/>
      <c r="G594" s="90"/>
    </row>
    <row r="595">
      <c r="D595" s="209"/>
      <c r="E595" s="209"/>
      <c r="G595" s="90"/>
    </row>
    <row r="596">
      <c r="D596" s="209"/>
      <c r="E596" s="209"/>
      <c r="G596" s="90"/>
    </row>
    <row r="597">
      <c r="D597" s="209"/>
      <c r="E597" s="209"/>
      <c r="G597" s="90"/>
    </row>
    <row r="598">
      <c r="D598" s="209"/>
      <c r="E598" s="209"/>
      <c r="G598" s="90"/>
    </row>
    <row r="599">
      <c r="D599" s="209"/>
      <c r="E599" s="209"/>
      <c r="G599" s="90"/>
    </row>
    <row r="600">
      <c r="D600" s="209"/>
      <c r="E600" s="209"/>
      <c r="G600" s="90"/>
    </row>
    <row r="601">
      <c r="D601" s="209"/>
      <c r="E601" s="209"/>
      <c r="G601" s="90"/>
    </row>
    <row r="602">
      <c r="D602" s="209"/>
      <c r="E602" s="209"/>
      <c r="G602" s="90"/>
    </row>
    <row r="603">
      <c r="D603" s="209"/>
      <c r="E603" s="209"/>
      <c r="G603" s="90"/>
    </row>
    <row r="604">
      <c r="D604" s="209"/>
      <c r="E604" s="209"/>
      <c r="G604" s="90"/>
    </row>
    <row r="605">
      <c r="D605" s="209"/>
      <c r="E605" s="209"/>
      <c r="G605" s="90"/>
    </row>
    <row r="606">
      <c r="D606" s="209"/>
      <c r="E606" s="209"/>
      <c r="G606" s="90"/>
    </row>
    <row r="607">
      <c r="D607" s="209"/>
      <c r="E607" s="209"/>
      <c r="G607" s="90"/>
    </row>
    <row r="608">
      <c r="D608" s="209"/>
      <c r="E608" s="209"/>
      <c r="G608" s="90"/>
    </row>
    <row r="609">
      <c r="D609" s="209"/>
      <c r="E609" s="209"/>
      <c r="G609" s="90"/>
    </row>
    <row r="610">
      <c r="D610" s="209"/>
      <c r="E610" s="209"/>
      <c r="G610" s="90"/>
    </row>
    <row r="611">
      <c r="D611" s="209"/>
      <c r="E611" s="209"/>
      <c r="G611" s="90"/>
    </row>
    <row r="612">
      <c r="D612" s="209"/>
      <c r="E612" s="209"/>
      <c r="G612" s="90"/>
    </row>
    <row r="613">
      <c r="D613" s="209"/>
      <c r="E613" s="209"/>
      <c r="G613" s="90"/>
    </row>
    <row r="614">
      <c r="D614" s="209"/>
      <c r="E614" s="209"/>
      <c r="G614" s="90"/>
    </row>
    <row r="615">
      <c r="D615" s="209"/>
      <c r="E615" s="209"/>
      <c r="G615" s="90"/>
    </row>
    <row r="616">
      <c r="D616" s="209"/>
      <c r="E616" s="209"/>
      <c r="G616" s="90"/>
    </row>
    <row r="617">
      <c r="D617" s="209"/>
      <c r="E617" s="209"/>
      <c r="G617" s="90"/>
    </row>
    <row r="618">
      <c r="D618" s="209"/>
      <c r="E618" s="209"/>
      <c r="G618" s="90"/>
    </row>
    <row r="619">
      <c r="D619" s="209"/>
      <c r="E619" s="209"/>
      <c r="G619" s="90"/>
    </row>
    <row r="620">
      <c r="D620" s="209"/>
      <c r="E620" s="209"/>
      <c r="G620" s="90"/>
    </row>
    <row r="621">
      <c r="D621" s="209"/>
      <c r="E621" s="209"/>
      <c r="G621" s="90"/>
    </row>
    <row r="622">
      <c r="D622" s="209"/>
      <c r="E622" s="209"/>
      <c r="G622" s="90"/>
    </row>
    <row r="623">
      <c r="D623" s="209"/>
      <c r="E623" s="209"/>
      <c r="G623" s="90"/>
    </row>
    <row r="624">
      <c r="D624" s="209"/>
      <c r="E624" s="209"/>
      <c r="G624" s="90"/>
    </row>
    <row r="625">
      <c r="D625" s="209"/>
      <c r="E625" s="209"/>
      <c r="G625" s="90"/>
    </row>
    <row r="626">
      <c r="D626" s="209"/>
      <c r="E626" s="209"/>
      <c r="G626" s="90"/>
    </row>
    <row r="627">
      <c r="D627" s="209"/>
      <c r="E627" s="209"/>
      <c r="G627" s="90"/>
    </row>
    <row r="628">
      <c r="D628" s="209"/>
      <c r="E628" s="209"/>
      <c r="G628" s="90"/>
    </row>
    <row r="629">
      <c r="D629" s="209"/>
      <c r="E629" s="209"/>
      <c r="G629" s="90"/>
    </row>
    <row r="630">
      <c r="D630" s="209"/>
      <c r="E630" s="209"/>
      <c r="G630" s="90"/>
    </row>
    <row r="631">
      <c r="D631" s="209"/>
      <c r="E631" s="209"/>
      <c r="G631" s="90"/>
    </row>
    <row r="632">
      <c r="D632" s="209"/>
      <c r="E632" s="209"/>
      <c r="G632" s="90"/>
    </row>
    <row r="633">
      <c r="D633" s="209"/>
      <c r="E633" s="209"/>
      <c r="G633" s="90"/>
    </row>
    <row r="634">
      <c r="D634" s="209"/>
      <c r="E634" s="209"/>
      <c r="G634" s="90"/>
    </row>
    <row r="635">
      <c r="D635" s="209"/>
      <c r="E635" s="209"/>
      <c r="G635" s="90"/>
    </row>
    <row r="636">
      <c r="D636" s="209"/>
      <c r="E636" s="209"/>
      <c r="G636" s="90"/>
    </row>
    <row r="637">
      <c r="D637" s="209"/>
      <c r="E637" s="209"/>
      <c r="G637" s="90"/>
    </row>
    <row r="638">
      <c r="D638" s="209"/>
      <c r="E638" s="209"/>
      <c r="G638" s="90"/>
    </row>
    <row r="639">
      <c r="D639" s="209"/>
      <c r="E639" s="209"/>
      <c r="G639" s="90"/>
    </row>
    <row r="640">
      <c r="D640" s="209"/>
      <c r="E640" s="209"/>
      <c r="G640" s="90"/>
    </row>
    <row r="641">
      <c r="D641" s="209"/>
      <c r="E641" s="209"/>
      <c r="G641" s="90"/>
    </row>
    <row r="642">
      <c r="D642" s="209"/>
      <c r="E642" s="209"/>
      <c r="G642" s="90"/>
    </row>
    <row r="643">
      <c r="D643" s="209"/>
      <c r="E643" s="209"/>
      <c r="G643" s="90"/>
    </row>
    <row r="644">
      <c r="D644" s="209"/>
      <c r="E644" s="209"/>
      <c r="G644" s="90"/>
    </row>
    <row r="645">
      <c r="D645" s="209"/>
      <c r="E645" s="209"/>
      <c r="G645" s="90"/>
    </row>
    <row r="646">
      <c r="D646" s="209"/>
      <c r="E646" s="209"/>
      <c r="G646" s="90"/>
    </row>
    <row r="647">
      <c r="D647" s="209"/>
      <c r="E647" s="209"/>
      <c r="G647" s="90"/>
    </row>
    <row r="648">
      <c r="D648" s="209"/>
      <c r="E648" s="209"/>
      <c r="G648" s="90"/>
    </row>
    <row r="649">
      <c r="D649" s="209"/>
      <c r="E649" s="209"/>
      <c r="G649" s="90"/>
    </row>
    <row r="650">
      <c r="D650" s="209"/>
      <c r="E650" s="209"/>
      <c r="G650" s="90"/>
    </row>
    <row r="651">
      <c r="D651" s="209"/>
      <c r="E651" s="209"/>
      <c r="G651" s="90"/>
    </row>
    <row r="652">
      <c r="D652" s="209"/>
      <c r="E652" s="209"/>
      <c r="G652" s="90"/>
    </row>
    <row r="653">
      <c r="D653" s="209"/>
      <c r="E653" s="209"/>
      <c r="G653" s="90"/>
    </row>
    <row r="654">
      <c r="D654" s="209"/>
      <c r="E654" s="209"/>
      <c r="G654" s="90"/>
    </row>
    <row r="655">
      <c r="D655" s="209"/>
      <c r="E655" s="209"/>
      <c r="G655" s="90"/>
    </row>
    <row r="656">
      <c r="D656" s="209"/>
      <c r="E656" s="209"/>
      <c r="G656" s="90"/>
    </row>
    <row r="657">
      <c r="D657" s="209"/>
      <c r="E657" s="209"/>
      <c r="G657" s="90"/>
    </row>
    <row r="658">
      <c r="D658" s="209"/>
      <c r="E658" s="209"/>
      <c r="G658" s="90"/>
    </row>
    <row r="659">
      <c r="D659" s="209"/>
      <c r="E659" s="209"/>
      <c r="G659" s="90"/>
    </row>
    <row r="660">
      <c r="D660" s="209"/>
      <c r="E660" s="209"/>
      <c r="G660" s="90"/>
    </row>
    <row r="661">
      <c r="D661" s="209"/>
      <c r="E661" s="209"/>
      <c r="G661" s="90"/>
    </row>
    <row r="662">
      <c r="D662" s="209"/>
      <c r="E662" s="209"/>
      <c r="G662" s="90"/>
    </row>
    <row r="663">
      <c r="D663" s="209"/>
      <c r="E663" s="209"/>
      <c r="G663" s="90"/>
    </row>
    <row r="664">
      <c r="D664" s="209"/>
      <c r="E664" s="209"/>
      <c r="G664" s="90"/>
    </row>
    <row r="665">
      <c r="D665" s="209"/>
      <c r="E665" s="209"/>
      <c r="G665" s="90"/>
    </row>
    <row r="666">
      <c r="D666" s="209"/>
      <c r="E666" s="209"/>
      <c r="G666" s="90"/>
    </row>
    <row r="667">
      <c r="D667" s="209"/>
      <c r="E667" s="209"/>
      <c r="G667" s="90"/>
    </row>
    <row r="668">
      <c r="D668" s="209"/>
      <c r="E668" s="209"/>
      <c r="G668" s="90"/>
    </row>
    <row r="669">
      <c r="D669" s="209"/>
      <c r="E669" s="209"/>
      <c r="G669" s="90"/>
    </row>
    <row r="670">
      <c r="D670" s="209"/>
      <c r="E670" s="209"/>
      <c r="G670" s="90"/>
    </row>
    <row r="671">
      <c r="D671" s="209"/>
      <c r="E671" s="209"/>
      <c r="G671" s="90"/>
    </row>
    <row r="672">
      <c r="D672" s="209"/>
      <c r="E672" s="209"/>
      <c r="G672" s="90"/>
    </row>
    <row r="673">
      <c r="D673" s="209"/>
      <c r="E673" s="209"/>
      <c r="G673" s="90"/>
    </row>
    <row r="674">
      <c r="D674" s="209"/>
      <c r="E674" s="209"/>
      <c r="G674" s="90"/>
    </row>
    <row r="675">
      <c r="D675" s="209"/>
      <c r="E675" s="209"/>
      <c r="G675" s="90"/>
    </row>
    <row r="676">
      <c r="D676" s="209"/>
      <c r="E676" s="209"/>
      <c r="G676" s="90"/>
    </row>
    <row r="677">
      <c r="D677" s="209"/>
      <c r="E677" s="209"/>
      <c r="G677" s="90"/>
    </row>
    <row r="678">
      <c r="D678" s="209"/>
      <c r="E678" s="209"/>
      <c r="G678" s="90"/>
    </row>
    <row r="679">
      <c r="D679" s="209"/>
      <c r="E679" s="209"/>
      <c r="G679" s="90"/>
    </row>
    <row r="680">
      <c r="D680" s="209"/>
      <c r="E680" s="209"/>
      <c r="G680" s="90"/>
    </row>
    <row r="681">
      <c r="D681" s="209"/>
      <c r="E681" s="209"/>
      <c r="G681" s="90"/>
    </row>
    <row r="682">
      <c r="D682" s="209"/>
      <c r="E682" s="209"/>
      <c r="G682" s="90"/>
    </row>
    <row r="683">
      <c r="D683" s="209"/>
      <c r="E683" s="209"/>
      <c r="G683" s="90"/>
    </row>
    <row r="684">
      <c r="D684" s="209"/>
      <c r="E684" s="209"/>
      <c r="G684" s="90"/>
    </row>
    <row r="685">
      <c r="D685" s="209"/>
      <c r="E685" s="209"/>
      <c r="G685" s="90"/>
    </row>
    <row r="686">
      <c r="D686" s="209"/>
      <c r="E686" s="209"/>
      <c r="G686" s="90"/>
    </row>
    <row r="687">
      <c r="D687" s="209"/>
      <c r="E687" s="209"/>
      <c r="G687" s="90"/>
    </row>
    <row r="688">
      <c r="D688" s="209"/>
      <c r="E688" s="209"/>
      <c r="G688" s="90"/>
    </row>
    <row r="689">
      <c r="D689" s="209"/>
      <c r="E689" s="209"/>
      <c r="G689" s="90"/>
    </row>
    <row r="690">
      <c r="D690" s="209"/>
      <c r="E690" s="209"/>
      <c r="G690" s="90"/>
    </row>
    <row r="691">
      <c r="D691" s="209"/>
      <c r="E691" s="209"/>
      <c r="G691" s="90"/>
    </row>
    <row r="692">
      <c r="D692" s="209"/>
      <c r="E692" s="209"/>
      <c r="G692" s="90"/>
    </row>
    <row r="693">
      <c r="D693" s="209"/>
      <c r="E693" s="209"/>
      <c r="G693" s="90"/>
    </row>
    <row r="694">
      <c r="D694" s="209"/>
      <c r="E694" s="209"/>
      <c r="G694" s="90"/>
    </row>
    <row r="695">
      <c r="D695" s="209"/>
      <c r="E695" s="209"/>
      <c r="G695" s="90"/>
    </row>
    <row r="696">
      <c r="D696" s="209"/>
      <c r="E696" s="209"/>
      <c r="G696" s="90"/>
    </row>
    <row r="697">
      <c r="D697" s="209"/>
      <c r="E697" s="209"/>
      <c r="G697" s="90"/>
    </row>
    <row r="698">
      <c r="D698" s="209"/>
      <c r="E698" s="209"/>
      <c r="G698" s="90"/>
    </row>
    <row r="699">
      <c r="D699" s="209"/>
      <c r="E699" s="209"/>
      <c r="G699" s="90"/>
    </row>
    <row r="700">
      <c r="D700" s="209"/>
      <c r="E700" s="209"/>
      <c r="G700" s="90"/>
    </row>
    <row r="701">
      <c r="D701" s="209"/>
      <c r="E701" s="209"/>
      <c r="G701" s="90"/>
    </row>
    <row r="702">
      <c r="D702" s="209"/>
      <c r="E702" s="209"/>
      <c r="G702" s="90"/>
    </row>
    <row r="703">
      <c r="D703" s="209"/>
      <c r="E703" s="209"/>
      <c r="G703" s="90"/>
    </row>
    <row r="704">
      <c r="D704" s="209"/>
      <c r="E704" s="209"/>
      <c r="G704" s="90"/>
    </row>
    <row r="705">
      <c r="D705" s="209"/>
      <c r="E705" s="209"/>
      <c r="G705" s="90"/>
    </row>
    <row r="706">
      <c r="D706" s="209"/>
      <c r="E706" s="209"/>
      <c r="G706" s="90"/>
    </row>
    <row r="707">
      <c r="D707" s="209"/>
      <c r="E707" s="209"/>
      <c r="G707" s="90"/>
    </row>
    <row r="708">
      <c r="D708" s="209"/>
      <c r="E708" s="209"/>
      <c r="G708" s="90"/>
    </row>
    <row r="709">
      <c r="D709" s="209"/>
      <c r="E709" s="209"/>
      <c r="G709" s="90"/>
    </row>
    <row r="710">
      <c r="D710" s="209"/>
      <c r="E710" s="209"/>
      <c r="G710" s="90"/>
    </row>
    <row r="711">
      <c r="D711" s="209"/>
      <c r="E711" s="209"/>
      <c r="G711" s="90"/>
    </row>
    <row r="712">
      <c r="D712" s="209"/>
      <c r="E712" s="209"/>
      <c r="G712" s="90"/>
    </row>
    <row r="713">
      <c r="D713" s="209"/>
      <c r="E713" s="209"/>
      <c r="G713" s="90"/>
    </row>
    <row r="714">
      <c r="D714" s="209"/>
      <c r="E714" s="209"/>
      <c r="G714" s="90"/>
    </row>
    <row r="715">
      <c r="D715" s="209"/>
      <c r="E715" s="209"/>
      <c r="G715" s="90"/>
    </row>
    <row r="716">
      <c r="D716" s="209"/>
      <c r="E716" s="209"/>
      <c r="G716" s="90"/>
    </row>
    <row r="717">
      <c r="D717" s="209"/>
      <c r="E717" s="209"/>
      <c r="G717" s="90"/>
    </row>
    <row r="718">
      <c r="D718" s="209"/>
      <c r="E718" s="209"/>
      <c r="G718" s="90"/>
    </row>
    <row r="719">
      <c r="D719" s="209"/>
      <c r="E719" s="209"/>
      <c r="G719" s="90"/>
    </row>
    <row r="720">
      <c r="D720" s="209"/>
      <c r="E720" s="209"/>
      <c r="G720" s="90"/>
    </row>
    <row r="721">
      <c r="D721" s="209"/>
      <c r="E721" s="209"/>
      <c r="G721" s="90"/>
    </row>
    <row r="722">
      <c r="D722" s="209"/>
      <c r="E722" s="209"/>
      <c r="G722" s="90"/>
    </row>
    <row r="723">
      <c r="D723" s="209"/>
      <c r="E723" s="209"/>
      <c r="G723" s="90"/>
    </row>
    <row r="724">
      <c r="D724" s="209"/>
      <c r="E724" s="209"/>
      <c r="G724" s="90"/>
    </row>
    <row r="725">
      <c r="D725" s="209"/>
      <c r="E725" s="209"/>
      <c r="G725" s="90"/>
    </row>
    <row r="726">
      <c r="D726" s="209"/>
      <c r="E726" s="209"/>
      <c r="G726" s="90"/>
    </row>
    <row r="727">
      <c r="D727" s="209"/>
      <c r="E727" s="209"/>
      <c r="G727" s="90"/>
    </row>
    <row r="728">
      <c r="D728" s="209"/>
      <c r="E728" s="209"/>
      <c r="G728" s="90"/>
    </row>
    <row r="729">
      <c r="D729" s="209"/>
      <c r="E729" s="209"/>
      <c r="G729" s="90"/>
    </row>
    <row r="730">
      <c r="D730" s="209"/>
      <c r="E730" s="209"/>
      <c r="G730" s="90"/>
    </row>
    <row r="731">
      <c r="D731" s="209"/>
      <c r="E731" s="209"/>
      <c r="G731" s="90"/>
    </row>
    <row r="732">
      <c r="D732" s="209"/>
      <c r="E732" s="209"/>
      <c r="G732" s="90"/>
    </row>
    <row r="733">
      <c r="D733" s="209"/>
      <c r="E733" s="209"/>
      <c r="G733" s="90"/>
    </row>
    <row r="734">
      <c r="D734" s="209"/>
      <c r="E734" s="209"/>
      <c r="G734" s="90"/>
    </row>
    <row r="735">
      <c r="D735" s="209"/>
      <c r="E735" s="209"/>
      <c r="G735" s="90"/>
    </row>
    <row r="736">
      <c r="D736" s="209"/>
      <c r="E736" s="209"/>
      <c r="G736" s="90"/>
    </row>
    <row r="737">
      <c r="D737" s="209"/>
      <c r="E737" s="209"/>
      <c r="G737" s="90"/>
    </row>
    <row r="738">
      <c r="D738" s="209"/>
      <c r="E738" s="209"/>
      <c r="G738" s="90"/>
    </row>
    <row r="739">
      <c r="D739" s="209"/>
      <c r="E739" s="209"/>
      <c r="G739" s="90"/>
    </row>
    <row r="740">
      <c r="D740" s="209"/>
      <c r="E740" s="209"/>
      <c r="G740" s="90"/>
    </row>
    <row r="741">
      <c r="D741" s="209"/>
      <c r="E741" s="209"/>
      <c r="G741" s="90"/>
    </row>
    <row r="742">
      <c r="D742" s="209"/>
      <c r="E742" s="209"/>
      <c r="G742" s="90"/>
    </row>
    <row r="743">
      <c r="D743" s="209"/>
      <c r="E743" s="209"/>
      <c r="G743" s="90"/>
    </row>
    <row r="744">
      <c r="D744" s="209"/>
      <c r="E744" s="209"/>
      <c r="G744" s="90"/>
    </row>
    <row r="745">
      <c r="D745" s="209"/>
      <c r="E745" s="209"/>
      <c r="G745" s="90"/>
    </row>
    <row r="746">
      <c r="D746" s="209"/>
      <c r="E746" s="209"/>
      <c r="G746" s="90"/>
    </row>
    <row r="747">
      <c r="D747" s="209"/>
      <c r="E747" s="209"/>
      <c r="G747" s="90"/>
    </row>
    <row r="748">
      <c r="D748" s="209"/>
      <c r="E748" s="209"/>
      <c r="G748" s="90"/>
    </row>
    <row r="749">
      <c r="D749" s="209"/>
      <c r="E749" s="209"/>
      <c r="G749" s="90"/>
    </row>
    <row r="750">
      <c r="D750" s="209"/>
      <c r="E750" s="209"/>
      <c r="G750" s="90"/>
    </row>
    <row r="751">
      <c r="D751" s="209"/>
      <c r="E751" s="209"/>
      <c r="G751" s="90"/>
    </row>
    <row r="752">
      <c r="D752" s="209"/>
      <c r="E752" s="209"/>
      <c r="G752" s="90"/>
    </row>
    <row r="753">
      <c r="D753" s="209"/>
      <c r="E753" s="209"/>
      <c r="G753" s="90"/>
    </row>
    <row r="754">
      <c r="D754" s="209"/>
      <c r="E754" s="209"/>
      <c r="G754" s="90"/>
    </row>
    <row r="755">
      <c r="D755" s="209"/>
      <c r="E755" s="209"/>
      <c r="G755" s="90"/>
    </row>
    <row r="756">
      <c r="D756" s="209"/>
      <c r="E756" s="209"/>
      <c r="G756" s="90"/>
    </row>
    <row r="757">
      <c r="D757" s="209"/>
      <c r="E757" s="209"/>
      <c r="G757" s="90"/>
    </row>
    <row r="758">
      <c r="D758" s="209"/>
      <c r="E758" s="209"/>
      <c r="G758" s="90"/>
    </row>
    <row r="759">
      <c r="D759" s="209"/>
      <c r="E759" s="209"/>
      <c r="G759" s="90"/>
    </row>
    <row r="760">
      <c r="D760" s="209"/>
      <c r="E760" s="209"/>
      <c r="G760" s="90"/>
    </row>
    <row r="761">
      <c r="D761" s="209"/>
      <c r="E761" s="209"/>
      <c r="G761" s="90"/>
    </row>
    <row r="762">
      <c r="D762" s="209"/>
      <c r="E762" s="209"/>
      <c r="G762" s="90"/>
    </row>
    <row r="763">
      <c r="D763" s="209"/>
      <c r="E763" s="209"/>
      <c r="G763" s="90"/>
    </row>
    <row r="764">
      <c r="D764" s="209"/>
      <c r="E764" s="209"/>
      <c r="G764" s="90"/>
    </row>
    <row r="765">
      <c r="D765" s="209"/>
      <c r="E765" s="209"/>
      <c r="G765" s="90"/>
    </row>
    <row r="766">
      <c r="D766" s="209"/>
      <c r="E766" s="209"/>
      <c r="G766" s="90"/>
    </row>
    <row r="767">
      <c r="D767" s="209"/>
      <c r="E767" s="209"/>
      <c r="G767" s="90"/>
    </row>
    <row r="768">
      <c r="D768" s="209"/>
      <c r="E768" s="209"/>
      <c r="G768" s="90"/>
    </row>
    <row r="769">
      <c r="D769" s="209"/>
      <c r="E769" s="209"/>
      <c r="G769" s="90"/>
    </row>
    <row r="770">
      <c r="D770" s="209"/>
      <c r="E770" s="209"/>
      <c r="G770" s="90"/>
    </row>
    <row r="771">
      <c r="D771" s="209"/>
      <c r="E771" s="209"/>
      <c r="G771" s="90"/>
    </row>
    <row r="772">
      <c r="D772" s="209"/>
      <c r="E772" s="209"/>
      <c r="G772" s="90"/>
    </row>
    <row r="773">
      <c r="D773" s="209"/>
      <c r="E773" s="209"/>
      <c r="G773" s="90"/>
    </row>
    <row r="774">
      <c r="D774" s="209"/>
      <c r="E774" s="209"/>
      <c r="G774" s="90"/>
    </row>
    <row r="775">
      <c r="D775" s="209"/>
      <c r="E775" s="209"/>
      <c r="G775" s="90"/>
    </row>
    <row r="776">
      <c r="D776" s="209"/>
      <c r="E776" s="209"/>
      <c r="G776" s="90"/>
    </row>
    <row r="777">
      <c r="D777" s="209"/>
      <c r="E777" s="209"/>
      <c r="G777" s="90"/>
    </row>
    <row r="778">
      <c r="D778" s="209"/>
      <c r="E778" s="209"/>
      <c r="G778" s="90"/>
    </row>
    <row r="779">
      <c r="D779" s="209"/>
      <c r="E779" s="209"/>
      <c r="G779" s="90"/>
    </row>
    <row r="780">
      <c r="D780" s="209"/>
      <c r="E780" s="209"/>
      <c r="G780" s="90"/>
    </row>
    <row r="781">
      <c r="D781" s="209"/>
      <c r="E781" s="209"/>
      <c r="G781" s="90"/>
    </row>
    <row r="782">
      <c r="D782" s="209"/>
      <c r="E782" s="209"/>
      <c r="G782" s="90"/>
    </row>
    <row r="783">
      <c r="D783" s="209"/>
      <c r="E783" s="209"/>
      <c r="G783" s="90"/>
    </row>
    <row r="784">
      <c r="D784" s="209"/>
      <c r="E784" s="209"/>
      <c r="G784" s="90"/>
    </row>
    <row r="785">
      <c r="D785" s="209"/>
      <c r="E785" s="209"/>
      <c r="G785" s="90"/>
    </row>
    <row r="786">
      <c r="D786" s="209"/>
      <c r="E786" s="209"/>
      <c r="G786" s="90"/>
    </row>
    <row r="787">
      <c r="D787" s="209"/>
      <c r="E787" s="209"/>
      <c r="G787" s="90"/>
    </row>
    <row r="788">
      <c r="D788" s="209"/>
      <c r="E788" s="209"/>
      <c r="G788" s="90"/>
    </row>
    <row r="789">
      <c r="D789" s="209"/>
      <c r="E789" s="209"/>
      <c r="G789" s="90"/>
    </row>
    <row r="790">
      <c r="D790" s="209"/>
      <c r="E790" s="209"/>
      <c r="G790" s="90"/>
    </row>
    <row r="791">
      <c r="D791" s="209"/>
      <c r="E791" s="209"/>
      <c r="G791" s="90"/>
    </row>
    <row r="792">
      <c r="D792" s="209"/>
      <c r="E792" s="209"/>
      <c r="G792" s="90"/>
    </row>
    <row r="793">
      <c r="D793" s="209"/>
      <c r="E793" s="209"/>
      <c r="G793" s="90"/>
    </row>
    <row r="794">
      <c r="D794" s="209"/>
      <c r="E794" s="209"/>
      <c r="G794" s="90"/>
    </row>
    <row r="795">
      <c r="D795" s="209"/>
      <c r="E795" s="209"/>
      <c r="G795" s="90"/>
    </row>
    <row r="796">
      <c r="D796" s="209"/>
      <c r="E796" s="209"/>
      <c r="G796" s="90"/>
    </row>
    <row r="797">
      <c r="D797" s="209"/>
      <c r="E797" s="209"/>
      <c r="G797" s="90"/>
    </row>
    <row r="798">
      <c r="D798" s="209"/>
      <c r="E798" s="209"/>
      <c r="G798" s="90"/>
    </row>
    <row r="799">
      <c r="D799" s="209"/>
      <c r="E799" s="209"/>
      <c r="G799" s="90"/>
    </row>
    <row r="800">
      <c r="D800" s="209"/>
      <c r="E800" s="209"/>
      <c r="G800" s="90"/>
    </row>
    <row r="801">
      <c r="D801" s="209"/>
      <c r="E801" s="209"/>
      <c r="G801" s="90"/>
    </row>
    <row r="802">
      <c r="D802" s="209"/>
      <c r="E802" s="209"/>
      <c r="G802" s="90"/>
    </row>
    <row r="803">
      <c r="D803" s="209"/>
      <c r="E803" s="209"/>
      <c r="G803" s="90"/>
    </row>
    <row r="804">
      <c r="D804" s="209"/>
      <c r="E804" s="209"/>
      <c r="G804" s="90"/>
    </row>
    <row r="805">
      <c r="D805" s="209"/>
      <c r="E805" s="209"/>
      <c r="G805" s="90"/>
    </row>
    <row r="806">
      <c r="D806" s="209"/>
      <c r="E806" s="209"/>
      <c r="G806" s="90"/>
    </row>
    <row r="807">
      <c r="D807" s="209"/>
      <c r="E807" s="209"/>
      <c r="G807" s="90"/>
    </row>
    <row r="808">
      <c r="D808" s="209"/>
      <c r="E808" s="209"/>
      <c r="G808" s="90"/>
    </row>
    <row r="809">
      <c r="D809" s="209"/>
      <c r="E809" s="209"/>
      <c r="G809" s="90"/>
    </row>
    <row r="810">
      <c r="D810" s="209"/>
      <c r="E810" s="209"/>
      <c r="G810" s="90"/>
    </row>
    <row r="811">
      <c r="D811" s="209"/>
      <c r="E811" s="209"/>
      <c r="G811" s="90"/>
    </row>
    <row r="812">
      <c r="D812" s="209"/>
      <c r="E812" s="209"/>
      <c r="G812" s="90"/>
    </row>
    <row r="813">
      <c r="D813" s="209"/>
      <c r="E813" s="209"/>
      <c r="G813" s="90"/>
    </row>
    <row r="814">
      <c r="D814" s="209"/>
      <c r="E814" s="209"/>
      <c r="G814" s="90"/>
    </row>
    <row r="815">
      <c r="D815" s="209"/>
      <c r="E815" s="209"/>
      <c r="G815" s="90"/>
    </row>
    <row r="816">
      <c r="D816" s="209"/>
      <c r="E816" s="209"/>
      <c r="G816" s="90"/>
    </row>
    <row r="817">
      <c r="D817" s="209"/>
      <c r="E817" s="209"/>
      <c r="G817" s="90"/>
    </row>
    <row r="818">
      <c r="D818" s="209"/>
      <c r="E818" s="209"/>
      <c r="G818" s="90"/>
    </row>
    <row r="819">
      <c r="D819" s="209"/>
      <c r="E819" s="209"/>
      <c r="G819" s="90"/>
    </row>
    <row r="820">
      <c r="D820" s="209"/>
      <c r="E820" s="209"/>
      <c r="G820" s="90"/>
    </row>
    <row r="821">
      <c r="D821" s="209"/>
      <c r="E821" s="209"/>
      <c r="G821" s="90"/>
    </row>
    <row r="822">
      <c r="D822" s="209"/>
      <c r="E822" s="209"/>
      <c r="G822" s="90"/>
    </row>
    <row r="823">
      <c r="D823" s="209"/>
      <c r="E823" s="209"/>
      <c r="G823" s="90"/>
    </row>
    <row r="824">
      <c r="D824" s="209"/>
      <c r="E824" s="209"/>
      <c r="G824" s="90"/>
    </row>
    <row r="825">
      <c r="D825" s="209"/>
      <c r="E825" s="209"/>
      <c r="G825" s="90"/>
    </row>
    <row r="826">
      <c r="D826" s="209"/>
      <c r="E826" s="209"/>
      <c r="G826" s="90"/>
    </row>
    <row r="827">
      <c r="D827" s="209"/>
      <c r="E827" s="209"/>
      <c r="G827" s="90"/>
    </row>
    <row r="828">
      <c r="D828" s="209"/>
      <c r="E828" s="209"/>
      <c r="G828" s="90"/>
    </row>
    <row r="829">
      <c r="D829" s="209"/>
      <c r="E829" s="209"/>
      <c r="G829" s="90"/>
    </row>
    <row r="830">
      <c r="D830" s="209"/>
      <c r="E830" s="209"/>
      <c r="G830" s="90"/>
    </row>
    <row r="831">
      <c r="D831" s="209"/>
      <c r="E831" s="209"/>
      <c r="G831" s="90"/>
    </row>
    <row r="832">
      <c r="D832" s="209"/>
      <c r="E832" s="209"/>
      <c r="G832" s="90"/>
    </row>
    <row r="833">
      <c r="D833" s="209"/>
      <c r="E833" s="209"/>
      <c r="G833" s="90"/>
    </row>
    <row r="834">
      <c r="D834" s="209"/>
      <c r="E834" s="209"/>
      <c r="G834" s="90"/>
    </row>
    <row r="835">
      <c r="D835" s="209"/>
      <c r="E835" s="209"/>
      <c r="G835" s="90"/>
    </row>
    <row r="836">
      <c r="D836" s="209"/>
      <c r="E836" s="209"/>
      <c r="G836" s="90"/>
    </row>
    <row r="837">
      <c r="D837" s="209"/>
      <c r="E837" s="209"/>
      <c r="G837" s="90"/>
    </row>
    <row r="838">
      <c r="D838" s="209"/>
      <c r="E838" s="209"/>
      <c r="G838" s="90"/>
    </row>
    <row r="839">
      <c r="D839" s="209"/>
      <c r="E839" s="209"/>
      <c r="G839" s="90"/>
    </row>
    <row r="840">
      <c r="D840" s="209"/>
      <c r="E840" s="209"/>
      <c r="G840" s="90"/>
    </row>
    <row r="841">
      <c r="D841" s="209"/>
      <c r="E841" s="209"/>
      <c r="G841" s="90"/>
    </row>
    <row r="842">
      <c r="D842" s="209"/>
      <c r="E842" s="209"/>
      <c r="G842" s="90"/>
    </row>
    <row r="843">
      <c r="D843" s="209"/>
      <c r="E843" s="209"/>
      <c r="G843" s="90"/>
    </row>
    <row r="844">
      <c r="D844" s="209"/>
      <c r="E844" s="209"/>
      <c r="G844" s="90"/>
    </row>
    <row r="845">
      <c r="D845" s="209"/>
      <c r="E845" s="209"/>
      <c r="G845" s="90"/>
    </row>
    <row r="846">
      <c r="D846" s="209"/>
      <c r="E846" s="209"/>
      <c r="G846" s="90"/>
    </row>
    <row r="847">
      <c r="D847" s="209"/>
      <c r="E847" s="209"/>
      <c r="G847" s="90"/>
    </row>
    <row r="848">
      <c r="D848" s="209"/>
      <c r="E848" s="209"/>
      <c r="G848" s="90"/>
    </row>
    <row r="849">
      <c r="D849" s="209"/>
      <c r="E849" s="209"/>
      <c r="G849" s="90"/>
    </row>
    <row r="850">
      <c r="D850" s="209"/>
      <c r="E850" s="209"/>
      <c r="G850" s="90"/>
    </row>
    <row r="851">
      <c r="D851" s="209"/>
      <c r="E851" s="209"/>
      <c r="G851" s="90"/>
    </row>
    <row r="852">
      <c r="D852" s="209"/>
      <c r="E852" s="209"/>
      <c r="G852" s="90"/>
    </row>
    <row r="853">
      <c r="D853" s="209"/>
      <c r="E853" s="209"/>
      <c r="G853" s="90"/>
    </row>
    <row r="854">
      <c r="D854" s="209"/>
      <c r="E854" s="209"/>
      <c r="G854" s="90"/>
    </row>
    <row r="855">
      <c r="D855" s="209"/>
      <c r="E855" s="209"/>
      <c r="G855" s="90"/>
    </row>
    <row r="856">
      <c r="D856" s="209"/>
      <c r="E856" s="209"/>
      <c r="G856" s="90"/>
    </row>
    <row r="857">
      <c r="D857" s="209"/>
      <c r="E857" s="209"/>
      <c r="G857" s="90"/>
    </row>
    <row r="858">
      <c r="D858" s="209"/>
      <c r="E858" s="209"/>
      <c r="G858" s="90"/>
    </row>
    <row r="859">
      <c r="D859" s="209"/>
      <c r="E859" s="209"/>
      <c r="G859" s="90"/>
    </row>
    <row r="860">
      <c r="D860" s="209"/>
      <c r="E860" s="209"/>
      <c r="G860" s="90"/>
    </row>
    <row r="861">
      <c r="D861" s="209"/>
      <c r="E861" s="209"/>
      <c r="G861" s="90"/>
    </row>
    <row r="862">
      <c r="D862" s="209"/>
      <c r="E862" s="209"/>
      <c r="G862" s="90"/>
    </row>
    <row r="863">
      <c r="D863" s="209"/>
      <c r="E863" s="209"/>
      <c r="G863" s="90"/>
    </row>
    <row r="864">
      <c r="D864" s="209"/>
      <c r="E864" s="209"/>
      <c r="G864" s="90"/>
    </row>
    <row r="865">
      <c r="D865" s="209"/>
      <c r="E865" s="209"/>
      <c r="G865" s="90"/>
    </row>
    <row r="866">
      <c r="D866" s="209"/>
      <c r="E866" s="209"/>
      <c r="G866" s="90"/>
    </row>
    <row r="867">
      <c r="D867" s="209"/>
      <c r="E867" s="209"/>
      <c r="G867" s="90"/>
    </row>
    <row r="868">
      <c r="D868" s="209"/>
      <c r="E868" s="209"/>
      <c r="G868" s="90"/>
    </row>
    <row r="869">
      <c r="D869" s="209"/>
      <c r="E869" s="209"/>
      <c r="G869" s="90"/>
    </row>
    <row r="870">
      <c r="D870" s="209"/>
      <c r="E870" s="209"/>
      <c r="G870" s="90"/>
    </row>
    <row r="871">
      <c r="D871" s="209"/>
      <c r="E871" s="209"/>
      <c r="G871" s="90"/>
    </row>
    <row r="872">
      <c r="D872" s="209"/>
      <c r="E872" s="209"/>
      <c r="G872" s="90"/>
    </row>
    <row r="873">
      <c r="D873" s="209"/>
      <c r="E873" s="209"/>
      <c r="G873" s="90"/>
    </row>
    <row r="874">
      <c r="D874" s="209"/>
      <c r="E874" s="209"/>
      <c r="G874" s="90"/>
    </row>
    <row r="875">
      <c r="D875" s="209"/>
      <c r="E875" s="209"/>
      <c r="G875" s="90"/>
    </row>
    <row r="876">
      <c r="D876" s="209"/>
      <c r="E876" s="209"/>
      <c r="G876" s="90"/>
    </row>
    <row r="877">
      <c r="D877" s="209"/>
      <c r="E877" s="209"/>
      <c r="G877" s="90"/>
    </row>
    <row r="878">
      <c r="D878" s="209"/>
      <c r="E878" s="209"/>
      <c r="G878" s="90"/>
    </row>
    <row r="879">
      <c r="D879" s="209"/>
      <c r="E879" s="209"/>
      <c r="G879" s="90"/>
    </row>
    <row r="880">
      <c r="D880" s="209"/>
      <c r="E880" s="209"/>
      <c r="G880" s="90"/>
    </row>
    <row r="881">
      <c r="D881" s="209"/>
      <c r="E881" s="209"/>
      <c r="G881" s="90"/>
    </row>
    <row r="882">
      <c r="D882" s="209"/>
      <c r="E882" s="209"/>
      <c r="G882" s="90"/>
    </row>
    <row r="883">
      <c r="D883" s="209"/>
      <c r="E883" s="209"/>
      <c r="G883" s="90"/>
    </row>
    <row r="884">
      <c r="D884" s="209"/>
      <c r="E884" s="209"/>
      <c r="G884" s="90"/>
    </row>
    <row r="885">
      <c r="D885" s="209"/>
      <c r="E885" s="209"/>
      <c r="G885" s="90"/>
    </row>
    <row r="886">
      <c r="D886" s="209"/>
      <c r="E886" s="209"/>
      <c r="G886" s="90"/>
    </row>
    <row r="887">
      <c r="D887" s="209"/>
      <c r="E887" s="209"/>
      <c r="G887" s="90"/>
    </row>
    <row r="888">
      <c r="D888" s="209"/>
      <c r="E888" s="209"/>
      <c r="G888" s="90"/>
    </row>
    <row r="889">
      <c r="D889" s="209"/>
      <c r="E889" s="209"/>
      <c r="G889" s="90"/>
    </row>
    <row r="890">
      <c r="D890" s="209"/>
      <c r="E890" s="209"/>
      <c r="G890" s="90"/>
    </row>
    <row r="891">
      <c r="D891" s="209"/>
      <c r="E891" s="209"/>
      <c r="G891" s="90"/>
    </row>
    <row r="892">
      <c r="D892" s="209"/>
      <c r="E892" s="209"/>
      <c r="G892" s="90"/>
    </row>
    <row r="893">
      <c r="D893" s="209"/>
      <c r="E893" s="209"/>
      <c r="G893" s="90"/>
    </row>
    <row r="894">
      <c r="D894" s="209"/>
      <c r="E894" s="209"/>
      <c r="G894" s="90"/>
    </row>
    <row r="895">
      <c r="D895" s="209"/>
      <c r="E895" s="209"/>
      <c r="G895" s="90"/>
    </row>
    <row r="896">
      <c r="D896" s="209"/>
      <c r="E896" s="209"/>
      <c r="G896" s="90"/>
    </row>
    <row r="897">
      <c r="D897" s="209"/>
      <c r="E897" s="209"/>
      <c r="G897" s="90"/>
    </row>
    <row r="898">
      <c r="D898" s="209"/>
      <c r="E898" s="209"/>
      <c r="G898" s="90"/>
    </row>
    <row r="899">
      <c r="D899" s="209"/>
      <c r="E899" s="209"/>
      <c r="G899" s="90"/>
    </row>
    <row r="900">
      <c r="D900" s="209"/>
      <c r="E900" s="209"/>
      <c r="G900" s="90"/>
    </row>
    <row r="901">
      <c r="D901" s="209"/>
      <c r="E901" s="209"/>
      <c r="G901" s="90"/>
    </row>
    <row r="902">
      <c r="D902" s="209"/>
      <c r="E902" s="209"/>
      <c r="G902" s="90"/>
    </row>
    <row r="903">
      <c r="D903" s="209"/>
      <c r="E903" s="209"/>
      <c r="G903" s="90"/>
    </row>
    <row r="904">
      <c r="D904" s="209"/>
      <c r="E904" s="209"/>
      <c r="G904" s="90"/>
    </row>
    <row r="905">
      <c r="D905" s="209"/>
      <c r="E905" s="209"/>
      <c r="G905" s="90"/>
    </row>
    <row r="906">
      <c r="D906" s="209"/>
      <c r="E906" s="209"/>
      <c r="G906" s="90"/>
    </row>
    <row r="907">
      <c r="D907" s="209"/>
      <c r="E907" s="209"/>
      <c r="G907" s="90"/>
    </row>
    <row r="908">
      <c r="D908" s="209"/>
      <c r="E908" s="209"/>
      <c r="G908" s="90"/>
    </row>
    <row r="909">
      <c r="D909" s="209"/>
      <c r="E909" s="209"/>
      <c r="G909" s="90"/>
    </row>
    <row r="910">
      <c r="D910" s="209"/>
      <c r="E910" s="209"/>
      <c r="G910" s="90"/>
    </row>
    <row r="911">
      <c r="D911" s="209"/>
      <c r="E911" s="209"/>
      <c r="G911" s="90"/>
    </row>
    <row r="912">
      <c r="D912" s="209"/>
      <c r="E912" s="209"/>
      <c r="G912" s="90"/>
    </row>
    <row r="913">
      <c r="D913" s="209"/>
      <c r="E913" s="209"/>
      <c r="G913" s="90"/>
    </row>
    <row r="914">
      <c r="D914" s="209"/>
      <c r="E914" s="209"/>
      <c r="G914" s="90"/>
    </row>
    <row r="915">
      <c r="D915" s="209"/>
      <c r="E915" s="209"/>
      <c r="G915" s="90"/>
    </row>
    <row r="916">
      <c r="D916" s="209"/>
      <c r="E916" s="209"/>
      <c r="G916" s="90"/>
    </row>
    <row r="917">
      <c r="D917" s="209"/>
      <c r="E917" s="209"/>
      <c r="G917" s="90"/>
    </row>
    <row r="918">
      <c r="D918" s="209"/>
      <c r="E918" s="209"/>
      <c r="G918" s="90"/>
    </row>
    <row r="919">
      <c r="D919" s="209"/>
      <c r="E919" s="209"/>
      <c r="G919" s="90"/>
    </row>
    <row r="920">
      <c r="D920" s="209"/>
      <c r="E920" s="209"/>
      <c r="G920" s="90"/>
    </row>
    <row r="921">
      <c r="D921" s="209"/>
      <c r="E921" s="209"/>
      <c r="G921" s="90"/>
    </row>
    <row r="922">
      <c r="D922" s="209"/>
      <c r="E922" s="209"/>
      <c r="G922" s="90"/>
    </row>
    <row r="923">
      <c r="D923" s="209"/>
      <c r="E923" s="209"/>
      <c r="G923" s="90"/>
    </row>
    <row r="924">
      <c r="D924" s="209"/>
      <c r="E924" s="209"/>
      <c r="G924" s="90"/>
    </row>
    <row r="925">
      <c r="D925" s="209"/>
      <c r="E925" s="209"/>
      <c r="G925" s="90"/>
    </row>
    <row r="926">
      <c r="D926" s="209"/>
      <c r="E926" s="209"/>
      <c r="G926" s="90"/>
    </row>
    <row r="927">
      <c r="D927" s="209"/>
      <c r="E927" s="209"/>
      <c r="G927" s="90"/>
    </row>
    <row r="928">
      <c r="D928" s="209"/>
      <c r="E928" s="209"/>
      <c r="G928" s="90"/>
    </row>
    <row r="929">
      <c r="D929" s="209"/>
      <c r="E929" s="209"/>
      <c r="G929" s="90"/>
    </row>
    <row r="930">
      <c r="D930" s="209"/>
      <c r="E930" s="209"/>
      <c r="G930" s="90"/>
    </row>
    <row r="931">
      <c r="D931" s="209"/>
      <c r="E931" s="209"/>
      <c r="G931" s="90"/>
    </row>
    <row r="932">
      <c r="D932" s="209"/>
      <c r="E932" s="209"/>
      <c r="G932" s="90"/>
    </row>
    <row r="933">
      <c r="D933" s="209"/>
      <c r="E933" s="209"/>
      <c r="G933" s="90"/>
    </row>
    <row r="934">
      <c r="D934" s="209"/>
      <c r="E934" s="209"/>
      <c r="G934" s="90"/>
    </row>
    <row r="935">
      <c r="D935" s="209"/>
      <c r="E935" s="209"/>
      <c r="G935" s="90"/>
    </row>
    <row r="936">
      <c r="D936" s="209"/>
      <c r="E936" s="209"/>
      <c r="G936" s="90"/>
    </row>
    <row r="937">
      <c r="D937" s="209"/>
      <c r="E937" s="209"/>
      <c r="G937" s="90"/>
    </row>
    <row r="938">
      <c r="D938" s="209"/>
      <c r="E938" s="209"/>
      <c r="G938" s="90"/>
    </row>
    <row r="939">
      <c r="D939" s="209"/>
      <c r="E939" s="209"/>
      <c r="G939" s="90"/>
    </row>
    <row r="940">
      <c r="D940" s="209"/>
      <c r="E940" s="209"/>
      <c r="G940" s="90"/>
    </row>
    <row r="941">
      <c r="D941" s="209"/>
      <c r="E941" s="209"/>
      <c r="G941" s="90"/>
    </row>
    <row r="942">
      <c r="D942" s="209"/>
      <c r="E942" s="209"/>
      <c r="G942" s="90"/>
    </row>
    <row r="943">
      <c r="D943" s="209"/>
      <c r="E943" s="209"/>
      <c r="G943" s="90"/>
    </row>
    <row r="944">
      <c r="D944" s="209"/>
      <c r="E944" s="209"/>
      <c r="G944" s="90"/>
    </row>
    <row r="945">
      <c r="D945" s="209"/>
      <c r="E945" s="209"/>
      <c r="G945" s="90"/>
    </row>
    <row r="946">
      <c r="D946" s="209"/>
      <c r="E946" s="209"/>
      <c r="G946" s="90"/>
    </row>
    <row r="947">
      <c r="D947" s="209"/>
      <c r="E947" s="209"/>
      <c r="G947" s="90"/>
    </row>
    <row r="948">
      <c r="D948" s="209"/>
      <c r="E948" s="209"/>
      <c r="G948" s="90"/>
    </row>
    <row r="949">
      <c r="D949" s="209"/>
      <c r="E949" s="209"/>
      <c r="G949" s="90"/>
    </row>
    <row r="950">
      <c r="D950" s="209"/>
      <c r="E950" s="209"/>
      <c r="G950" s="90"/>
    </row>
    <row r="951">
      <c r="D951" s="209"/>
      <c r="E951" s="209"/>
      <c r="G951" s="90"/>
    </row>
    <row r="952">
      <c r="D952" s="209"/>
      <c r="E952" s="209"/>
      <c r="G952" s="90"/>
    </row>
    <row r="953">
      <c r="D953" s="209"/>
      <c r="E953" s="209"/>
      <c r="G953" s="90"/>
    </row>
    <row r="954">
      <c r="D954" s="209"/>
      <c r="E954" s="209"/>
      <c r="G954" s="90"/>
    </row>
    <row r="955">
      <c r="D955" s="209"/>
      <c r="E955" s="209"/>
      <c r="G955" s="90"/>
    </row>
    <row r="956">
      <c r="D956" s="209"/>
      <c r="E956" s="209"/>
      <c r="G956" s="90"/>
    </row>
    <row r="957">
      <c r="D957" s="209"/>
      <c r="E957" s="209"/>
      <c r="G957" s="90"/>
    </row>
    <row r="958">
      <c r="D958" s="209"/>
      <c r="E958" s="209"/>
      <c r="G958" s="90"/>
    </row>
    <row r="959">
      <c r="D959" s="209"/>
      <c r="E959" s="209"/>
      <c r="G959" s="90"/>
    </row>
    <row r="960">
      <c r="D960" s="209"/>
      <c r="E960" s="209"/>
      <c r="G960" s="90"/>
    </row>
    <row r="961">
      <c r="D961" s="209"/>
      <c r="E961" s="209"/>
      <c r="G961" s="90"/>
    </row>
    <row r="962">
      <c r="D962" s="209"/>
      <c r="E962" s="209"/>
      <c r="G962" s="90"/>
    </row>
    <row r="963">
      <c r="D963" s="209"/>
      <c r="E963" s="209"/>
      <c r="G963" s="90"/>
    </row>
    <row r="964">
      <c r="D964" s="209"/>
      <c r="E964" s="209"/>
      <c r="G964" s="90"/>
    </row>
    <row r="965">
      <c r="D965" s="209"/>
      <c r="E965" s="209"/>
      <c r="G965" s="90"/>
    </row>
    <row r="966">
      <c r="D966" s="209"/>
      <c r="E966" s="209"/>
      <c r="G966" s="90"/>
    </row>
    <row r="967">
      <c r="D967" s="209"/>
      <c r="E967" s="209"/>
      <c r="G967" s="90"/>
    </row>
    <row r="968">
      <c r="D968" s="209"/>
      <c r="E968" s="209"/>
      <c r="G968" s="90"/>
    </row>
    <row r="969">
      <c r="D969" s="209"/>
      <c r="E969" s="209"/>
      <c r="G969" s="90"/>
    </row>
    <row r="970">
      <c r="D970" s="209"/>
      <c r="E970" s="209"/>
      <c r="G970" s="90"/>
    </row>
    <row r="971">
      <c r="D971" s="209"/>
      <c r="E971" s="209"/>
      <c r="G971" s="90"/>
    </row>
    <row r="972">
      <c r="D972" s="209"/>
      <c r="E972" s="209"/>
      <c r="G972" s="90"/>
    </row>
    <row r="973">
      <c r="D973" s="209"/>
      <c r="E973" s="209"/>
      <c r="G973" s="90"/>
    </row>
    <row r="974">
      <c r="D974" s="209"/>
      <c r="E974" s="209"/>
      <c r="G974" s="90"/>
    </row>
    <row r="975">
      <c r="D975" s="209"/>
      <c r="E975" s="209"/>
      <c r="G975" s="90"/>
    </row>
    <row r="976">
      <c r="D976" s="209"/>
      <c r="E976" s="209"/>
      <c r="G976" s="90"/>
    </row>
    <row r="977">
      <c r="D977" s="209"/>
      <c r="E977" s="209"/>
      <c r="G977" s="90"/>
    </row>
    <row r="978">
      <c r="D978" s="209"/>
      <c r="E978" s="209"/>
      <c r="G978" s="90"/>
    </row>
    <row r="979">
      <c r="D979" s="209"/>
      <c r="E979" s="209"/>
      <c r="G979" s="90"/>
    </row>
    <row r="980">
      <c r="D980" s="209"/>
      <c r="E980" s="209"/>
      <c r="G980" s="90"/>
    </row>
    <row r="981">
      <c r="D981" s="209"/>
      <c r="E981" s="209"/>
      <c r="G981" s="90"/>
    </row>
    <row r="982">
      <c r="D982" s="209"/>
      <c r="E982" s="209"/>
      <c r="G982" s="90"/>
    </row>
    <row r="983">
      <c r="D983" s="209"/>
      <c r="E983" s="209"/>
      <c r="G983" s="90"/>
    </row>
    <row r="984">
      <c r="D984" s="209"/>
      <c r="E984" s="209"/>
      <c r="G984" s="90"/>
    </row>
    <row r="985">
      <c r="D985" s="209"/>
      <c r="E985" s="209"/>
      <c r="G985" s="90"/>
    </row>
    <row r="986">
      <c r="D986" s="209"/>
      <c r="E986" s="209"/>
      <c r="G986" s="90"/>
    </row>
    <row r="987">
      <c r="D987" s="209"/>
      <c r="E987" s="209"/>
      <c r="G987" s="90"/>
    </row>
    <row r="988">
      <c r="D988" s="209"/>
      <c r="E988" s="209"/>
      <c r="G988" s="90"/>
    </row>
    <row r="989">
      <c r="D989" s="209"/>
      <c r="E989" s="209"/>
      <c r="G989" s="90"/>
    </row>
    <row r="990">
      <c r="D990" s="209"/>
      <c r="E990" s="209"/>
      <c r="G990" s="90"/>
    </row>
    <row r="991">
      <c r="D991" s="209"/>
      <c r="E991" s="209"/>
      <c r="G991" s="90"/>
    </row>
    <row r="992">
      <c r="D992" s="209"/>
      <c r="E992" s="209"/>
      <c r="G992" s="90"/>
    </row>
    <row r="993">
      <c r="D993" s="209"/>
      <c r="E993" s="209"/>
      <c r="G993" s="90"/>
    </row>
    <row r="994">
      <c r="D994" s="209"/>
      <c r="E994" s="209"/>
      <c r="G994" s="90"/>
    </row>
    <row r="995">
      <c r="D995" s="209"/>
      <c r="E995" s="209"/>
      <c r="G995" s="90"/>
    </row>
    <row r="996">
      <c r="D996" s="209"/>
      <c r="E996" s="209"/>
      <c r="G996" s="90"/>
    </row>
    <row r="997">
      <c r="D997" s="209"/>
      <c r="E997" s="209"/>
      <c r="G997" s="90"/>
    </row>
    <row r="998">
      <c r="D998" s="209"/>
      <c r="E998" s="209"/>
      <c r="G998" s="90"/>
    </row>
    <row r="999">
      <c r="D999" s="209"/>
      <c r="E999" s="209"/>
      <c r="G999" s="90"/>
    </row>
    <row r="1000">
      <c r="D1000" s="209"/>
      <c r="E1000" s="209"/>
      <c r="G1000" s="90"/>
    </row>
    <row r="1001">
      <c r="D1001" s="209"/>
      <c r="E1001" s="209"/>
      <c r="G1001" s="90"/>
    </row>
    <row r="1002">
      <c r="D1002" s="209"/>
      <c r="E1002" s="209"/>
      <c r="G1002" s="90"/>
    </row>
    <row r="1003">
      <c r="D1003" s="209"/>
      <c r="E1003" s="209"/>
      <c r="G1003" s="90"/>
    </row>
    <row r="1004">
      <c r="D1004" s="209"/>
      <c r="E1004" s="209"/>
      <c r="G1004" s="90"/>
    </row>
    <row r="1005">
      <c r="D1005" s="209"/>
      <c r="E1005" s="209"/>
      <c r="G1005" s="90"/>
    </row>
    <row r="1006">
      <c r="D1006" s="209"/>
      <c r="E1006" s="209"/>
      <c r="G1006" s="90"/>
    </row>
    <row r="1007">
      <c r="D1007" s="209"/>
      <c r="E1007" s="209"/>
      <c r="G1007" s="90"/>
    </row>
    <row r="1008">
      <c r="D1008" s="209"/>
      <c r="E1008" s="209"/>
      <c r="G1008" s="90"/>
    </row>
    <row r="1009">
      <c r="D1009" s="209"/>
      <c r="E1009" s="209"/>
      <c r="G1009" s="90"/>
    </row>
    <row r="1010">
      <c r="D1010" s="209"/>
      <c r="E1010" s="209"/>
      <c r="G1010" s="90"/>
    </row>
    <row r="1011">
      <c r="D1011" s="209"/>
      <c r="E1011" s="209"/>
      <c r="G1011" s="90"/>
    </row>
    <row r="1012">
      <c r="D1012" s="209"/>
      <c r="E1012" s="209"/>
      <c r="G1012" s="90"/>
    </row>
    <row r="1013">
      <c r="D1013" s="209"/>
      <c r="E1013" s="209"/>
      <c r="G1013" s="90"/>
    </row>
    <row r="1014">
      <c r="D1014" s="209"/>
      <c r="E1014" s="209"/>
      <c r="G1014" s="90"/>
    </row>
    <row r="1015">
      <c r="D1015" s="209"/>
      <c r="E1015" s="209"/>
      <c r="G1015" s="90"/>
    </row>
    <row r="1016">
      <c r="D1016" s="209"/>
      <c r="E1016" s="209"/>
      <c r="G1016" s="90"/>
    </row>
    <row r="1017">
      <c r="D1017" s="209"/>
      <c r="E1017" s="209"/>
      <c r="G1017" s="90"/>
    </row>
    <row r="1018">
      <c r="D1018" s="209"/>
      <c r="E1018" s="209"/>
      <c r="G1018" s="90"/>
    </row>
    <row r="1019">
      <c r="D1019" s="209"/>
      <c r="E1019" s="209"/>
      <c r="G1019" s="90"/>
    </row>
    <row r="1020">
      <c r="D1020" s="209"/>
      <c r="E1020" s="209"/>
      <c r="G1020" s="90"/>
    </row>
    <row r="1021">
      <c r="D1021" s="209"/>
      <c r="E1021" s="209"/>
      <c r="G1021" s="90"/>
    </row>
    <row r="1022">
      <c r="D1022" s="209"/>
      <c r="E1022" s="209"/>
      <c r="G1022" s="90"/>
    </row>
    <row r="1023">
      <c r="D1023" s="209"/>
      <c r="E1023" s="209"/>
      <c r="G1023" s="90"/>
    </row>
    <row r="1024">
      <c r="D1024" s="209"/>
      <c r="E1024" s="209"/>
      <c r="G1024" s="90"/>
    </row>
    <row r="1025">
      <c r="D1025" s="209"/>
      <c r="E1025" s="209"/>
      <c r="G1025" s="90"/>
    </row>
    <row r="1026">
      <c r="D1026" s="209"/>
      <c r="E1026" s="209"/>
      <c r="G1026" s="90"/>
    </row>
    <row r="1027">
      <c r="D1027" s="209"/>
      <c r="E1027" s="209"/>
      <c r="G1027" s="90"/>
    </row>
    <row r="1028">
      <c r="D1028" s="209"/>
      <c r="E1028" s="209"/>
      <c r="G1028" s="90"/>
    </row>
    <row r="1029">
      <c r="D1029" s="209"/>
      <c r="E1029" s="209"/>
      <c r="G1029" s="90"/>
    </row>
    <row r="1030">
      <c r="D1030" s="209"/>
      <c r="E1030" s="209"/>
      <c r="G1030" s="90"/>
    </row>
    <row r="1031">
      <c r="D1031" s="209"/>
      <c r="E1031" s="209"/>
      <c r="G1031" s="90"/>
    </row>
    <row r="1032">
      <c r="D1032" s="209"/>
      <c r="E1032" s="209"/>
      <c r="G1032" s="90"/>
    </row>
    <row r="1033">
      <c r="D1033" s="209"/>
      <c r="E1033" s="209"/>
      <c r="G1033" s="90"/>
    </row>
    <row r="1034">
      <c r="D1034" s="209"/>
      <c r="E1034" s="209"/>
      <c r="G1034" s="90"/>
    </row>
    <row r="1035">
      <c r="D1035" s="209"/>
      <c r="E1035" s="209"/>
      <c r="G1035" s="90"/>
    </row>
    <row r="1036">
      <c r="D1036" s="209"/>
      <c r="E1036" s="209"/>
      <c r="G1036" s="90"/>
    </row>
    <row r="1037">
      <c r="D1037" s="209"/>
      <c r="E1037" s="209"/>
      <c r="G1037" s="90"/>
    </row>
    <row r="1038">
      <c r="D1038" s="209"/>
      <c r="E1038" s="209"/>
      <c r="G1038" s="90"/>
    </row>
    <row r="1039">
      <c r="D1039" s="209"/>
      <c r="E1039" s="209"/>
      <c r="G1039" s="90"/>
    </row>
    <row r="1040">
      <c r="D1040" s="209"/>
      <c r="E1040" s="209"/>
      <c r="G1040" s="90"/>
    </row>
    <row r="1041">
      <c r="D1041" s="209"/>
      <c r="E1041" s="209"/>
      <c r="G1041" s="90"/>
    </row>
    <row r="1042">
      <c r="D1042" s="209"/>
      <c r="E1042" s="209"/>
      <c r="G1042" s="90"/>
    </row>
    <row r="1043">
      <c r="D1043" s="209"/>
      <c r="E1043" s="209"/>
      <c r="G1043" s="90"/>
    </row>
    <row r="1044">
      <c r="D1044" s="209"/>
      <c r="E1044" s="209"/>
      <c r="G1044" s="90"/>
    </row>
    <row r="1045">
      <c r="D1045" s="209"/>
      <c r="E1045" s="209"/>
      <c r="G1045" s="90"/>
    </row>
    <row r="1046">
      <c r="D1046" s="209"/>
      <c r="E1046" s="209"/>
      <c r="G1046" s="90"/>
    </row>
    <row r="1047">
      <c r="D1047" s="209"/>
      <c r="E1047" s="209"/>
      <c r="G1047" s="90"/>
    </row>
    <row r="1048">
      <c r="D1048" s="209"/>
      <c r="E1048" s="209"/>
      <c r="G1048" s="90"/>
    </row>
    <row r="1049">
      <c r="D1049" s="209"/>
      <c r="E1049" s="209"/>
      <c r="G1049" s="90"/>
    </row>
    <row r="1050">
      <c r="D1050" s="209"/>
      <c r="E1050" s="209"/>
      <c r="G1050" s="90"/>
    </row>
    <row r="1051">
      <c r="D1051" s="209"/>
      <c r="E1051" s="209"/>
      <c r="G1051" s="90"/>
    </row>
    <row r="1052">
      <c r="D1052" s="209"/>
      <c r="E1052" s="209"/>
      <c r="G1052" s="90"/>
    </row>
    <row r="1053">
      <c r="D1053" s="209"/>
      <c r="E1053" s="209"/>
      <c r="G1053" s="90"/>
    </row>
    <row r="1054">
      <c r="D1054" s="209"/>
      <c r="E1054" s="209"/>
      <c r="G1054" s="90"/>
    </row>
    <row r="1055">
      <c r="D1055" s="209"/>
      <c r="E1055" s="209"/>
      <c r="G1055" s="90"/>
    </row>
    <row r="1056">
      <c r="D1056" s="209"/>
      <c r="E1056" s="209"/>
      <c r="G1056" s="90"/>
    </row>
    <row r="1057">
      <c r="D1057" s="209"/>
      <c r="E1057" s="209"/>
      <c r="G1057" s="90"/>
    </row>
    <row r="1058">
      <c r="D1058" s="209"/>
      <c r="E1058" s="209"/>
      <c r="G1058" s="90"/>
    </row>
    <row r="1059">
      <c r="D1059" s="209"/>
      <c r="E1059" s="209"/>
      <c r="G1059" s="90"/>
    </row>
    <row r="1060">
      <c r="D1060" s="209"/>
      <c r="E1060" s="209"/>
      <c r="G1060" s="90"/>
    </row>
    <row r="1061">
      <c r="D1061" s="209"/>
      <c r="E1061" s="209"/>
      <c r="G1061" s="90"/>
    </row>
    <row r="1062">
      <c r="D1062" s="209"/>
      <c r="E1062" s="209"/>
      <c r="G1062" s="90"/>
    </row>
    <row r="1063">
      <c r="D1063" s="209"/>
      <c r="E1063" s="209"/>
      <c r="G1063" s="90"/>
    </row>
    <row r="1064">
      <c r="D1064" s="209"/>
      <c r="E1064" s="209"/>
      <c r="G1064" s="90"/>
    </row>
    <row r="1065">
      <c r="D1065" s="209"/>
      <c r="E1065" s="209"/>
      <c r="G1065" s="90"/>
    </row>
    <row r="1066">
      <c r="D1066" s="209"/>
      <c r="E1066" s="209"/>
      <c r="G1066" s="90"/>
    </row>
    <row r="1067">
      <c r="D1067" s="209"/>
      <c r="E1067" s="209"/>
      <c r="G1067" s="90"/>
    </row>
    <row r="1068">
      <c r="D1068" s="209"/>
      <c r="E1068" s="209"/>
      <c r="G1068" s="90"/>
    </row>
    <row r="1069">
      <c r="D1069" s="209"/>
      <c r="E1069" s="209"/>
      <c r="G1069" s="90"/>
    </row>
    <row r="1070">
      <c r="D1070" s="209"/>
      <c r="E1070" s="209"/>
      <c r="G1070" s="90"/>
    </row>
    <row r="1071">
      <c r="D1071" s="209"/>
      <c r="E1071" s="209"/>
      <c r="G1071" s="90"/>
    </row>
  </sheetData>
  <autoFilter ref="$A$1:$AS$1071">
    <filterColumn colId="12">
      <filters blank="1">
        <filter val="1000"/>
        <filter val="1120"/>
        <filter val="550"/>
        <filter val="695"/>
        <filter val="970"/>
        <filter val="795"/>
        <filter val="630"/>
        <filter val="950"/>
        <filter val="774"/>
        <filter val="1015"/>
        <filter val="675"/>
        <filter val="655"/>
        <filter val="955"/>
        <filter val="714"/>
        <filter val="ИТОГО К ОПЛАТЕ"/>
        <filter val="1273"/>
        <filter val="1150"/>
        <filter val="680"/>
        <filter val="780"/>
        <filter val="0"/>
        <filter val="980"/>
        <filter val="585"/>
        <filter val="685"/>
        <filter val="1458.64"/>
        <filter val="665"/>
        <filter val="720"/>
        <filter val="600"/>
        <filter val="950+200=1150"/>
        <filter val="689"/>
        <filter val="700"/>
        <filter val="920"/>
        <filter val="1144"/>
        <filter val="669"/>
        <filter val="900"/>
        <filter val="725"/>
        <filter val="924"/>
        <filter val="705"/>
        <filter val="849"/>
      </filters>
    </filterColumn>
  </autoFilter>
  <mergeCells count="13">
    <mergeCell ref="AB1:AC1"/>
    <mergeCell ref="AD1:AE1"/>
    <mergeCell ref="AF1:AG1"/>
    <mergeCell ref="AH1:AI1"/>
    <mergeCell ref="AJ1:AK1"/>
    <mergeCell ref="N1:O1"/>
    <mergeCell ref="P1:Q1"/>
    <mergeCell ref="R1:S1"/>
    <mergeCell ref="T1:U1"/>
    <mergeCell ref="V1:W1"/>
    <mergeCell ref="X1:Y1"/>
    <mergeCell ref="Z1:AA1"/>
    <mergeCell ref="B100:M100"/>
  </mergeCells>
  <hyperlinks>
    <hyperlink r:id="rId2" ref="F2"/>
    <hyperlink r:id="rId3" ref="F3"/>
    <hyperlink r:id="rId4" ref="F6"/>
    <hyperlink r:id="rId5" ref="F14"/>
    <hyperlink r:id="rId6" ref="F15"/>
    <hyperlink r:id="rId7" ref="F19"/>
    <hyperlink r:id="rId8" ref="F20"/>
    <hyperlink r:id="rId9" ref="F25"/>
    <hyperlink r:id="rId10" ref="F26"/>
    <hyperlink r:id="rId11" ref="F27"/>
    <hyperlink r:id="rId12" ref="F28"/>
    <hyperlink r:id="rId13" ref="F29"/>
    <hyperlink r:id="rId14" ref="F30"/>
    <hyperlink r:id="rId15" ref="F31"/>
    <hyperlink r:id="rId16" ref="F32"/>
    <hyperlink r:id="rId17" ref="F34"/>
    <hyperlink r:id="rId18" ref="F35"/>
    <hyperlink r:id="rId19" ref="F36"/>
    <hyperlink r:id="rId20" ref="F37"/>
    <hyperlink r:id="rId21" ref="F42"/>
    <hyperlink r:id="rId22" ref="F45"/>
    <hyperlink r:id="rId23" ref="F46"/>
    <hyperlink r:id="rId24" ref="F47"/>
    <hyperlink r:id="rId25" ref="F48"/>
    <hyperlink r:id="rId26" ref="F49"/>
    <hyperlink r:id="rId27" ref="F50"/>
    <hyperlink r:id="rId28" ref="F51"/>
    <hyperlink r:id="rId29" ref="F54"/>
    <hyperlink r:id="rId30" ref="F55"/>
    <hyperlink r:id="rId31" ref="F56"/>
    <hyperlink r:id="rId32" ref="F57"/>
    <hyperlink r:id="rId33" ref="F58"/>
    <hyperlink r:id="rId34" ref="F59"/>
    <hyperlink r:id="rId35" ref="F60"/>
    <hyperlink r:id="rId36" ref="F61"/>
    <hyperlink r:id="rId37" ref="F62"/>
    <hyperlink r:id="rId38" ref="F65"/>
    <hyperlink r:id="rId39" ref="F66"/>
    <hyperlink r:id="rId40" ref="F67"/>
    <hyperlink r:id="rId41" ref="F68"/>
    <hyperlink r:id="rId42" ref="F69"/>
    <hyperlink r:id="rId43" ref="F71"/>
    <hyperlink r:id="rId44" ref="F72"/>
    <hyperlink r:id="rId45" ref="F73"/>
    <hyperlink r:id="rId46" ref="F96"/>
    <hyperlink r:id="rId47" ref="F97"/>
  </hyperlinks>
  <drawing r:id="rId48"/>
  <legacyDrawing r:id="rId4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3.13"/>
    <col customWidth="1" min="3" max="3" width="27.63"/>
    <col customWidth="1" hidden="1" min="4" max="4" width="10.38"/>
    <col customWidth="1" hidden="1" min="5" max="5" width="14.63"/>
    <col customWidth="1" min="6" max="6" width="8.88"/>
    <col customWidth="1" min="7" max="7" width="14.5"/>
    <col customWidth="1" min="8" max="8" width="13.13"/>
    <col customWidth="1" min="9" max="9" width="13.75"/>
    <col customWidth="1" min="10" max="10" width="11.5"/>
    <col customWidth="1" min="11" max="11" width="10.63"/>
    <col customWidth="1" min="12" max="12" width="9.38"/>
    <col customWidth="1" hidden="1" min="13" max="14" width="9.13"/>
    <col customWidth="1" min="15" max="30" width="9.13"/>
    <col customWidth="1" min="31" max="31" width="8.88"/>
    <col customWidth="1" min="32" max="32" width="8.0"/>
    <col customWidth="1" min="33" max="35" width="9.13"/>
    <col customWidth="1" min="36" max="36" width="13.13"/>
    <col customWidth="1" min="37" max="37" width="9.13"/>
    <col customWidth="1" min="38" max="38" width="10.0"/>
  </cols>
  <sheetData>
    <row r="1" ht="44.25" customHeight="1">
      <c r="A1" s="220" t="s">
        <v>241</v>
      </c>
      <c r="B1" s="405"/>
      <c r="C1" s="54" t="s">
        <v>56</v>
      </c>
      <c r="D1" s="222" t="s">
        <v>57</v>
      </c>
      <c r="E1" s="839" t="s">
        <v>58</v>
      </c>
      <c r="F1" s="222" t="s">
        <v>59</v>
      </c>
      <c r="G1" s="54" t="s">
        <v>60</v>
      </c>
      <c r="H1" s="57" t="s">
        <v>61</v>
      </c>
      <c r="I1" s="54" t="s">
        <v>62</v>
      </c>
      <c r="J1" s="54" t="s">
        <v>63</v>
      </c>
      <c r="K1" s="54" t="s">
        <v>592</v>
      </c>
      <c r="L1" s="406" t="s">
        <v>65</v>
      </c>
      <c r="M1" s="407" t="s">
        <v>593</v>
      </c>
      <c r="N1" s="6"/>
      <c r="O1" s="407" t="s">
        <v>66</v>
      </c>
      <c r="P1" s="6"/>
      <c r="Q1" s="407" t="s">
        <v>243</v>
      </c>
      <c r="R1" s="6"/>
      <c r="S1" s="407" t="s">
        <v>68</v>
      </c>
      <c r="T1" s="6"/>
      <c r="U1" s="407" t="s">
        <v>364</v>
      </c>
      <c r="V1" s="6"/>
      <c r="W1" s="407" t="s">
        <v>70</v>
      </c>
      <c r="X1" s="6"/>
      <c r="Y1" s="407" t="s">
        <v>71</v>
      </c>
      <c r="Z1" s="6"/>
      <c r="AA1" s="407" t="s">
        <v>72</v>
      </c>
      <c r="AB1" s="6"/>
      <c r="AC1" s="407" t="s">
        <v>376</v>
      </c>
      <c r="AD1" s="6"/>
      <c r="AE1" s="407" t="s">
        <v>366</v>
      </c>
      <c r="AF1" s="6"/>
      <c r="AG1" s="407" t="s">
        <v>367</v>
      </c>
      <c r="AH1" s="6"/>
      <c r="AI1" s="407" t="s">
        <v>594</v>
      </c>
      <c r="AJ1" s="6"/>
      <c r="AK1" s="407" t="s">
        <v>369</v>
      </c>
      <c r="AL1" s="6"/>
    </row>
    <row r="2">
      <c r="A2" s="840"/>
      <c r="B2" s="383">
        <v>1.0</v>
      </c>
      <c r="C2" s="523" t="s">
        <v>595</v>
      </c>
      <c r="D2" s="523"/>
      <c r="E2" s="523"/>
      <c r="F2" s="841" t="s">
        <v>596</v>
      </c>
      <c r="G2" s="841" t="s">
        <v>597</v>
      </c>
      <c r="H2" s="842" t="s">
        <v>50</v>
      </c>
      <c r="I2" s="843" t="s">
        <v>598</v>
      </c>
      <c r="J2" s="844" t="s">
        <v>82</v>
      </c>
      <c r="K2" s="844" t="s">
        <v>250</v>
      </c>
      <c r="L2" s="845">
        <v>650.0</v>
      </c>
      <c r="M2" s="845"/>
      <c r="N2" s="845"/>
      <c r="O2" s="845">
        <v>650.0</v>
      </c>
      <c r="P2" s="517">
        <v>46009.0</v>
      </c>
      <c r="Q2" s="845">
        <v>650.0</v>
      </c>
      <c r="R2" s="392">
        <v>45980.0</v>
      </c>
      <c r="S2" s="845">
        <v>650.0</v>
      </c>
      <c r="T2" s="846">
        <v>45950.0</v>
      </c>
      <c r="U2" s="845">
        <v>650.0</v>
      </c>
      <c r="V2" s="394">
        <v>45919.0</v>
      </c>
      <c r="W2" s="845">
        <v>650.0</v>
      </c>
      <c r="X2" s="518">
        <v>650.0</v>
      </c>
      <c r="Y2" s="845">
        <v>650.0</v>
      </c>
      <c r="Z2" s="396">
        <v>45861.0</v>
      </c>
      <c r="AA2" s="845">
        <v>650.0</v>
      </c>
      <c r="AB2" s="395">
        <v>45827.0</v>
      </c>
      <c r="AC2" s="845">
        <v>650.0</v>
      </c>
      <c r="AD2" s="396">
        <v>45797.0</v>
      </c>
      <c r="AE2" s="845">
        <v>650.0</v>
      </c>
      <c r="AF2" s="396">
        <v>45763.0</v>
      </c>
      <c r="AG2" s="383">
        <v>650.0</v>
      </c>
      <c r="AH2" s="396">
        <v>45735.0</v>
      </c>
      <c r="AI2" s="383">
        <v>650.0</v>
      </c>
      <c r="AJ2" s="395">
        <v>45706.0</v>
      </c>
      <c r="AK2" s="383">
        <v>650.0</v>
      </c>
      <c r="AL2" s="395">
        <v>45678.0</v>
      </c>
      <c r="AM2" s="397"/>
      <c r="AN2" s="397"/>
      <c r="AO2" s="397"/>
      <c r="AP2" s="397"/>
      <c r="AQ2" s="397"/>
      <c r="AR2" s="397"/>
      <c r="AS2" s="397"/>
      <c r="AT2" s="397"/>
      <c r="AU2" s="397"/>
      <c r="AV2" s="397"/>
      <c r="AW2" s="397"/>
      <c r="AX2" s="840" t="s">
        <v>599</v>
      </c>
    </row>
    <row r="3">
      <c r="A3" s="840"/>
      <c r="B3" s="383">
        <v>2.0</v>
      </c>
      <c r="C3" s="523" t="s">
        <v>600</v>
      </c>
      <c r="D3" s="523"/>
      <c r="E3" s="523"/>
      <c r="F3" s="841" t="s">
        <v>596</v>
      </c>
      <c r="G3" s="841" t="s">
        <v>265</v>
      </c>
      <c r="H3" s="842" t="s">
        <v>266</v>
      </c>
      <c r="I3" s="518">
        <v>6.063194562E9</v>
      </c>
      <c r="J3" s="844" t="s">
        <v>82</v>
      </c>
      <c r="K3" s="841"/>
      <c r="L3" s="518">
        <v>665.0</v>
      </c>
      <c r="M3" s="518"/>
      <c r="N3" s="518"/>
      <c r="O3" s="518">
        <v>665.0</v>
      </c>
      <c r="P3" s="517">
        <v>46009.0</v>
      </c>
      <c r="Q3" s="518">
        <v>665.0</v>
      </c>
      <c r="R3" s="392">
        <v>45979.0</v>
      </c>
      <c r="S3" s="518">
        <v>665.0</v>
      </c>
      <c r="T3" s="393">
        <v>45947.0</v>
      </c>
      <c r="U3" s="518">
        <v>665.0</v>
      </c>
      <c r="V3" s="394">
        <v>45919.0</v>
      </c>
      <c r="W3" s="518">
        <v>665.0</v>
      </c>
      <c r="X3" s="395">
        <v>45889.0</v>
      </c>
      <c r="Y3" s="518">
        <v>665.0</v>
      </c>
      <c r="Z3" s="395">
        <v>45861.0</v>
      </c>
      <c r="AA3" s="518">
        <v>665.0</v>
      </c>
      <c r="AB3" s="395">
        <v>45826.0</v>
      </c>
      <c r="AC3" s="518">
        <v>665.0</v>
      </c>
      <c r="AD3" s="520">
        <v>45797.0</v>
      </c>
      <c r="AE3" s="389">
        <v>550.0</v>
      </c>
      <c r="AF3" s="396">
        <v>45763.0</v>
      </c>
      <c r="AG3" s="383">
        <v>550.0</v>
      </c>
      <c r="AH3" s="396">
        <v>45735.0</v>
      </c>
      <c r="AI3" s="383">
        <v>550.0</v>
      </c>
      <c r="AJ3" s="395">
        <v>45707.0</v>
      </c>
      <c r="AK3" s="383">
        <v>550.0</v>
      </c>
      <c r="AL3" s="395">
        <v>45678.0</v>
      </c>
      <c r="AM3" s="397"/>
      <c r="AN3" s="397"/>
      <c r="AO3" s="397"/>
      <c r="AP3" s="397"/>
      <c r="AQ3" s="397"/>
      <c r="AR3" s="397"/>
      <c r="AS3" s="397"/>
      <c r="AT3" s="397"/>
      <c r="AU3" s="397"/>
      <c r="AV3" s="397"/>
      <c r="AW3" s="397"/>
      <c r="AX3" s="397"/>
    </row>
    <row r="4">
      <c r="A4" s="840"/>
      <c r="B4" s="383">
        <v>3.0</v>
      </c>
      <c r="C4" s="523" t="s">
        <v>601</v>
      </c>
      <c r="D4" s="523"/>
      <c r="E4" s="523"/>
      <c r="F4" s="841" t="s">
        <v>596</v>
      </c>
      <c r="G4" s="841" t="s">
        <v>265</v>
      </c>
      <c r="H4" s="842" t="s">
        <v>266</v>
      </c>
      <c r="I4" s="518">
        <v>6.063194562E9</v>
      </c>
      <c r="J4" s="844" t="s">
        <v>82</v>
      </c>
      <c r="K4" s="841" t="s">
        <v>602</v>
      </c>
      <c r="L4" s="518">
        <v>600.0</v>
      </c>
      <c r="M4" s="518"/>
      <c r="N4" s="518"/>
      <c r="O4" s="518"/>
      <c r="P4" s="517">
        <v>46009.0</v>
      </c>
      <c r="Q4" s="518"/>
      <c r="R4" s="403"/>
      <c r="S4" s="518"/>
      <c r="T4" s="393"/>
      <c r="U4" s="518"/>
      <c r="V4" s="394"/>
      <c r="W4" s="518">
        <v>0.0</v>
      </c>
      <c r="X4" s="395">
        <v>45889.0</v>
      </c>
      <c r="Y4" s="518">
        <v>1700.0</v>
      </c>
      <c r="Z4" s="396">
        <v>45856.0</v>
      </c>
      <c r="AA4" s="518">
        <v>850.0</v>
      </c>
      <c r="AB4" s="395">
        <v>45826.0</v>
      </c>
      <c r="AC4" s="518">
        <v>600.0</v>
      </c>
      <c r="AD4" s="520">
        <v>45797.0</v>
      </c>
      <c r="AE4" s="518">
        <v>600.0</v>
      </c>
      <c r="AF4" s="396">
        <v>45763.0</v>
      </c>
      <c r="AG4" s="383">
        <v>600.0</v>
      </c>
      <c r="AH4" s="396">
        <v>45735.0</v>
      </c>
      <c r="AI4" s="383">
        <v>600.0</v>
      </c>
      <c r="AJ4" s="395">
        <v>45707.0</v>
      </c>
      <c r="AK4" s="383">
        <v>600.0</v>
      </c>
      <c r="AL4" s="395">
        <v>45678.0</v>
      </c>
      <c r="AM4" s="397"/>
      <c r="AN4" s="397"/>
      <c r="AO4" s="397"/>
      <c r="AP4" s="397"/>
      <c r="AQ4" s="397"/>
      <c r="AR4" s="397"/>
      <c r="AS4" s="397"/>
      <c r="AT4" s="397"/>
      <c r="AU4" s="397"/>
      <c r="AV4" s="397"/>
      <c r="AW4" s="397"/>
      <c r="AX4" s="397"/>
    </row>
    <row r="5">
      <c r="A5" s="840"/>
      <c r="B5" s="383"/>
      <c r="C5" s="523" t="s">
        <v>603</v>
      </c>
      <c r="D5" s="523"/>
      <c r="E5" s="523"/>
      <c r="F5" s="841" t="s">
        <v>596</v>
      </c>
      <c r="G5" s="841" t="s">
        <v>265</v>
      </c>
      <c r="H5" s="842" t="s">
        <v>266</v>
      </c>
      <c r="I5" s="518">
        <v>6.063194562E9</v>
      </c>
      <c r="J5" s="844" t="s">
        <v>82</v>
      </c>
      <c r="K5" s="841" t="s">
        <v>604</v>
      </c>
      <c r="L5" s="518">
        <v>850.0</v>
      </c>
      <c r="M5" s="518"/>
      <c r="N5" s="518"/>
      <c r="O5" s="518">
        <v>850.0</v>
      </c>
      <c r="P5" s="517">
        <v>46009.0</v>
      </c>
      <c r="Q5" s="518">
        <v>850.0</v>
      </c>
      <c r="R5" s="392">
        <v>45979.0</v>
      </c>
      <c r="S5" s="518">
        <v>850.0</v>
      </c>
      <c r="T5" s="393">
        <v>45947.0</v>
      </c>
      <c r="U5" s="518">
        <v>850.0</v>
      </c>
      <c r="V5" s="394">
        <v>45919.0</v>
      </c>
      <c r="W5" s="518">
        <v>850.0</v>
      </c>
      <c r="X5" s="395">
        <v>45889.0</v>
      </c>
      <c r="Y5" s="518">
        <v>850.0</v>
      </c>
      <c r="Z5" s="395">
        <v>45861.0</v>
      </c>
      <c r="AA5" s="518">
        <v>850.0</v>
      </c>
      <c r="AB5" s="395">
        <v>45826.0</v>
      </c>
      <c r="AC5" s="518">
        <v>850.0</v>
      </c>
      <c r="AD5" s="520">
        <v>45797.0</v>
      </c>
      <c r="AE5" s="518">
        <v>1700.0</v>
      </c>
      <c r="AF5" s="396">
        <v>45763.0</v>
      </c>
      <c r="AG5" s="383"/>
      <c r="AH5" s="396"/>
      <c r="AI5" s="383"/>
      <c r="AJ5" s="395"/>
      <c r="AK5" s="383"/>
      <c r="AL5" s="395"/>
      <c r="AM5" s="397"/>
      <c r="AN5" s="397"/>
      <c r="AO5" s="397"/>
      <c r="AP5" s="397"/>
      <c r="AQ5" s="397"/>
      <c r="AR5" s="397"/>
      <c r="AS5" s="397"/>
      <c r="AT5" s="397"/>
      <c r="AU5" s="397"/>
      <c r="AV5" s="397"/>
      <c r="AW5" s="397"/>
      <c r="AX5" s="397"/>
    </row>
    <row r="6">
      <c r="A6" s="840"/>
      <c r="B6" s="383">
        <v>4.0</v>
      </c>
      <c r="C6" s="523" t="s">
        <v>605</v>
      </c>
      <c r="D6" s="523"/>
      <c r="E6" s="523"/>
      <c r="F6" s="841" t="s">
        <v>596</v>
      </c>
      <c r="G6" s="841" t="s">
        <v>265</v>
      </c>
      <c r="H6" s="842" t="s">
        <v>266</v>
      </c>
      <c r="I6" s="518">
        <v>6.063194562E9</v>
      </c>
      <c r="J6" s="844" t="s">
        <v>82</v>
      </c>
      <c r="K6" s="841" t="s">
        <v>606</v>
      </c>
      <c r="L6" s="518">
        <v>785.0</v>
      </c>
      <c r="M6" s="518"/>
      <c r="N6" s="518"/>
      <c r="O6" s="518">
        <v>0.0</v>
      </c>
      <c r="P6" s="517"/>
      <c r="Q6" s="518">
        <v>0.0</v>
      </c>
      <c r="R6" s="393"/>
      <c r="S6" s="518">
        <v>0.0</v>
      </c>
      <c r="T6" s="847"/>
      <c r="U6" s="518">
        <v>0.0</v>
      </c>
      <c r="V6" s="394"/>
      <c r="W6" s="518">
        <v>785.0</v>
      </c>
      <c r="X6" s="395">
        <v>45889.0</v>
      </c>
      <c r="Y6" s="518">
        <v>785.0</v>
      </c>
      <c r="Z6" s="395">
        <v>45861.0</v>
      </c>
      <c r="AA6" s="518">
        <v>785.0</v>
      </c>
      <c r="AB6" s="395">
        <v>45826.0</v>
      </c>
      <c r="AC6" s="518">
        <v>785.0</v>
      </c>
      <c r="AD6" s="520">
        <v>45797.0</v>
      </c>
      <c r="AE6" s="518">
        <v>650.0</v>
      </c>
      <c r="AF6" s="396">
        <v>45763.0</v>
      </c>
      <c r="AG6" s="383">
        <v>650.0</v>
      </c>
      <c r="AH6" s="396">
        <v>45735.0</v>
      </c>
      <c r="AI6" s="383">
        <v>650.0</v>
      </c>
      <c r="AJ6" s="395">
        <v>45707.0</v>
      </c>
      <c r="AK6" s="383">
        <v>650.0</v>
      </c>
      <c r="AL6" s="395">
        <v>45678.0</v>
      </c>
      <c r="AM6" s="397"/>
      <c r="AN6" s="397"/>
      <c r="AO6" s="397"/>
      <c r="AP6" s="397"/>
      <c r="AQ6" s="397"/>
      <c r="AR6" s="397"/>
      <c r="AS6" s="397"/>
      <c r="AT6" s="397"/>
      <c r="AU6" s="397"/>
      <c r="AV6" s="397"/>
      <c r="AW6" s="397"/>
      <c r="AX6" s="397"/>
    </row>
    <row r="7">
      <c r="A7" s="840"/>
      <c r="B7" s="383"/>
      <c r="C7" s="523" t="s">
        <v>607</v>
      </c>
      <c r="D7" s="523"/>
      <c r="E7" s="523"/>
      <c r="F7" s="841" t="s">
        <v>596</v>
      </c>
      <c r="G7" s="841" t="s">
        <v>265</v>
      </c>
      <c r="H7" s="842" t="s">
        <v>266</v>
      </c>
      <c r="I7" s="518">
        <v>6.063194562E9</v>
      </c>
      <c r="J7" s="844" t="s">
        <v>82</v>
      </c>
      <c r="K7" s="841" t="s">
        <v>608</v>
      </c>
      <c r="L7" s="518">
        <v>665.0</v>
      </c>
      <c r="M7" s="518"/>
      <c r="N7" s="518"/>
      <c r="O7" s="518">
        <v>0.0</v>
      </c>
      <c r="P7" s="517"/>
      <c r="Q7" s="518">
        <v>0.0</v>
      </c>
      <c r="R7" s="403"/>
      <c r="S7" s="518">
        <v>0.0</v>
      </c>
      <c r="T7" s="393"/>
      <c r="U7" s="518">
        <v>0.0</v>
      </c>
      <c r="V7" s="394"/>
      <c r="W7" s="518">
        <v>665.0</v>
      </c>
      <c r="X7" s="395">
        <v>45889.0</v>
      </c>
      <c r="Y7" s="518">
        <v>665.0</v>
      </c>
      <c r="Z7" s="396">
        <v>45856.0</v>
      </c>
      <c r="AA7" s="518">
        <v>665.0</v>
      </c>
      <c r="AB7" s="395">
        <v>45826.0</v>
      </c>
      <c r="AC7" s="518">
        <v>550.0</v>
      </c>
      <c r="AD7" s="520">
        <v>45797.0</v>
      </c>
      <c r="AE7" s="518">
        <v>550.0</v>
      </c>
      <c r="AF7" s="396">
        <v>45763.0</v>
      </c>
      <c r="AG7" s="383"/>
      <c r="AH7" s="396"/>
      <c r="AI7" s="383"/>
      <c r="AJ7" s="383"/>
      <c r="AK7" s="383"/>
      <c r="AL7" s="395"/>
      <c r="AM7" s="397"/>
      <c r="AN7" s="397"/>
      <c r="AO7" s="397"/>
      <c r="AP7" s="397"/>
      <c r="AQ7" s="397"/>
      <c r="AR7" s="397"/>
      <c r="AS7" s="397"/>
      <c r="AT7" s="397"/>
      <c r="AU7" s="397"/>
      <c r="AV7" s="397"/>
      <c r="AW7" s="397"/>
      <c r="AX7" s="397"/>
    </row>
    <row r="8">
      <c r="A8" s="840"/>
      <c r="B8" s="383">
        <v>5.0</v>
      </c>
      <c r="C8" s="523" t="s">
        <v>609</v>
      </c>
      <c r="D8" s="523"/>
      <c r="E8" s="523"/>
      <c r="F8" s="841" t="s">
        <v>596</v>
      </c>
      <c r="G8" s="841" t="s">
        <v>265</v>
      </c>
      <c r="H8" s="842" t="s">
        <v>266</v>
      </c>
      <c r="I8" s="518">
        <v>6.063194562E9</v>
      </c>
      <c r="J8" s="844" t="s">
        <v>82</v>
      </c>
      <c r="K8" s="841" t="s">
        <v>610</v>
      </c>
      <c r="L8" s="518">
        <v>650.0</v>
      </c>
      <c r="M8" s="518"/>
      <c r="N8" s="518"/>
      <c r="O8" s="518"/>
      <c r="P8" s="517"/>
      <c r="Q8" s="518"/>
      <c r="R8" s="403"/>
      <c r="S8" s="518"/>
      <c r="T8" s="393"/>
      <c r="U8" s="518"/>
      <c r="V8" s="394"/>
      <c r="W8" s="518" t="s">
        <v>611</v>
      </c>
      <c r="X8" s="395">
        <v>45889.0</v>
      </c>
      <c r="Y8" s="518">
        <v>0.0</v>
      </c>
      <c r="Z8" s="396"/>
      <c r="AA8" s="518">
        <v>0.0</v>
      </c>
      <c r="AB8" s="395">
        <v>45826.0</v>
      </c>
      <c r="AC8" s="518" t="s">
        <v>611</v>
      </c>
      <c r="AD8" s="520"/>
      <c r="AE8" s="518" t="s">
        <v>611</v>
      </c>
      <c r="AF8" s="396"/>
      <c r="AG8" s="383">
        <v>600.0</v>
      </c>
      <c r="AH8" s="395">
        <v>45740.0</v>
      </c>
      <c r="AI8" s="383"/>
      <c r="AJ8" s="383" t="s">
        <v>573</v>
      </c>
      <c r="AK8" s="383">
        <v>650.0</v>
      </c>
      <c r="AL8" s="395">
        <v>45678.0</v>
      </c>
      <c r="AM8" s="397"/>
      <c r="AN8" s="397"/>
      <c r="AO8" s="397"/>
      <c r="AP8" s="397"/>
      <c r="AQ8" s="397"/>
      <c r="AR8" s="397"/>
      <c r="AS8" s="397"/>
      <c r="AT8" s="397"/>
      <c r="AU8" s="397"/>
      <c r="AV8" s="397"/>
      <c r="AW8" s="397"/>
      <c r="AX8" s="397"/>
    </row>
    <row r="9">
      <c r="A9" s="840"/>
      <c r="B9" s="383"/>
      <c r="C9" s="523" t="s">
        <v>609</v>
      </c>
      <c r="D9" s="523"/>
      <c r="E9" s="523"/>
      <c r="F9" s="841" t="s">
        <v>596</v>
      </c>
      <c r="G9" s="841"/>
      <c r="H9" s="842" t="s">
        <v>612</v>
      </c>
      <c r="I9" s="844" t="s">
        <v>613</v>
      </c>
      <c r="J9" s="844"/>
      <c r="K9" s="841" t="s">
        <v>614</v>
      </c>
      <c r="L9" s="518">
        <v>544.0</v>
      </c>
      <c r="M9" s="518"/>
      <c r="N9" s="518"/>
      <c r="O9" s="518">
        <v>544.0</v>
      </c>
      <c r="P9" s="517"/>
      <c r="Q9" s="518">
        <v>544.0</v>
      </c>
      <c r="R9" s="392">
        <v>45979.0</v>
      </c>
      <c r="S9" s="518">
        <v>544.0</v>
      </c>
      <c r="T9" s="393">
        <v>45949.0</v>
      </c>
      <c r="U9" s="518">
        <v>544.0</v>
      </c>
      <c r="V9" s="394"/>
      <c r="W9" s="518">
        <v>544.0</v>
      </c>
      <c r="X9" s="518">
        <v>272.0</v>
      </c>
      <c r="Y9" s="518">
        <v>544.0</v>
      </c>
      <c r="Z9" s="396"/>
      <c r="AA9" s="518">
        <v>544.0</v>
      </c>
      <c r="AB9" s="395"/>
      <c r="AC9" s="518">
        <v>544.0</v>
      </c>
      <c r="AD9" s="520">
        <v>45797.0</v>
      </c>
      <c r="AE9" s="518">
        <v>544.0</v>
      </c>
      <c r="AF9" s="396">
        <v>45763.0</v>
      </c>
      <c r="AG9" s="383">
        <v>550.0</v>
      </c>
      <c r="AH9" s="395">
        <v>45734.0</v>
      </c>
      <c r="AI9" s="383">
        <v>500.0</v>
      </c>
      <c r="AJ9" s="395">
        <v>45707.0</v>
      </c>
      <c r="AK9" s="383"/>
      <c r="AL9" s="395"/>
      <c r="AM9" s="397"/>
      <c r="AN9" s="397"/>
      <c r="AO9" s="397"/>
      <c r="AP9" s="397"/>
      <c r="AQ9" s="397"/>
      <c r="AR9" s="397"/>
      <c r="AS9" s="397"/>
      <c r="AT9" s="397"/>
      <c r="AU9" s="397"/>
      <c r="AV9" s="397"/>
      <c r="AW9" s="397"/>
      <c r="AX9" s="397"/>
    </row>
    <row r="10">
      <c r="A10" s="840"/>
      <c r="B10" s="383"/>
      <c r="C10" s="523" t="s">
        <v>615</v>
      </c>
      <c r="D10" s="523"/>
      <c r="E10" s="523"/>
      <c r="F10" s="841" t="s">
        <v>596</v>
      </c>
      <c r="G10" s="841"/>
      <c r="H10" s="842" t="s">
        <v>612</v>
      </c>
      <c r="I10" s="844" t="s">
        <v>616</v>
      </c>
      <c r="J10" s="844"/>
      <c r="K10" s="841" t="s">
        <v>614</v>
      </c>
      <c r="L10" s="518">
        <v>500.0</v>
      </c>
      <c r="M10" s="518"/>
      <c r="N10" s="518"/>
      <c r="O10" s="518">
        <v>500.0</v>
      </c>
      <c r="P10" s="403"/>
      <c r="Q10" s="518">
        <v>500.0</v>
      </c>
      <c r="R10" s="392">
        <v>45979.0</v>
      </c>
      <c r="S10" s="518">
        <v>500.0</v>
      </c>
      <c r="T10" s="393">
        <v>45949.0</v>
      </c>
      <c r="U10" s="518">
        <v>500.0</v>
      </c>
      <c r="V10" s="394"/>
      <c r="W10" s="518">
        <v>500.0</v>
      </c>
      <c r="X10" s="518">
        <v>250.0</v>
      </c>
      <c r="Y10" s="518">
        <v>500.0</v>
      </c>
      <c r="Z10" s="396"/>
      <c r="AA10" s="518">
        <v>500.0</v>
      </c>
      <c r="AB10" s="395"/>
      <c r="AC10" s="518">
        <v>500.0</v>
      </c>
      <c r="AD10" s="520">
        <v>45797.0</v>
      </c>
      <c r="AE10" s="389">
        <v>500.0</v>
      </c>
      <c r="AF10" s="396">
        <v>45763.0</v>
      </c>
      <c r="AG10" s="383"/>
      <c r="AH10" s="396"/>
      <c r="AI10" s="383"/>
      <c r="AJ10" s="395"/>
      <c r="AK10" s="383"/>
      <c r="AL10" s="395"/>
      <c r="AM10" s="397"/>
      <c r="AN10" s="397"/>
      <c r="AO10" s="397"/>
      <c r="AP10" s="397"/>
      <c r="AQ10" s="397"/>
      <c r="AR10" s="397"/>
      <c r="AS10" s="397"/>
      <c r="AT10" s="397"/>
      <c r="AU10" s="397"/>
      <c r="AV10" s="397"/>
      <c r="AW10" s="397"/>
      <c r="AX10" s="397"/>
    </row>
    <row r="11">
      <c r="A11" s="840"/>
      <c r="B11" s="383">
        <v>17.0</v>
      </c>
      <c r="C11" s="523" t="s">
        <v>617</v>
      </c>
      <c r="D11" s="523"/>
      <c r="E11" s="523"/>
      <c r="F11" s="841" t="s">
        <v>596</v>
      </c>
      <c r="G11" s="841" t="s">
        <v>265</v>
      </c>
      <c r="H11" s="842" t="s">
        <v>266</v>
      </c>
      <c r="I11" s="518">
        <v>6.063194562E9</v>
      </c>
      <c r="J11" s="844" t="s">
        <v>82</v>
      </c>
      <c r="K11" s="841" t="s">
        <v>301</v>
      </c>
      <c r="L11" s="518">
        <v>600.0</v>
      </c>
      <c r="M11" s="518"/>
      <c r="N11" s="518"/>
      <c r="O11" s="518"/>
      <c r="P11" s="517">
        <v>46009.0</v>
      </c>
      <c r="Q11" s="518"/>
      <c r="R11" s="403"/>
      <c r="S11" s="518"/>
      <c r="T11" s="393"/>
      <c r="U11" s="518"/>
      <c r="V11" s="394"/>
      <c r="W11" s="848" t="s">
        <v>573</v>
      </c>
      <c r="X11" s="395">
        <v>45889.0</v>
      </c>
      <c r="Y11" s="518">
        <v>0.0</v>
      </c>
      <c r="Z11" s="396"/>
      <c r="AA11" s="518">
        <v>0.0</v>
      </c>
      <c r="AB11" s="395">
        <v>45826.0</v>
      </c>
      <c r="AC11" s="848" t="s">
        <v>573</v>
      </c>
      <c r="AD11" s="849"/>
      <c r="AE11" s="848" t="s">
        <v>573</v>
      </c>
      <c r="AF11" s="6"/>
      <c r="AG11" s="383"/>
      <c r="AH11" s="395"/>
      <c r="AI11" s="383">
        <v>600.0</v>
      </c>
      <c r="AJ11" s="395">
        <v>45707.0</v>
      </c>
      <c r="AK11" s="383">
        <v>600.0</v>
      </c>
      <c r="AL11" s="395">
        <v>45678.0</v>
      </c>
      <c r="AM11" s="397"/>
      <c r="AN11" s="397"/>
      <c r="AO11" s="397"/>
      <c r="AP11" s="397"/>
      <c r="AQ11" s="397"/>
      <c r="AR11" s="397"/>
      <c r="AS11" s="397"/>
      <c r="AT11" s="397"/>
      <c r="AU11" s="397"/>
      <c r="AV11" s="397"/>
      <c r="AW11" s="397"/>
      <c r="AX11" s="397"/>
    </row>
    <row r="12">
      <c r="A12" s="840"/>
      <c r="B12" s="383"/>
      <c r="C12" s="523" t="s">
        <v>618</v>
      </c>
      <c r="D12" s="523"/>
      <c r="E12" s="850" t="s">
        <v>619</v>
      </c>
      <c r="F12" s="841" t="s">
        <v>596</v>
      </c>
      <c r="G12" s="841"/>
      <c r="H12" s="842" t="s">
        <v>407</v>
      </c>
      <c r="I12" s="518" t="s">
        <v>620</v>
      </c>
      <c r="J12" s="844" t="s">
        <v>82</v>
      </c>
      <c r="K12" s="841" t="s">
        <v>621</v>
      </c>
      <c r="L12" s="518">
        <v>1150.0</v>
      </c>
      <c r="M12" s="518"/>
      <c r="N12" s="518"/>
      <c r="O12" s="518">
        <v>1150.0</v>
      </c>
      <c r="P12" s="517">
        <v>46009.0</v>
      </c>
      <c r="Q12" s="518">
        <v>1150.0</v>
      </c>
      <c r="R12" s="403">
        <v>45999.0</v>
      </c>
      <c r="S12" s="518">
        <v>1150.0</v>
      </c>
      <c r="T12" s="393">
        <v>45949.0</v>
      </c>
      <c r="U12" s="518">
        <v>1150.0</v>
      </c>
      <c r="V12" s="394">
        <v>45919.0</v>
      </c>
      <c r="W12" s="518">
        <v>1150.0</v>
      </c>
      <c r="X12" s="851">
        <v>1150.0</v>
      </c>
      <c r="Y12" s="518">
        <v>1150.0</v>
      </c>
      <c r="Z12" s="395">
        <v>45861.0</v>
      </c>
      <c r="AA12" s="518">
        <v>1150.0</v>
      </c>
      <c r="AB12" s="396">
        <v>45826.0</v>
      </c>
      <c r="AC12" s="518">
        <v>1150.0</v>
      </c>
      <c r="AD12" s="396">
        <v>45797.0</v>
      </c>
      <c r="AE12" s="389">
        <v>1150.0</v>
      </c>
      <c r="AF12" s="396">
        <v>45763.0</v>
      </c>
      <c r="AG12" s="383">
        <v>1150.0</v>
      </c>
      <c r="AH12" s="395">
        <v>45730.0</v>
      </c>
      <c r="AI12" s="383"/>
      <c r="AJ12" s="395"/>
      <c r="AK12" s="383"/>
      <c r="AL12" s="395"/>
      <c r="AM12" s="397"/>
      <c r="AN12" s="397"/>
      <c r="AO12" s="397"/>
      <c r="AP12" s="397"/>
      <c r="AQ12" s="397"/>
      <c r="AR12" s="397"/>
      <c r="AS12" s="397"/>
      <c r="AT12" s="397"/>
      <c r="AU12" s="397"/>
      <c r="AV12" s="397"/>
      <c r="AW12" s="397"/>
      <c r="AX12" s="397"/>
    </row>
    <row r="13">
      <c r="A13" s="840"/>
      <c r="B13" s="383">
        <v>19.0</v>
      </c>
      <c r="C13" s="523" t="s">
        <v>615</v>
      </c>
      <c r="D13" s="523"/>
      <c r="E13" s="523"/>
      <c r="F13" s="841" t="s">
        <v>596</v>
      </c>
      <c r="G13" s="841" t="s">
        <v>265</v>
      </c>
      <c r="H13" s="842" t="s">
        <v>266</v>
      </c>
      <c r="I13" s="518">
        <v>6.063194562E9</v>
      </c>
      <c r="J13" s="844" t="s">
        <v>82</v>
      </c>
      <c r="K13" s="841" t="s">
        <v>622</v>
      </c>
      <c r="L13" s="518">
        <v>700.0</v>
      </c>
      <c r="M13" s="518"/>
      <c r="N13" s="518"/>
      <c r="O13" s="518"/>
      <c r="P13" s="517"/>
      <c r="Q13" s="518"/>
      <c r="R13" s="393"/>
      <c r="S13" s="518"/>
      <c r="T13" s="847"/>
      <c r="U13" s="518"/>
      <c r="V13" s="852"/>
      <c r="W13" s="848" t="s">
        <v>573</v>
      </c>
      <c r="X13" s="396"/>
      <c r="Y13" s="518">
        <v>0.0</v>
      </c>
      <c r="Z13" s="395"/>
      <c r="AA13" s="518">
        <v>0.0</v>
      </c>
      <c r="AB13" s="395">
        <v>45826.0</v>
      </c>
      <c r="AC13" s="848" t="s">
        <v>573</v>
      </c>
      <c r="AD13" s="849"/>
      <c r="AE13" s="848" t="s">
        <v>573</v>
      </c>
      <c r="AF13" s="6"/>
      <c r="AG13" s="383">
        <v>700.0</v>
      </c>
      <c r="AH13" s="396">
        <v>45735.0</v>
      </c>
      <c r="AI13" s="383">
        <v>700.0</v>
      </c>
      <c r="AJ13" s="395">
        <v>45707.0</v>
      </c>
      <c r="AK13" s="383">
        <v>700.0</v>
      </c>
      <c r="AL13" s="395">
        <v>45678.0</v>
      </c>
      <c r="AM13" s="397"/>
      <c r="AN13" s="397"/>
      <c r="AO13" s="397"/>
      <c r="AP13" s="397"/>
      <c r="AQ13" s="397"/>
      <c r="AR13" s="397"/>
      <c r="AS13" s="397"/>
      <c r="AT13" s="397"/>
      <c r="AU13" s="397"/>
      <c r="AV13" s="397"/>
      <c r="AW13" s="397"/>
      <c r="AX13" s="397"/>
    </row>
    <row r="14">
      <c r="A14" s="840"/>
      <c r="B14" s="383"/>
      <c r="C14" s="523" t="s">
        <v>623</v>
      </c>
      <c r="D14" s="523"/>
      <c r="E14" s="523"/>
      <c r="F14" s="841" t="s">
        <v>596</v>
      </c>
      <c r="G14" s="853" t="s">
        <v>300</v>
      </c>
      <c r="H14" s="842" t="s">
        <v>266</v>
      </c>
      <c r="I14" s="518">
        <v>6.064832807E9</v>
      </c>
      <c r="J14" s="844" t="s">
        <v>82</v>
      </c>
      <c r="K14" s="841"/>
      <c r="L14" s="518">
        <v>725.0</v>
      </c>
      <c r="M14" s="518"/>
      <c r="N14" s="518"/>
      <c r="O14" s="518">
        <v>725.0</v>
      </c>
      <c r="P14" s="517">
        <v>46009.0</v>
      </c>
      <c r="Q14" s="518">
        <v>725.0</v>
      </c>
      <c r="R14" s="392">
        <v>45979.0</v>
      </c>
      <c r="S14" s="518">
        <v>725.0</v>
      </c>
      <c r="T14" s="393">
        <v>45947.0</v>
      </c>
      <c r="U14" s="518">
        <v>725.0</v>
      </c>
      <c r="V14" s="394">
        <v>45919.0</v>
      </c>
      <c r="W14" s="518">
        <v>725.0</v>
      </c>
      <c r="X14" s="395">
        <v>45889.0</v>
      </c>
      <c r="Y14" s="518">
        <v>725.0</v>
      </c>
      <c r="Z14" s="396">
        <v>45861.0</v>
      </c>
      <c r="AA14" s="518">
        <v>725.0</v>
      </c>
      <c r="AB14" s="395">
        <v>45826.0</v>
      </c>
      <c r="AC14" s="518">
        <v>725.0</v>
      </c>
      <c r="AD14" s="396">
        <v>45797.0</v>
      </c>
      <c r="AE14" s="518">
        <v>600.0</v>
      </c>
      <c r="AF14" s="396">
        <v>45763.0</v>
      </c>
      <c r="AG14" s="383">
        <v>600.0</v>
      </c>
      <c r="AH14" s="396">
        <v>45735.0</v>
      </c>
      <c r="AI14" s="383">
        <v>600.0</v>
      </c>
      <c r="AJ14" s="395">
        <v>45707.0</v>
      </c>
      <c r="AK14" s="383">
        <v>600.0</v>
      </c>
      <c r="AL14" s="395">
        <v>45678.0</v>
      </c>
      <c r="AM14" s="397"/>
      <c r="AN14" s="397"/>
      <c r="AO14" s="397"/>
      <c r="AP14" s="397"/>
      <c r="AQ14" s="397"/>
      <c r="AR14" s="397"/>
      <c r="AS14" s="397"/>
      <c r="AT14" s="397"/>
      <c r="AU14" s="397"/>
      <c r="AV14" s="397"/>
      <c r="AW14" s="397"/>
      <c r="AX14" s="397"/>
    </row>
    <row r="15">
      <c r="A15" s="840"/>
      <c r="B15" s="383">
        <v>21.0</v>
      </c>
      <c r="C15" s="523" t="s">
        <v>624</v>
      </c>
      <c r="D15" s="523"/>
      <c r="E15" s="523"/>
      <c r="F15" s="841" t="s">
        <v>596</v>
      </c>
      <c r="G15" s="853" t="s">
        <v>300</v>
      </c>
      <c r="H15" s="842" t="s">
        <v>266</v>
      </c>
      <c r="I15" s="518">
        <v>6.064832807E9</v>
      </c>
      <c r="J15" s="844" t="s">
        <v>82</v>
      </c>
      <c r="K15" s="841" t="s">
        <v>625</v>
      </c>
      <c r="L15" s="518">
        <v>785.0</v>
      </c>
      <c r="M15" s="518"/>
      <c r="N15" s="518"/>
      <c r="O15" s="518">
        <v>0.0</v>
      </c>
      <c r="P15" s="517"/>
      <c r="Q15" s="518">
        <v>0.0</v>
      </c>
      <c r="R15" s="392"/>
      <c r="S15" s="518">
        <v>0.0</v>
      </c>
      <c r="T15" s="393"/>
      <c r="U15" s="518">
        <v>0.0</v>
      </c>
      <c r="V15" s="394"/>
      <c r="W15" s="518">
        <v>0.0</v>
      </c>
      <c r="X15" s="518">
        <v>0.0</v>
      </c>
      <c r="Y15" s="518">
        <v>785.0</v>
      </c>
      <c r="Z15" s="396">
        <v>45861.0</v>
      </c>
      <c r="AA15" s="518">
        <v>785.0</v>
      </c>
      <c r="AB15" s="395">
        <v>45826.0</v>
      </c>
      <c r="AC15" s="518">
        <v>785.0</v>
      </c>
      <c r="AD15" s="396">
        <v>45797.0</v>
      </c>
      <c r="AE15" s="518">
        <v>650.0</v>
      </c>
      <c r="AF15" s="396">
        <v>45763.0</v>
      </c>
      <c r="AG15" s="383">
        <v>1300.0</v>
      </c>
      <c r="AH15" s="396">
        <v>45735.0</v>
      </c>
      <c r="AI15" s="383">
        <v>650.0</v>
      </c>
      <c r="AJ15" s="395">
        <v>45706.0</v>
      </c>
      <c r="AK15" s="383">
        <v>650.0</v>
      </c>
      <c r="AL15" s="395">
        <v>45673.0</v>
      </c>
      <c r="AM15" s="397"/>
      <c r="AN15" s="397"/>
      <c r="AO15" s="397"/>
      <c r="AP15" s="397"/>
      <c r="AQ15" s="397"/>
      <c r="AR15" s="397"/>
      <c r="AS15" s="397"/>
      <c r="AT15" s="397"/>
      <c r="AU15" s="397"/>
      <c r="AV15" s="397"/>
      <c r="AW15" s="397"/>
      <c r="AX15" s="397"/>
    </row>
    <row r="16">
      <c r="A16" s="840"/>
      <c r="B16" s="854"/>
      <c r="C16" s="855" t="s">
        <v>626</v>
      </c>
      <c r="D16" s="856"/>
      <c r="E16" s="856"/>
      <c r="F16" s="841" t="s">
        <v>596</v>
      </c>
      <c r="G16" s="857" t="s">
        <v>627</v>
      </c>
      <c r="H16" s="858" t="s">
        <v>628</v>
      </c>
      <c r="I16" s="859" t="s">
        <v>629</v>
      </c>
      <c r="J16" s="860" t="s">
        <v>82</v>
      </c>
      <c r="K16" s="857"/>
      <c r="L16" s="518"/>
      <c r="M16" s="518">
        <v>400.0</v>
      </c>
      <c r="N16" s="518"/>
      <c r="O16" s="518">
        <v>400.0</v>
      </c>
      <c r="P16" s="517">
        <v>46009.0</v>
      </c>
      <c r="Q16" s="518"/>
      <c r="R16" s="517"/>
      <c r="S16" s="518"/>
      <c r="T16" s="393"/>
      <c r="U16" s="518"/>
      <c r="V16" s="394"/>
      <c r="W16" s="518"/>
      <c r="X16" s="518"/>
      <c r="Y16" s="518"/>
      <c r="Z16" s="395"/>
      <c r="AA16" s="518"/>
      <c r="AB16" s="395"/>
      <c r="AC16" s="518"/>
      <c r="AD16" s="395"/>
      <c r="AE16" s="518"/>
      <c r="AF16" s="395"/>
      <c r="AG16" s="383"/>
      <c r="AH16" s="395"/>
      <c r="AI16" s="383"/>
      <c r="AJ16" s="395"/>
      <c r="AK16" s="383"/>
      <c r="AL16" s="395"/>
      <c r="AM16" s="397"/>
      <c r="AN16" s="397"/>
      <c r="AO16" s="397"/>
      <c r="AP16" s="397"/>
      <c r="AQ16" s="397"/>
      <c r="AR16" s="397"/>
      <c r="AS16" s="397"/>
      <c r="AT16" s="397"/>
      <c r="AU16" s="397"/>
      <c r="AV16" s="397"/>
      <c r="AW16" s="397"/>
      <c r="AX16" s="397"/>
    </row>
    <row r="17" ht="87.0" customHeight="1">
      <c r="A17" s="206"/>
      <c r="B17" s="74"/>
      <c r="C17" s="410" t="s">
        <v>630</v>
      </c>
      <c r="D17" s="410"/>
      <c r="E17" s="861"/>
      <c r="F17" s="862" t="s">
        <v>631</v>
      </c>
      <c r="G17" s="862"/>
      <c r="H17" s="863" t="s">
        <v>407</v>
      </c>
      <c r="I17" s="864"/>
      <c r="J17" s="865" t="s">
        <v>82</v>
      </c>
      <c r="K17" s="865"/>
      <c r="L17" s="866">
        <v>2500.0</v>
      </c>
      <c r="M17" s="148"/>
      <c r="N17" s="148"/>
      <c r="O17" s="148">
        <v>0.0</v>
      </c>
      <c r="P17" s="148">
        <v>0.0</v>
      </c>
      <c r="Q17" s="148">
        <v>0.0</v>
      </c>
      <c r="R17" s="75"/>
      <c r="S17" s="148">
        <v>0.0</v>
      </c>
      <c r="T17" s="146"/>
      <c r="U17" s="148">
        <v>0.0</v>
      </c>
      <c r="V17" s="76"/>
      <c r="W17" s="148">
        <v>0.0</v>
      </c>
      <c r="X17" s="172">
        <v>0.0</v>
      </c>
      <c r="Y17" s="148">
        <v>0.0</v>
      </c>
      <c r="Z17" s="78"/>
      <c r="AA17" s="148">
        <v>0.0</v>
      </c>
      <c r="AB17" s="74">
        <v>0.0</v>
      </c>
      <c r="AC17" s="148">
        <v>0.0</v>
      </c>
      <c r="AD17" s="266"/>
      <c r="AE17" s="148">
        <v>0.0</v>
      </c>
      <c r="AF17" s="78"/>
      <c r="AG17" s="74">
        <v>2500.0</v>
      </c>
      <c r="AH17" s="78">
        <v>45735.0</v>
      </c>
      <c r="AI17" s="74">
        <v>2500.0</v>
      </c>
      <c r="AJ17" s="77">
        <v>45707.0</v>
      </c>
      <c r="AK17" s="74">
        <v>2500.0</v>
      </c>
      <c r="AL17" s="77">
        <v>45678.0</v>
      </c>
      <c r="AX17" s="43"/>
    </row>
    <row r="18">
      <c r="A18" s="206"/>
      <c r="B18" s="74">
        <v>6.0</v>
      </c>
      <c r="C18" s="410" t="s">
        <v>632</v>
      </c>
      <c r="D18" s="410"/>
      <c r="E18" s="861"/>
      <c r="F18" s="411" t="s">
        <v>633</v>
      </c>
      <c r="G18" s="418" t="s">
        <v>265</v>
      </c>
      <c r="H18" s="72" t="s">
        <v>266</v>
      </c>
      <c r="I18" s="173">
        <v>6.063194562E9</v>
      </c>
      <c r="J18" s="865" t="s">
        <v>82</v>
      </c>
      <c r="K18" s="418" t="s">
        <v>634</v>
      </c>
      <c r="L18" s="412">
        <v>665.0</v>
      </c>
      <c r="M18" s="172"/>
      <c r="N18" s="172"/>
      <c r="O18" s="172">
        <v>665.0</v>
      </c>
      <c r="P18" s="145">
        <v>46009.0</v>
      </c>
      <c r="Q18" s="172">
        <v>0.0</v>
      </c>
      <c r="R18" s="146"/>
      <c r="S18" s="172">
        <v>665.0</v>
      </c>
      <c r="T18" s="146">
        <v>45947.0</v>
      </c>
      <c r="U18" s="172">
        <v>665.0</v>
      </c>
      <c r="V18" s="76">
        <v>45919.0</v>
      </c>
      <c r="W18" s="172">
        <v>665.0</v>
      </c>
      <c r="X18" s="77">
        <v>45889.0</v>
      </c>
      <c r="Y18" s="172">
        <v>665.0</v>
      </c>
      <c r="Z18" s="77">
        <v>45861.0</v>
      </c>
      <c r="AA18" s="172">
        <v>665.0</v>
      </c>
      <c r="AB18" s="77">
        <v>45826.0</v>
      </c>
      <c r="AC18" s="172">
        <v>550.0</v>
      </c>
      <c r="AD18" s="147">
        <v>45797.0</v>
      </c>
      <c r="AE18" s="416">
        <v>550.0</v>
      </c>
      <c r="AF18" s="78">
        <v>45763.0</v>
      </c>
      <c r="AG18" s="74">
        <v>550.0</v>
      </c>
      <c r="AH18" s="78">
        <v>45735.0</v>
      </c>
      <c r="AI18" s="74">
        <v>550.0</v>
      </c>
      <c r="AJ18" s="77">
        <v>45707.0</v>
      </c>
      <c r="AK18" s="74">
        <v>550.0</v>
      </c>
      <c r="AL18" s="77">
        <v>45678.0</v>
      </c>
    </row>
    <row r="19">
      <c r="A19" s="206"/>
      <c r="B19" s="74">
        <v>7.0</v>
      </c>
      <c r="C19" s="410" t="s">
        <v>635</v>
      </c>
      <c r="D19" s="410"/>
      <c r="E19" s="861"/>
      <c r="F19" s="411" t="s">
        <v>633</v>
      </c>
      <c r="G19" s="418" t="s">
        <v>265</v>
      </c>
      <c r="H19" s="72" t="s">
        <v>266</v>
      </c>
      <c r="I19" s="173">
        <v>6.063194562E9</v>
      </c>
      <c r="J19" s="865" t="s">
        <v>82</v>
      </c>
      <c r="K19" s="418" t="s">
        <v>374</v>
      </c>
      <c r="L19" s="412">
        <v>725.0</v>
      </c>
      <c r="M19" s="172"/>
      <c r="N19" s="172"/>
      <c r="O19" s="172">
        <v>725.0</v>
      </c>
      <c r="P19" s="145">
        <v>46009.0</v>
      </c>
      <c r="Q19" s="172">
        <v>725.0</v>
      </c>
      <c r="R19" s="75">
        <v>45979.0</v>
      </c>
      <c r="S19" s="172">
        <v>725.0</v>
      </c>
      <c r="T19" s="347">
        <v>45947.0</v>
      </c>
      <c r="U19" s="172">
        <v>725.0</v>
      </c>
      <c r="V19" s="76">
        <v>45919.0</v>
      </c>
      <c r="W19" s="172">
        <v>725.0</v>
      </c>
      <c r="X19" s="77">
        <v>45889.0</v>
      </c>
      <c r="Y19" s="172">
        <v>725.0</v>
      </c>
      <c r="Z19" s="77">
        <v>45861.0</v>
      </c>
      <c r="AA19" s="172">
        <v>1450.0</v>
      </c>
      <c r="AB19" s="77">
        <v>45826.0</v>
      </c>
      <c r="AC19" s="172">
        <v>725.0</v>
      </c>
      <c r="AD19" s="147">
        <v>45796.0</v>
      </c>
      <c r="AE19" s="172">
        <v>600.0</v>
      </c>
      <c r="AF19" s="78">
        <v>45763.0</v>
      </c>
      <c r="AG19" s="74">
        <v>1200.0</v>
      </c>
      <c r="AH19" s="78">
        <v>45735.0</v>
      </c>
      <c r="AI19" s="74">
        <v>600.0</v>
      </c>
      <c r="AJ19" s="77">
        <v>45706.0</v>
      </c>
      <c r="AK19" s="74">
        <v>600.0</v>
      </c>
      <c r="AL19" s="77">
        <v>45673.0</v>
      </c>
    </row>
    <row r="20">
      <c r="A20" s="206"/>
      <c r="B20" s="74">
        <v>8.0</v>
      </c>
      <c r="C20" s="410" t="s">
        <v>636</v>
      </c>
      <c r="D20" s="410"/>
      <c r="E20" s="861"/>
      <c r="F20" s="411" t="s">
        <v>633</v>
      </c>
      <c r="G20" s="411" t="s">
        <v>265</v>
      </c>
      <c r="H20" s="86" t="s">
        <v>266</v>
      </c>
      <c r="I20" s="172">
        <v>6.063194562E9</v>
      </c>
      <c r="J20" s="867" t="s">
        <v>82</v>
      </c>
      <c r="K20" s="411" t="s">
        <v>356</v>
      </c>
      <c r="L20" s="412">
        <v>665.0</v>
      </c>
      <c r="M20" s="172"/>
      <c r="N20" s="172"/>
      <c r="O20" s="172">
        <v>665.0</v>
      </c>
      <c r="P20" s="145">
        <v>46009.0</v>
      </c>
      <c r="Q20" s="172">
        <v>665.0</v>
      </c>
      <c r="R20" s="75">
        <v>45979.0</v>
      </c>
      <c r="S20" s="172">
        <v>665.0</v>
      </c>
      <c r="T20" s="146">
        <v>45947.0</v>
      </c>
      <c r="U20" s="172">
        <v>665.0</v>
      </c>
      <c r="V20" s="76">
        <v>45919.0</v>
      </c>
      <c r="W20" s="172">
        <v>665.0</v>
      </c>
      <c r="X20" s="77">
        <v>45889.0</v>
      </c>
      <c r="Y20" s="172">
        <v>665.0</v>
      </c>
      <c r="Z20" s="77">
        <v>45861.0</v>
      </c>
      <c r="AA20" s="172">
        <v>665.0</v>
      </c>
      <c r="AB20" s="77">
        <v>45826.0</v>
      </c>
      <c r="AC20" s="172">
        <v>665.0</v>
      </c>
      <c r="AD20" s="147">
        <v>45797.0</v>
      </c>
      <c r="AE20" s="172">
        <v>550.0</v>
      </c>
      <c r="AF20" s="78">
        <v>45763.0</v>
      </c>
      <c r="AG20" s="74">
        <v>550.0</v>
      </c>
      <c r="AH20" s="78">
        <v>45735.0</v>
      </c>
      <c r="AI20" s="74">
        <v>0.0</v>
      </c>
      <c r="AJ20" s="74">
        <v>550.0</v>
      </c>
      <c r="AK20" s="74">
        <v>550.0</v>
      </c>
      <c r="AL20" s="77">
        <v>45673.0</v>
      </c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</row>
    <row r="21">
      <c r="A21" s="206"/>
      <c r="B21" s="74">
        <v>9.0</v>
      </c>
      <c r="C21" s="410" t="s">
        <v>637</v>
      </c>
      <c r="D21" s="410"/>
      <c r="E21" s="861"/>
      <c r="F21" s="411" t="s">
        <v>633</v>
      </c>
      <c r="G21" s="411" t="s">
        <v>265</v>
      </c>
      <c r="H21" s="86" t="s">
        <v>266</v>
      </c>
      <c r="I21" s="172">
        <v>6.063194562E9</v>
      </c>
      <c r="J21" s="867" t="s">
        <v>82</v>
      </c>
      <c r="K21" s="411" t="s">
        <v>270</v>
      </c>
      <c r="L21" s="412">
        <v>665.0</v>
      </c>
      <c r="M21" s="172"/>
      <c r="N21" s="172"/>
      <c r="O21" s="172">
        <v>665.0</v>
      </c>
      <c r="P21" s="145">
        <v>46009.0</v>
      </c>
      <c r="Q21" s="172">
        <v>665.0</v>
      </c>
      <c r="R21" s="75">
        <v>45979.0</v>
      </c>
      <c r="S21" s="172">
        <v>665.0</v>
      </c>
      <c r="T21" s="146">
        <v>45947.0</v>
      </c>
      <c r="U21" s="172">
        <v>665.0</v>
      </c>
      <c r="V21" s="76">
        <v>45919.0</v>
      </c>
      <c r="W21" s="172">
        <v>665.0</v>
      </c>
      <c r="X21" s="77">
        <v>45889.0</v>
      </c>
      <c r="Y21" s="172">
        <v>665.0</v>
      </c>
      <c r="Z21" s="77">
        <v>45861.0</v>
      </c>
      <c r="AA21" s="172">
        <v>665.0</v>
      </c>
      <c r="AB21" s="77">
        <v>45826.0</v>
      </c>
      <c r="AC21" s="172">
        <v>665.0</v>
      </c>
      <c r="AD21" s="147">
        <v>45797.0</v>
      </c>
      <c r="AE21" s="172">
        <v>550.0</v>
      </c>
      <c r="AF21" s="78">
        <v>45763.0</v>
      </c>
      <c r="AG21" s="74">
        <v>550.0</v>
      </c>
      <c r="AH21" s="78">
        <v>45735.0</v>
      </c>
      <c r="AI21" s="74">
        <v>0.0</v>
      </c>
      <c r="AJ21" s="74">
        <v>550.0</v>
      </c>
      <c r="AK21" s="74">
        <v>550.0</v>
      </c>
      <c r="AL21" s="77">
        <v>45673.0</v>
      </c>
      <c r="AM21" s="90"/>
      <c r="AN21" s="90"/>
      <c r="AO21" s="90"/>
      <c r="AP21" s="90"/>
      <c r="AQ21" s="90"/>
      <c r="AR21" s="90"/>
      <c r="AS21" s="90"/>
      <c r="AT21" s="90"/>
      <c r="AU21" s="90"/>
      <c r="AV21" s="90"/>
      <c r="AW21" s="90"/>
      <c r="AX21" s="90"/>
    </row>
    <row r="22">
      <c r="A22" s="206"/>
      <c r="B22" s="74">
        <v>10.0</v>
      </c>
      <c r="C22" s="410" t="s">
        <v>638</v>
      </c>
      <c r="D22" s="410"/>
      <c r="E22" s="861"/>
      <c r="F22" s="411" t="s">
        <v>633</v>
      </c>
      <c r="G22" s="418" t="s">
        <v>265</v>
      </c>
      <c r="H22" s="72" t="s">
        <v>266</v>
      </c>
      <c r="I22" s="173">
        <v>6.063194562E9</v>
      </c>
      <c r="J22" s="865" t="s">
        <v>82</v>
      </c>
      <c r="K22" s="418" t="s">
        <v>621</v>
      </c>
      <c r="L22" s="412">
        <v>665.0</v>
      </c>
      <c r="M22" s="172"/>
      <c r="N22" s="172"/>
      <c r="O22" s="172">
        <v>665.0</v>
      </c>
      <c r="P22" s="145">
        <v>46009.0</v>
      </c>
      <c r="Q22" s="172">
        <v>665.0</v>
      </c>
      <c r="R22" s="75">
        <v>45979.0</v>
      </c>
      <c r="S22" s="172">
        <v>665.0</v>
      </c>
      <c r="T22" s="146">
        <v>45947.0</v>
      </c>
      <c r="U22" s="172">
        <v>665.0</v>
      </c>
      <c r="V22" s="76">
        <v>45919.0</v>
      </c>
      <c r="W22" s="172">
        <v>665.0</v>
      </c>
      <c r="X22" s="77">
        <v>45889.0</v>
      </c>
      <c r="Y22" s="172">
        <v>665.0</v>
      </c>
      <c r="Z22" s="77">
        <v>45861.0</v>
      </c>
      <c r="AA22" s="416">
        <v>665.0</v>
      </c>
      <c r="AB22" s="77">
        <v>45826.0</v>
      </c>
      <c r="AC22" s="416">
        <v>665.0</v>
      </c>
      <c r="AD22" s="147">
        <v>45797.0</v>
      </c>
      <c r="AE22" s="416">
        <v>550.0</v>
      </c>
      <c r="AF22" s="78">
        <v>45763.0</v>
      </c>
      <c r="AG22" s="74">
        <v>550.0</v>
      </c>
      <c r="AH22" s="78">
        <v>45735.0</v>
      </c>
      <c r="AI22" s="74">
        <v>550.0</v>
      </c>
      <c r="AJ22" s="77">
        <v>45707.0</v>
      </c>
      <c r="AK22" s="74">
        <v>550.0</v>
      </c>
      <c r="AL22" s="77">
        <v>45678.0</v>
      </c>
    </row>
    <row r="23">
      <c r="A23" s="206"/>
      <c r="B23" s="74">
        <v>11.0</v>
      </c>
      <c r="C23" s="410" t="s">
        <v>639</v>
      </c>
      <c r="D23" s="410"/>
      <c r="E23" s="861"/>
      <c r="F23" s="411" t="s">
        <v>633</v>
      </c>
      <c r="G23" s="418" t="s">
        <v>265</v>
      </c>
      <c r="H23" s="72" t="s">
        <v>266</v>
      </c>
      <c r="I23" s="173">
        <v>6.063194562E9</v>
      </c>
      <c r="J23" s="865" t="s">
        <v>82</v>
      </c>
      <c r="K23" s="418" t="s">
        <v>640</v>
      </c>
      <c r="L23" s="412">
        <v>665.0</v>
      </c>
      <c r="M23" s="172"/>
      <c r="N23" s="172"/>
      <c r="O23" s="172">
        <v>665.0</v>
      </c>
      <c r="P23" s="145">
        <v>46009.0</v>
      </c>
      <c r="Q23" s="172">
        <v>665.0</v>
      </c>
      <c r="R23" s="75">
        <v>45979.0</v>
      </c>
      <c r="S23" s="172">
        <v>665.0</v>
      </c>
      <c r="T23" s="146">
        <v>45947.0</v>
      </c>
      <c r="U23" s="172">
        <v>665.0</v>
      </c>
      <c r="V23" s="76">
        <v>45919.0</v>
      </c>
      <c r="W23" s="172">
        <v>665.0</v>
      </c>
      <c r="X23" s="77">
        <v>45889.0</v>
      </c>
      <c r="Y23" s="172">
        <v>665.0</v>
      </c>
      <c r="Z23" s="77">
        <v>45861.0</v>
      </c>
      <c r="AA23" s="416">
        <v>665.0</v>
      </c>
      <c r="AB23" s="77">
        <v>45826.0</v>
      </c>
      <c r="AC23" s="416">
        <v>665.0</v>
      </c>
      <c r="AD23" s="147">
        <v>45797.0</v>
      </c>
      <c r="AE23" s="416">
        <v>550.0</v>
      </c>
      <c r="AF23" s="78">
        <v>45763.0</v>
      </c>
      <c r="AG23" s="74">
        <v>550.0</v>
      </c>
      <c r="AH23" s="78">
        <v>45735.0</v>
      </c>
      <c r="AI23" s="74">
        <v>550.0</v>
      </c>
      <c r="AJ23" s="77">
        <v>45707.0</v>
      </c>
      <c r="AK23" s="74">
        <v>550.0</v>
      </c>
      <c r="AL23" s="868">
        <v>45673.0</v>
      </c>
    </row>
    <row r="24">
      <c r="A24" s="206"/>
      <c r="B24" s="74">
        <v>12.0</v>
      </c>
      <c r="C24" s="410" t="s">
        <v>641</v>
      </c>
      <c r="D24" s="410"/>
      <c r="E24" s="861"/>
      <c r="F24" s="411" t="s">
        <v>633</v>
      </c>
      <c r="G24" s="418" t="s">
        <v>265</v>
      </c>
      <c r="H24" s="72" t="s">
        <v>266</v>
      </c>
      <c r="I24" s="173">
        <v>6.063194562E9</v>
      </c>
      <c r="J24" s="865" t="s">
        <v>82</v>
      </c>
      <c r="K24" s="418" t="s">
        <v>621</v>
      </c>
      <c r="L24" s="412">
        <v>665.0</v>
      </c>
      <c r="M24" s="172"/>
      <c r="N24" s="172"/>
      <c r="O24" s="172">
        <v>665.0</v>
      </c>
      <c r="P24" s="145">
        <v>46009.0</v>
      </c>
      <c r="Q24" s="172">
        <v>665.0</v>
      </c>
      <c r="R24" s="75">
        <v>45979.0</v>
      </c>
      <c r="S24" s="172">
        <v>665.0</v>
      </c>
      <c r="T24" s="146">
        <v>45947.0</v>
      </c>
      <c r="U24" s="172">
        <v>665.0</v>
      </c>
      <c r="V24" s="76">
        <v>45919.0</v>
      </c>
      <c r="W24" s="172">
        <v>665.0</v>
      </c>
      <c r="X24" s="77">
        <v>45889.0</v>
      </c>
      <c r="Y24" s="172">
        <v>665.0</v>
      </c>
      <c r="Z24" s="77">
        <v>45861.0</v>
      </c>
      <c r="AA24" s="416">
        <v>665.0</v>
      </c>
      <c r="AB24" s="77">
        <v>45826.0</v>
      </c>
      <c r="AC24" s="416">
        <v>665.0</v>
      </c>
      <c r="AD24" s="147">
        <v>45797.0</v>
      </c>
      <c r="AE24" s="416">
        <v>550.0</v>
      </c>
      <c r="AF24" s="78">
        <v>45763.0</v>
      </c>
      <c r="AG24" s="74">
        <v>550.0</v>
      </c>
      <c r="AH24" s="78">
        <v>45735.0</v>
      </c>
      <c r="AI24" s="74">
        <v>550.0</v>
      </c>
      <c r="AJ24" s="77">
        <v>45707.0</v>
      </c>
      <c r="AK24" s="74">
        <v>550.0</v>
      </c>
      <c r="AL24" s="77">
        <v>45678.0</v>
      </c>
    </row>
    <row r="25">
      <c r="A25" s="206"/>
      <c r="B25" s="74">
        <v>14.0</v>
      </c>
      <c r="C25" s="410" t="s">
        <v>642</v>
      </c>
      <c r="D25" s="410"/>
      <c r="E25" s="861"/>
      <c r="F25" s="411" t="s">
        <v>633</v>
      </c>
      <c r="G25" s="411" t="s">
        <v>265</v>
      </c>
      <c r="H25" s="86" t="s">
        <v>266</v>
      </c>
      <c r="I25" s="172">
        <v>6.063194562E9</v>
      </c>
      <c r="J25" s="867" t="s">
        <v>82</v>
      </c>
      <c r="K25" s="411" t="s">
        <v>270</v>
      </c>
      <c r="L25" s="412">
        <v>665.0</v>
      </c>
      <c r="M25" s="172"/>
      <c r="N25" s="172"/>
      <c r="O25" s="172">
        <v>665.0</v>
      </c>
      <c r="P25" s="145">
        <v>46009.0</v>
      </c>
      <c r="Q25" s="172">
        <v>665.0</v>
      </c>
      <c r="R25" s="75">
        <v>45979.0</v>
      </c>
      <c r="S25" s="172">
        <v>665.0</v>
      </c>
      <c r="T25" s="146">
        <v>45947.0</v>
      </c>
      <c r="U25" s="172">
        <v>665.0</v>
      </c>
      <c r="V25" s="76">
        <v>45919.0</v>
      </c>
      <c r="W25" s="172">
        <v>665.0</v>
      </c>
      <c r="X25" s="77">
        <v>45889.0</v>
      </c>
      <c r="Y25" s="172">
        <v>665.0</v>
      </c>
      <c r="Z25" s="77">
        <v>45861.0</v>
      </c>
      <c r="AA25" s="172">
        <v>665.0</v>
      </c>
      <c r="AB25" s="77">
        <v>45826.0</v>
      </c>
      <c r="AC25" s="172">
        <v>665.0</v>
      </c>
      <c r="AD25" s="147">
        <v>45797.0</v>
      </c>
      <c r="AE25" s="416">
        <v>550.0</v>
      </c>
      <c r="AF25" s="78">
        <v>45763.0</v>
      </c>
      <c r="AG25" s="74">
        <v>550.0</v>
      </c>
      <c r="AH25" s="78">
        <v>45735.0</v>
      </c>
      <c r="AI25" s="74">
        <v>0.0</v>
      </c>
      <c r="AJ25" s="77"/>
      <c r="AK25" s="74">
        <v>550.0</v>
      </c>
      <c r="AL25" s="77">
        <v>45673.0</v>
      </c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</row>
    <row r="26">
      <c r="A26" s="206"/>
      <c r="B26" s="74">
        <v>18.0</v>
      </c>
      <c r="C26" s="410" t="s">
        <v>643</v>
      </c>
      <c r="D26" s="410"/>
      <c r="E26" s="861"/>
      <c r="F26" s="411" t="s">
        <v>633</v>
      </c>
      <c r="G26" s="418" t="s">
        <v>265</v>
      </c>
      <c r="H26" s="72" t="s">
        <v>266</v>
      </c>
      <c r="I26" s="173">
        <v>6.063194562E9</v>
      </c>
      <c r="J26" s="865"/>
      <c r="K26" s="418"/>
      <c r="L26" s="412">
        <v>665.0</v>
      </c>
      <c r="M26" s="172"/>
      <c r="N26" s="172"/>
      <c r="O26" s="172">
        <v>665.0</v>
      </c>
      <c r="P26" s="145">
        <v>46009.0</v>
      </c>
      <c r="Q26" s="172">
        <v>665.0</v>
      </c>
      <c r="R26" s="75">
        <v>45979.0</v>
      </c>
      <c r="S26" s="172">
        <v>665.0</v>
      </c>
      <c r="T26" s="146">
        <v>45947.0</v>
      </c>
      <c r="U26" s="172">
        <v>665.0</v>
      </c>
      <c r="V26" s="76">
        <v>45919.0</v>
      </c>
      <c r="W26" s="172">
        <v>665.0</v>
      </c>
      <c r="X26" s="77">
        <v>45889.0</v>
      </c>
      <c r="Y26" s="172">
        <v>665.0</v>
      </c>
      <c r="Z26" s="77">
        <v>45861.0</v>
      </c>
      <c r="AA26" s="416">
        <v>665.0</v>
      </c>
      <c r="AB26" s="77">
        <v>45826.0</v>
      </c>
      <c r="AC26" s="416">
        <v>665.0</v>
      </c>
      <c r="AD26" s="147">
        <v>45797.0</v>
      </c>
      <c r="AE26" s="416">
        <v>550.0</v>
      </c>
      <c r="AF26" s="78">
        <v>45763.0</v>
      </c>
      <c r="AG26" s="74">
        <v>550.0</v>
      </c>
      <c r="AH26" s="78">
        <v>45735.0</v>
      </c>
      <c r="AI26" s="74">
        <v>550.0</v>
      </c>
      <c r="AJ26" s="77">
        <v>45707.0</v>
      </c>
      <c r="AK26" s="74">
        <v>550.0</v>
      </c>
      <c r="AL26" s="77">
        <v>45678.0</v>
      </c>
    </row>
    <row r="27">
      <c r="A27" s="206"/>
      <c r="B27" s="74"/>
      <c r="C27" s="410" t="s">
        <v>644</v>
      </c>
      <c r="D27" s="869"/>
      <c r="E27" s="870"/>
      <c r="F27" s="418"/>
      <c r="G27" s="418" t="s">
        <v>645</v>
      </c>
      <c r="H27" s="72"/>
      <c r="I27" s="173"/>
      <c r="J27" s="865" t="s">
        <v>82</v>
      </c>
      <c r="K27" s="418"/>
      <c r="L27" s="412"/>
      <c r="M27" s="172"/>
      <c r="N27" s="172"/>
      <c r="O27" s="172">
        <v>0.0</v>
      </c>
      <c r="P27" s="172"/>
      <c r="Q27" s="172">
        <v>0.0</v>
      </c>
      <c r="R27" s="145"/>
      <c r="S27" s="172">
        <v>0.0</v>
      </c>
      <c r="T27" s="146"/>
      <c r="U27" s="172">
        <v>0.0</v>
      </c>
      <c r="V27" s="76"/>
      <c r="W27" s="172">
        <v>0.0</v>
      </c>
      <c r="X27" s="172"/>
      <c r="Y27" s="172">
        <v>0.0</v>
      </c>
      <c r="Z27" s="78"/>
      <c r="AA27" s="172">
        <v>0.0</v>
      </c>
      <c r="AB27" s="77"/>
      <c r="AC27" s="172">
        <v>0.0</v>
      </c>
      <c r="AD27" s="78"/>
      <c r="AE27" s="172">
        <v>0.0</v>
      </c>
      <c r="AF27" s="78"/>
      <c r="AG27" s="74">
        <v>0.0</v>
      </c>
      <c r="AH27" s="77"/>
      <c r="AI27" s="74"/>
      <c r="AJ27" s="77"/>
      <c r="AK27" s="74"/>
      <c r="AL27" s="77"/>
    </row>
    <row r="28">
      <c r="A28" s="74"/>
      <c r="B28" s="74"/>
      <c r="C28" s="410" t="s">
        <v>646</v>
      </c>
      <c r="D28" s="869"/>
      <c r="E28" s="870"/>
      <c r="F28" s="418"/>
      <c r="G28" s="418" t="s">
        <v>645</v>
      </c>
      <c r="H28" s="72"/>
      <c r="I28" s="173"/>
      <c r="J28" s="865" t="s">
        <v>82</v>
      </c>
      <c r="K28" s="418"/>
      <c r="L28" s="412"/>
      <c r="M28" s="172"/>
      <c r="N28" s="172"/>
      <c r="O28" s="172">
        <v>0.0</v>
      </c>
      <c r="P28" s="172"/>
      <c r="Q28" s="172">
        <v>0.0</v>
      </c>
      <c r="R28" s="145"/>
      <c r="S28" s="172">
        <v>0.0</v>
      </c>
      <c r="T28" s="146"/>
      <c r="U28" s="172">
        <v>0.0</v>
      </c>
      <c r="V28" s="76"/>
      <c r="W28" s="172">
        <v>0.0</v>
      </c>
      <c r="X28" s="172"/>
      <c r="Y28" s="172">
        <v>0.0</v>
      </c>
      <c r="Z28" s="77"/>
      <c r="AA28" s="172">
        <v>0.0</v>
      </c>
      <c r="AB28" s="77"/>
      <c r="AC28" s="172">
        <v>0.0</v>
      </c>
      <c r="AD28" s="77"/>
      <c r="AE28" s="172">
        <v>0.0</v>
      </c>
      <c r="AF28" s="77"/>
      <c r="AG28" s="74">
        <v>0.0</v>
      </c>
      <c r="AH28" s="77"/>
      <c r="AI28" s="74"/>
      <c r="AJ28" s="77"/>
      <c r="AK28" s="74"/>
      <c r="AL28" s="77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</row>
    <row r="29">
      <c r="A29" s="206"/>
      <c r="B29" s="871"/>
      <c r="C29" s="872" t="s">
        <v>647</v>
      </c>
      <c r="D29" s="873"/>
      <c r="E29" s="874"/>
      <c r="F29" s="875"/>
      <c r="G29" s="875" t="s">
        <v>648</v>
      </c>
      <c r="H29" s="876"/>
      <c r="I29" s="877"/>
      <c r="J29" s="878"/>
      <c r="K29" s="875"/>
      <c r="L29" s="412"/>
      <c r="M29" s="172"/>
      <c r="N29" s="172"/>
      <c r="O29" s="172">
        <v>0.0</v>
      </c>
      <c r="P29" s="172"/>
      <c r="Q29" s="172">
        <v>0.0</v>
      </c>
      <c r="R29" s="145"/>
      <c r="S29" s="172">
        <v>0.0</v>
      </c>
      <c r="T29" s="146"/>
      <c r="U29" s="172">
        <v>0.0</v>
      </c>
      <c r="V29" s="76"/>
      <c r="W29" s="172">
        <v>0.0</v>
      </c>
      <c r="X29" s="172"/>
      <c r="Y29" s="172">
        <v>0.0</v>
      </c>
      <c r="Z29" s="77"/>
      <c r="AA29" s="172">
        <v>0.0</v>
      </c>
      <c r="AB29" s="77"/>
      <c r="AC29" s="172">
        <v>0.0</v>
      </c>
      <c r="AD29" s="77"/>
      <c r="AE29" s="172"/>
      <c r="AF29" s="77"/>
      <c r="AG29" s="74"/>
      <c r="AH29" s="77"/>
      <c r="AI29" s="74"/>
      <c r="AJ29" s="77"/>
      <c r="AK29" s="74"/>
      <c r="AL29" s="77"/>
    </row>
    <row r="30">
      <c r="A30" s="419"/>
      <c r="B30" s="421" t="s">
        <v>308</v>
      </c>
      <c r="C30" s="5"/>
      <c r="D30" s="5"/>
      <c r="E30" s="5"/>
      <c r="F30" s="5"/>
      <c r="G30" s="5"/>
      <c r="H30" s="5"/>
      <c r="I30" s="5"/>
      <c r="J30" s="5"/>
      <c r="K30" s="5"/>
      <c r="L30" s="422">
        <f>SUM(L2:L26)</f>
        <v>18414</v>
      </c>
      <c r="M30" s="423"/>
      <c r="N30" s="423"/>
      <c r="O30" s="423">
        <f>SUM(O2:O29)</f>
        <v>11529</v>
      </c>
      <c r="P30" s="423"/>
      <c r="Q30" s="423">
        <f>SUM(Q2:Q26)</f>
        <v>10464</v>
      </c>
      <c r="R30" s="423"/>
      <c r="S30" s="423">
        <f>SUM(S2:S26)</f>
        <v>11129</v>
      </c>
      <c r="T30" s="423"/>
      <c r="U30" s="423">
        <f>SUM(U2:U29)</f>
        <v>11129</v>
      </c>
      <c r="V30" s="423"/>
      <c r="W30" s="423">
        <f>SUM(W2:W26)</f>
        <v>12579</v>
      </c>
      <c r="X30" s="423"/>
      <c r="Y30" s="423">
        <f>SUM(Y2:Y26)</f>
        <v>15064</v>
      </c>
      <c r="Z30" s="423"/>
      <c r="AA30" s="423">
        <f>SUM(AA2:AA29)</f>
        <v>14939</v>
      </c>
      <c r="AB30" s="423"/>
      <c r="AC30" s="423">
        <f>SUM(AC2:AC27)</f>
        <v>13734</v>
      </c>
      <c r="AD30" s="423"/>
      <c r="AE30" s="423">
        <f>SUM(AE2:AE29)</f>
        <v>13144</v>
      </c>
      <c r="AF30" s="423"/>
      <c r="AG30" s="423">
        <f>SUM(AG2:AG26)</f>
        <v>15450</v>
      </c>
      <c r="AH30" s="423"/>
      <c r="AI30" s="879">
        <f>SUM(AI2:AI26)</f>
        <v>11350</v>
      </c>
      <c r="AJ30" s="423"/>
      <c r="AK30" s="423">
        <f>SUM(AK2:AK26)</f>
        <v>13150</v>
      </c>
      <c r="AL30" s="423"/>
    </row>
    <row r="31">
      <c r="D31" s="90"/>
      <c r="E31" s="198"/>
    </row>
    <row r="32">
      <c r="D32" s="90"/>
      <c r="E32" s="198"/>
      <c r="K32" s="411" t="s">
        <v>596</v>
      </c>
      <c r="O32" s="211">
        <f>SUM(O2:O16)</f>
        <v>5484</v>
      </c>
      <c r="Q32" s="211">
        <f>SUM(Q2:Q16)</f>
        <v>5084</v>
      </c>
      <c r="S32" s="211">
        <f>SUM(S2:S16)</f>
        <v>5084</v>
      </c>
      <c r="U32" s="211">
        <f>SUM(U2:U16)</f>
        <v>5084</v>
      </c>
      <c r="W32" s="211">
        <f>SUM(W2:W16)</f>
        <v>6534</v>
      </c>
      <c r="Y32" s="211">
        <f>SUM(Y2:Y16)</f>
        <v>9019</v>
      </c>
      <c r="AA32" s="211">
        <f>SUM(AA2:AA16)</f>
        <v>8169</v>
      </c>
      <c r="AC32" s="211">
        <f>SUM(AC2:AC16)</f>
        <v>7804</v>
      </c>
      <c r="AE32" s="211">
        <f>SUM(AE2:AE16)</f>
        <v>8144</v>
      </c>
      <c r="AG32" s="211">
        <f>SUM(AG2:AG16)</f>
        <v>7350</v>
      </c>
      <c r="AI32" s="211">
        <f>SUM(AI2:AI16)</f>
        <v>5500</v>
      </c>
      <c r="AK32" s="211">
        <f>SUM(AK2:AK16)</f>
        <v>5650</v>
      </c>
      <c r="AM32" s="193">
        <f t="shared" ref="AM32:AM33" si="1">SUM(O32:AL32)</f>
        <v>78906</v>
      </c>
    </row>
    <row r="33">
      <c r="D33" s="90"/>
      <c r="E33" s="198"/>
      <c r="K33" s="411" t="s">
        <v>633</v>
      </c>
      <c r="O33" s="211">
        <f>SUM(O17:O29)</f>
        <v>6045</v>
      </c>
      <c r="Q33" s="211">
        <f>SUM(Q17:Q29)</f>
        <v>5380</v>
      </c>
      <c r="S33" s="211">
        <f>SUM(S17:S29)</f>
        <v>6045</v>
      </c>
      <c r="U33" s="211">
        <f>SUM(U17:U29)</f>
        <v>6045</v>
      </c>
      <c r="W33" s="211">
        <f>SUM(W17:W29)</f>
        <v>6045</v>
      </c>
      <c r="Y33" s="211">
        <f>SUM(Y17:Y29)</f>
        <v>6045</v>
      </c>
      <c r="AA33" s="211">
        <f>SUM(AA17:AA29)</f>
        <v>6770</v>
      </c>
      <c r="AC33" s="211">
        <f>SUM(AC17:AC29)</f>
        <v>5930</v>
      </c>
      <c r="AE33" s="211">
        <f>SUM(AE17:AE29)</f>
        <v>5000</v>
      </c>
      <c r="AG33" s="211">
        <f>SUM(AG17:AG29)</f>
        <v>8100</v>
      </c>
      <c r="AI33" s="211">
        <f>SUM(AI17:AI29)</f>
        <v>5850</v>
      </c>
      <c r="AK33" s="211">
        <f>SUM(AK17:AK29)</f>
        <v>7500</v>
      </c>
      <c r="AM33" s="193">
        <f t="shared" si="1"/>
        <v>74755</v>
      </c>
    </row>
    <row r="34">
      <c r="D34" s="90"/>
      <c r="E34" s="198"/>
      <c r="K34" s="880"/>
      <c r="AH34" s="43" t="s">
        <v>649</v>
      </c>
      <c r="AI34" s="43">
        <v>6300.0</v>
      </c>
      <c r="AJ34" s="43" t="s">
        <v>650</v>
      </c>
    </row>
    <row r="35">
      <c r="C35" s="43" t="s">
        <v>651</v>
      </c>
      <c r="D35" s="90"/>
      <c r="E35" s="198"/>
      <c r="AH35" s="43" t="s">
        <v>649</v>
      </c>
      <c r="AI35" s="881">
        <v>600.0</v>
      </c>
      <c r="AJ35" s="43" t="s">
        <v>652</v>
      </c>
    </row>
    <row r="36">
      <c r="C36" s="882" t="s">
        <v>653</v>
      </c>
      <c r="D36" s="90"/>
      <c r="E36" s="198"/>
      <c r="AH36" s="43" t="s">
        <v>649</v>
      </c>
      <c r="AI36" s="43">
        <v>4500.0</v>
      </c>
      <c r="AJ36" s="43" t="s">
        <v>654</v>
      </c>
    </row>
    <row r="37">
      <c r="C37" s="410" t="s">
        <v>655</v>
      </c>
      <c r="D37" s="90"/>
      <c r="E37" s="198"/>
      <c r="AH37" s="43" t="s">
        <v>407</v>
      </c>
      <c r="AI37" s="43">
        <v>2500.0</v>
      </c>
      <c r="AJ37" s="43" t="s">
        <v>612</v>
      </c>
    </row>
    <row r="38">
      <c r="C38" s="410" t="s">
        <v>637</v>
      </c>
      <c r="D38" s="90"/>
      <c r="E38" s="198"/>
      <c r="AH38" s="43" t="s">
        <v>407</v>
      </c>
      <c r="AI38" s="43">
        <v>500.0</v>
      </c>
    </row>
    <row r="39">
      <c r="C39" s="883" t="s">
        <v>656</v>
      </c>
      <c r="D39" s="90"/>
      <c r="E39" s="198"/>
      <c r="AH39" s="43" t="s">
        <v>657</v>
      </c>
      <c r="AI39" s="43">
        <v>650.0</v>
      </c>
    </row>
    <row r="40">
      <c r="C40" s="883" t="s">
        <v>658</v>
      </c>
      <c r="D40" s="90"/>
      <c r="E40" s="198"/>
      <c r="AH40" s="43" t="s">
        <v>659</v>
      </c>
      <c r="AI40" s="43">
        <v>1800.0</v>
      </c>
      <c r="AJ40" s="43" t="s">
        <v>660</v>
      </c>
    </row>
    <row r="41">
      <c r="C41" s="884" t="s">
        <v>661</v>
      </c>
      <c r="D41" s="90"/>
      <c r="E41" s="198"/>
      <c r="AI41" s="885">
        <f>AI33+AI36+AI37+AI38+AI39+AI40</f>
        <v>15800</v>
      </c>
    </row>
    <row r="42">
      <c r="C42" s="883" t="s">
        <v>662</v>
      </c>
      <c r="D42" s="90"/>
      <c r="E42" s="198"/>
    </row>
    <row r="43">
      <c r="C43" s="883" t="s">
        <v>663</v>
      </c>
      <c r="D43" s="90"/>
      <c r="E43" s="198"/>
      <c r="AI43" s="886" t="s">
        <v>664</v>
      </c>
      <c r="AJ43" s="6"/>
    </row>
    <row r="44">
      <c r="C44" s="883" t="s">
        <v>665</v>
      </c>
      <c r="D44" s="90"/>
      <c r="E44" s="198"/>
      <c r="AI44" s="51" t="s">
        <v>666</v>
      </c>
      <c r="AJ44" s="51">
        <f>78925+600</f>
        <v>79525</v>
      </c>
    </row>
    <row r="45">
      <c r="C45" s="884" t="s">
        <v>667</v>
      </c>
      <c r="D45" s="90"/>
      <c r="E45" s="198"/>
      <c r="AI45" s="51" t="s">
        <v>668</v>
      </c>
      <c r="AJ45" s="829">
        <f>'Альметьевск'!AG42+'Казань'!AG17+'Зеленодольск'!AG30+'Иннополис'!AF4+'Иннополис'!AH4+AG30+AI30+'Раниф тест'!AD3+'Тюмень'!AH100+'Тюмень'!AF100+'Марат'!W2</f>
        <v>124316</v>
      </c>
    </row>
    <row r="46">
      <c r="C46" s="884" t="s">
        <v>639</v>
      </c>
      <c r="D46" s="90"/>
      <c r="E46" s="198"/>
      <c r="AI46" s="51" t="s">
        <v>669</v>
      </c>
      <c r="AJ46" s="829">
        <f>AJ44-AJ45</f>
        <v>-44791</v>
      </c>
    </row>
    <row r="47">
      <c r="C47" s="884" t="s">
        <v>642</v>
      </c>
      <c r="D47" s="90"/>
      <c r="E47" s="198"/>
      <c r="AI47" s="43" t="s">
        <v>670</v>
      </c>
    </row>
    <row r="48">
      <c r="C48" s="884" t="s">
        <v>632</v>
      </c>
      <c r="D48" s="90"/>
      <c r="E48" s="198"/>
    </row>
    <row r="49">
      <c r="C49" s="887" t="s">
        <v>671</v>
      </c>
      <c r="D49" s="90"/>
      <c r="E49" s="198"/>
    </row>
    <row r="50">
      <c r="C50" s="410" t="s">
        <v>672</v>
      </c>
      <c r="D50" s="90"/>
      <c r="E50" s="198"/>
    </row>
    <row r="51">
      <c r="C51" s="887" t="s">
        <v>673</v>
      </c>
      <c r="D51" s="90"/>
      <c r="E51" s="198"/>
    </row>
    <row r="52">
      <c r="C52" s="410" t="s">
        <v>601</v>
      </c>
      <c r="D52" s="90"/>
      <c r="E52" s="198"/>
    </row>
    <row r="53">
      <c r="C53" s="887" t="s">
        <v>674</v>
      </c>
      <c r="D53" s="90"/>
      <c r="E53" s="198"/>
    </row>
    <row r="54">
      <c r="C54" s="43" t="s">
        <v>675</v>
      </c>
      <c r="D54" s="90"/>
      <c r="E54" s="198"/>
    </row>
    <row r="55">
      <c r="C55" s="887" t="s">
        <v>676</v>
      </c>
      <c r="D55" s="90"/>
      <c r="E55" s="198"/>
    </row>
    <row r="56">
      <c r="C56" s="410" t="s">
        <v>624</v>
      </c>
      <c r="D56" s="90"/>
      <c r="E56" s="198"/>
    </row>
    <row r="57">
      <c r="C57" s="887" t="s">
        <v>677</v>
      </c>
      <c r="D57" s="90"/>
      <c r="E57" s="198"/>
    </row>
    <row r="58">
      <c r="C58" s="410" t="s">
        <v>624</v>
      </c>
      <c r="D58" s="90"/>
      <c r="E58" s="198"/>
    </row>
    <row r="59">
      <c r="C59" s="887" t="s">
        <v>678</v>
      </c>
      <c r="D59" s="90"/>
      <c r="E59" s="198"/>
    </row>
    <row r="60">
      <c r="C60" s="410" t="s">
        <v>595</v>
      </c>
      <c r="D60" s="90"/>
      <c r="E60" s="198"/>
    </row>
    <row r="61">
      <c r="C61" s="887" t="s">
        <v>679</v>
      </c>
      <c r="D61" s="90"/>
      <c r="E61" s="198"/>
    </row>
    <row r="62">
      <c r="C62" s="410" t="s">
        <v>605</v>
      </c>
      <c r="D62" s="90"/>
      <c r="E62" s="198"/>
    </row>
    <row r="63">
      <c r="C63" s="887" t="s">
        <v>680</v>
      </c>
      <c r="D63" s="90"/>
      <c r="E63" s="198"/>
    </row>
    <row r="64">
      <c r="C64" s="410" t="s">
        <v>595</v>
      </c>
      <c r="D64" s="90"/>
      <c r="E64" s="198"/>
    </row>
    <row r="65">
      <c r="C65" s="887" t="s">
        <v>681</v>
      </c>
      <c r="D65" s="90"/>
      <c r="E65" s="198"/>
    </row>
    <row r="66">
      <c r="C66" s="410" t="s">
        <v>682</v>
      </c>
      <c r="D66" s="90"/>
      <c r="E66" s="198"/>
    </row>
    <row r="67">
      <c r="C67" s="887" t="s">
        <v>683</v>
      </c>
      <c r="D67" s="90"/>
      <c r="E67" s="198"/>
    </row>
    <row r="68">
      <c r="C68" s="410" t="s">
        <v>682</v>
      </c>
      <c r="D68" s="90"/>
      <c r="E68" s="198"/>
    </row>
    <row r="69">
      <c r="C69" s="887" t="s">
        <v>684</v>
      </c>
      <c r="D69" s="90"/>
      <c r="E69" s="198"/>
    </row>
    <row r="70">
      <c r="C70" s="410" t="s">
        <v>609</v>
      </c>
      <c r="D70" s="90"/>
      <c r="E70" s="198"/>
    </row>
    <row r="71">
      <c r="C71" s="887" t="s">
        <v>685</v>
      </c>
      <c r="D71" s="90"/>
      <c r="E71" s="198"/>
    </row>
    <row r="72">
      <c r="C72" s="410" t="s">
        <v>609</v>
      </c>
      <c r="D72" s="90"/>
      <c r="E72" s="198"/>
    </row>
    <row r="73">
      <c r="C73" s="887" t="s">
        <v>686</v>
      </c>
      <c r="D73" s="90"/>
      <c r="E73" s="198"/>
    </row>
    <row r="74">
      <c r="C74" s="410" t="s">
        <v>595</v>
      </c>
      <c r="D74" s="90"/>
      <c r="E74" s="198"/>
    </row>
    <row r="75">
      <c r="D75" s="90"/>
      <c r="E75" s="198"/>
    </row>
    <row r="76">
      <c r="D76" s="90"/>
      <c r="E76" s="198"/>
    </row>
    <row r="77">
      <c r="D77" s="90"/>
      <c r="E77" s="198"/>
    </row>
    <row r="78">
      <c r="D78" s="90"/>
      <c r="E78" s="198"/>
    </row>
    <row r="79">
      <c r="D79" s="90"/>
      <c r="E79" s="198"/>
    </row>
    <row r="80">
      <c r="D80" s="90"/>
      <c r="E80" s="198"/>
    </row>
    <row r="81">
      <c r="D81" s="90"/>
      <c r="E81" s="198"/>
    </row>
    <row r="82">
      <c r="D82" s="90"/>
      <c r="E82" s="198"/>
    </row>
    <row r="83">
      <c r="D83" s="90"/>
      <c r="E83" s="198"/>
    </row>
    <row r="84">
      <c r="D84" s="90"/>
      <c r="E84" s="198"/>
    </row>
    <row r="85">
      <c r="D85" s="90"/>
      <c r="E85" s="198"/>
    </row>
    <row r="86">
      <c r="D86" s="90"/>
      <c r="E86" s="198"/>
    </row>
    <row r="87">
      <c r="D87" s="90"/>
      <c r="E87" s="198"/>
    </row>
    <row r="88">
      <c r="D88" s="90"/>
      <c r="E88" s="198"/>
    </row>
    <row r="89">
      <c r="D89" s="90"/>
      <c r="E89" s="198"/>
    </row>
    <row r="90">
      <c r="D90" s="90"/>
      <c r="E90" s="198"/>
    </row>
    <row r="91">
      <c r="D91" s="90"/>
      <c r="E91" s="198"/>
    </row>
    <row r="92">
      <c r="D92" s="90"/>
      <c r="E92" s="198"/>
    </row>
    <row r="93">
      <c r="D93" s="90"/>
      <c r="E93" s="198"/>
    </row>
    <row r="94">
      <c r="D94" s="90"/>
      <c r="E94" s="198"/>
    </row>
    <row r="95">
      <c r="D95" s="90"/>
      <c r="E95" s="198"/>
    </row>
    <row r="96">
      <c r="D96" s="90"/>
      <c r="E96" s="198"/>
    </row>
    <row r="97">
      <c r="D97" s="90"/>
      <c r="E97" s="198"/>
    </row>
    <row r="98">
      <c r="D98" s="90"/>
      <c r="E98" s="198"/>
    </row>
    <row r="99">
      <c r="D99" s="90"/>
      <c r="E99" s="198"/>
    </row>
    <row r="100">
      <c r="D100" s="90"/>
      <c r="E100" s="198"/>
    </row>
    <row r="101">
      <c r="D101" s="90"/>
      <c r="E101" s="198"/>
    </row>
    <row r="102">
      <c r="D102" s="90"/>
      <c r="E102" s="198"/>
    </row>
    <row r="103">
      <c r="D103" s="90"/>
      <c r="E103" s="198"/>
    </row>
    <row r="104">
      <c r="D104" s="90"/>
      <c r="E104" s="198"/>
    </row>
    <row r="105">
      <c r="D105" s="90"/>
      <c r="E105" s="198"/>
    </row>
    <row r="106">
      <c r="D106" s="90"/>
      <c r="E106" s="198"/>
    </row>
    <row r="107">
      <c r="D107" s="90"/>
      <c r="E107" s="198"/>
    </row>
    <row r="108">
      <c r="D108" s="90"/>
      <c r="E108" s="198"/>
    </row>
    <row r="109">
      <c r="D109" s="90"/>
      <c r="E109" s="198"/>
    </row>
    <row r="110">
      <c r="D110" s="90"/>
      <c r="E110" s="198"/>
    </row>
    <row r="111">
      <c r="D111" s="90"/>
      <c r="E111" s="198"/>
    </row>
    <row r="112">
      <c r="D112" s="90"/>
      <c r="E112" s="198"/>
    </row>
    <row r="113">
      <c r="D113" s="90"/>
      <c r="E113" s="198"/>
    </row>
    <row r="114">
      <c r="D114" s="90"/>
      <c r="E114" s="198"/>
    </row>
    <row r="115">
      <c r="D115" s="90"/>
      <c r="E115" s="198"/>
    </row>
    <row r="116">
      <c r="D116" s="90"/>
      <c r="E116" s="198"/>
    </row>
    <row r="117">
      <c r="D117" s="90"/>
      <c r="E117" s="198"/>
    </row>
    <row r="118">
      <c r="D118" s="90"/>
      <c r="E118" s="198"/>
    </row>
    <row r="119">
      <c r="D119" s="90"/>
      <c r="E119" s="198"/>
    </row>
    <row r="120">
      <c r="D120" s="90"/>
      <c r="E120" s="198"/>
    </row>
    <row r="121">
      <c r="D121" s="90"/>
      <c r="E121" s="198"/>
    </row>
    <row r="122">
      <c r="D122" s="90"/>
      <c r="E122" s="198"/>
    </row>
    <row r="123">
      <c r="D123" s="90"/>
      <c r="E123" s="198"/>
    </row>
    <row r="124">
      <c r="D124" s="90"/>
      <c r="E124" s="198"/>
    </row>
    <row r="125">
      <c r="D125" s="90"/>
      <c r="E125" s="198"/>
    </row>
    <row r="126">
      <c r="D126" s="90"/>
      <c r="E126" s="198"/>
    </row>
    <row r="127">
      <c r="D127" s="90"/>
      <c r="E127" s="198"/>
    </row>
    <row r="128">
      <c r="D128" s="90"/>
      <c r="E128" s="198"/>
    </row>
    <row r="129">
      <c r="D129" s="90"/>
      <c r="E129" s="198"/>
    </row>
    <row r="130">
      <c r="D130" s="90"/>
      <c r="E130" s="198"/>
    </row>
    <row r="131">
      <c r="D131" s="90"/>
      <c r="E131" s="198"/>
    </row>
    <row r="132">
      <c r="D132" s="90"/>
      <c r="E132" s="198"/>
    </row>
    <row r="133">
      <c r="D133" s="90"/>
      <c r="E133" s="198"/>
    </row>
    <row r="134">
      <c r="D134" s="90"/>
      <c r="E134" s="198"/>
    </row>
    <row r="135">
      <c r="D135" s="90"/>
      <c r="E135" s="198"/>
    </row>
    <row r="136">
      <c r="D136" s="90"/>
      <c r="E136" s="198"/>
    </row>
    <row r="137">
      <c r="D137" s="90"/>
      <c r="E137" s="198"/>
    </row>
    <row r="138">
      <c r="D138" s="90"/>
      <c r="E138" s="198"/>
    </row>
    <row r="139">
      <c r="D139" s="90"/>
      <c r="E139" s="198"/>
    </row>
    <row r="140">
      <c r="D140" s="90"/>
      <c r="E140" s="198"/>
    </row>
    <row r="141">
      <c r="D141" s="90"/>
      <c r="E141" s="198"/>
    </row>
    <row r="142">
      <c r="D142" s="90"/>
      <c r="E142" s="198"/>
    </row>
    <row r="143">
      <c r="D143" s="90"/>
      <c r="E143" s="198"/>
    </row>
    <row r="144">
      <c r="D144" s="90"/>
      <c r="E144" s="198"/>
    </row>
    <row r="145">
      <c r="D145" s="90"/>
      <c r="E145" s="198"/>
    </row>
    <row r="146">
      <c r="D146" s="90"/>
      <c r="E146" s="198"/>
    </row>
    <row r="147">
      <c r="D147" s="90"/>
      <c r="E147" s="198"/>
    </row>
    <row r="148">
      <c r="D148" s="90"/>
      <c r="E148" s="198"/>
    </row>
    <row r="149">
      <c r="D149" s="90"/>
      <c r="E149" s="198"/>
    </row>
    <row r="150">
      <c r="D150" s="90"/>
      <c r="E150" s="198"/>
    </row>
    <row r="151">
      <c r="D151" s="90"/>
      <c r="E151" s="198"/>
    </row>
    <row r="152">
      <c r="D152" s="90"/>
      <c r="E152" s="198"/>
    </row>
    <row r="153">
      <c r="D153" s="90"/>
      <c r="E153" s="198"/>
    </row>
    <row r="154">
      <c r="D154" s="90"/>
      <c r="E154" s="198"/>
    </row>
    <row r="155">
      <c r="D155" s="90"/>
      <c r="E155" s="198"/>
    </row>
    <row r="156">
      <c r="D156" s="90"/>
      <c r="E156" s="198"/>
    </row>
    <row r="157">
      <c r="D157" s="90"/>
      <c r="E157" s="198"/>
    </row>
    <row r="158">
      <c r="D158" s="90"/>
      <c r="E158" s="198"/>
    </row>
    <row r="159">
      <c r="D159" s="90"/>
      <c r="E159" s="198"/>
    </row>
    <row r="160">
      <c r="D160" s="90"/>
      <c r="E160" s="198"/>
    </row>
    <row r="161">
      <c r="D161" s="90"/>
      <c r="E161" s="198"/>
    </row>
    <row r="162">
      <c r="D162" s="90"/>
      <c r="E162" s="198"/>
    </row>
    <row r="163">
      <c r="D163" s="90"/>
      <c r="E163" s="198"/>
    </row>
    <row r="164">
      <c r="D164" s="90"/>
      <c r="E164" s="198"/>
    </row>
    <row r="165">
      <c r="D165" s="90"/>
      <c r="E165" s="198"/>
    </row>
    <row r="166">
      <c r="D166" s="90"/>
      <c r="E166" s="198"/>
    </row>
    <row r="167">
      <c r="D167" s="90"/>
      <c r="E167" s="198"/>
    </row>
    <row r="168">
      <c r="D168" s="90"/>
      <c r="E168" s="198"/>
    </row>
    <row r="169">
      <c r="D169" s="90"/>
      <c r="E169" s="198"/>
    </row>
    <row r="170">
      <c r="D170" s="90"/>
      <c r="E170" s="198"/>
    </row>
    <row r="171">
      <c r="D171" s="90"/>
      <c r="E171" s="198"/>
    </row>
    <row r="172">
      <c r="D172" s="90"/>
      <c r="E172" s="198"/>
    </row>
    <row r="173">
      <c r="D173" s="90"/>
      <c r="E173" s="198"/>
    </row>
    <row r="174">
      <c r="D174" s="90"/>
      <c r="E174" s="198"/>
    </row>
    <row r="175">
      <c r="D175" s="90"/>
      <c r="E175" s="198"/>
    </row>
    <row r="176">
      <c r="D176" s="90"/>
      <c r="E176" s="198"/>
    </row>
    <row r="177">
      <c r="D177" s="90"/>
      <c r="E177" s="198"/>
    </row>
    <row r="178">
      <c r="D178" s="90"/>
      <c r="E178" s="198"/>
    </row>
    <row r="179">
      <c r="D179" s="90"/>
      <c r="E179" s="198"/>
    </row>
    <row r="180">
      <c r="D180" s="90"/>
      <c r="E180" s="198"/>
    </row>
    <row r="181">
      <c r="D181" s="90"/>
      <c r="E181" s="198"/>
    </row>
    <row r="182">
      <c r="D182" s="90"/>
      <c r="E182" s="198"/>
    </row>
    <row r="183">
      <c r="D183" s="90"/>
      <c r="E183" s="198"/>
    </row>
    <row r="184">
      <c r="D184" s="90"/>
      <c r="E184" s="198"/>
    </row>
    <row r="185">
      <c r="D185" s="90"/>
      <c r="E185" s="198"/>
    </row>
    <row r="186">
      <c r="D186" s="90"/>
      <c r="E186" s="198"/>
    </row>
    <row r="187">
      <c r="D187" s="90"/>
      <c r="E187" s="198"/>
    </row>
    <row r="188">
      <c r="D188" s="90"/>
      <c r="E188" s="198"/>
    </row>
    <row r="189">
      <c r="D189" s="90"/>
      <c r="E189" s="198"/>
    </row>
    <row r="190">
      <c r="D190" s="90"/>
      <c r="E190" s="198"/>
    </row>
    <row r="191">
      <c r="D191" s="90"/>
      <c r="E191" s="198"/>
    </row>
    <row r="192">
      <c r="D192" s="90"/>
      <c r="E192" s="198"/>
    </row>
    <row r="193">
      <c r="D193" s="90"/>
      <c r="E193" s="198"/>
    </row>
    <row r="194">
      <c r="D194" s="90"/>
      <c r="E194" s="198"/>
    </row>
    <row r="195">
      <c r="D195" s="90"/>
      <c r="E195" s="198"/>
    </row>
    <row r="196">
      <c r="D196" s="90"/>
      <c r="E196" s="198"/>
    </row>
    <row r="197">
      <c r="D197" s="90"/>
      <c r="E197" s="198"/>
    </row>
    <row r="198">
      <c r="D198" s="90"/>
      <c r="E198" s="198"/>
    </row>
    <row r="199">
      <c r="D199" s="90"/>
      <c r="E199" s="198"/>
    </row>
    <row r="200">
      <c r="D200" s="90"/>
      <c r="E200" s="198"/>
    </row>
    <row r="201">
      <c r="D201" s="90"/>
      <c r="E201" s="198"/>
    </row>
    <row r="202">
      <c r="D202" s="90"/>
      <c r="E202" s="198"/>
    </row>
    <row r="203">
      <c r="D203" s="90"/>
      <c r="E203" s="198"/>
    </row>
    <row r="204">
      <c r="D204" s="90"/>
      <c r="E204" s="198"/>
    </row>
    <row r="205">
      <c r="D205" s="90"/>
      <c r="E205" s="198"/>
    </row>
    <row r="206">
      <c r="D206" s="90"/>
      <c r="E206" s="198"/>
    </row>
    <row r="207">
      <c r="D207" s="90"/>
      <c r="E207" s="198"/>
    </row>
    <row r="208">
      <c r="D208" s="90"/>
      <c r="E208" s="198"/>
    </row>
    <row r="209">
      <c r="D209" s="90"/>
      <c r="E209" s="198"/>
    </row>
    <row r="210">
      <c r="D210" s="90"/>
      <c r="E210" s="198"/>
    </row>
    <row r="211">
      <c r="D211" s="90"/>
      <c r="E211" s="198"/>
    </row>
    <row r="212">
      <c r="D212" s="90"/>
      <c r="E212" s="198"/>
    </row>
    <row r="213">
      <c r="D213" s="90"/>
      <c r="E213" s="198"/>
    </row>
    <row r="214">
      <c r="D214" s="90"/>
      <c r="E214" s="198"/>
    </row>
    <row r="215">
      <c r="D215" s="90"/>
      <c r="E215" s="198"/>
    </row>
    <row r="216">
      <c r="D216" s="90"/>
      <c r="E216" s="198"/>
    </row>
    <row r="217">
      <c r="D217" s="90"/>
      <c r="E217" s="198"/>
    </row>
    <row r="218">
      <c r="D218" s="90"/>
      <c r="E218" s="198"/>
    </row>
    <row r="219">
      <c r="D219" s="90"/>
      <c r="E219" s="198"/>
    </row>
    <row r="220">
      <c r="D220" s="90"/>
      <c r="E220" s="198"/>
    </row>
    <row r="221">
      <c r="D221" s="90"/>
      <c r="E221" s="198"/>
    </row>
    <row r="222">
      <c r="D222" s="90"/>
      <c r="E222" s="198"/>
    </row>
    <row r="223">
      <c r="D223" s="90"/>
      <c r="E223" s="198"/>
    </row>
    <row r="224">
      <c r="D224" s="90"/>
      <c r="E224" s="198"/>
    </row>
    <row r="225">
      <c r="D225" s="90"/>
      <c r="E225" s="198"/>
    </row>
    <row r="226">
      <c r="D226" s="90"/>
      <c r="E226" s="198"/>
    </row>
    <row r="227">
      <c r="D227" s="90"/>
      <c r="E227" s="198"/>
    </row>
    <row r="228">
      <c r="D228" s="90"/>
      <c r="E228" s="198"/>
    </row>
    <row r="229">
      <c r="D229" s="90"/>
      <c r="E229" s="198"/>
    </row>
    <row r="230">
      <c r="D230" s="90"/>
      <c r="E230" s="198"/>
    </row>
    <row r="231">
      <c r="D231" s="90"/>
      <c r="E231" s="198"/>
    </row>
    <row r="232">
      <c r="D232" s="90"/>
      <c r="E232" s="198"/>
    </row>
    <row r="233">
      <c r="D233" s="90"/>
      <c r="E233" s="198"/>
    </row>
    <row r="234">
      <c r="D234" s="90"/>
      <c r="E234" s="198"/>
    </row>
    <row r="235">
      <c r="D235" s="90"/>
      <c r="E235" s="198"/>
    </row>
    <row r="236">
      <c r="D236" s="90"/>
      <c r="E236" s="198"/>
    </row>
    <row r="237">
      <c r="D237" s="90"/>
      <c r="E237" s="198"/>
    </row>
    <row r="238">
      <c r="D238" s="90"/>
      <c r="E238" s="198"/>
    </row>
    <row r="239">
      <c r="D239" s="90"/>
      <c r="E239" s="198"/>
    </row>
    <row r="240">
      <c r="D240" s="90"/>
      <c r="E240" s="198"/>
    </row>
    <row r="241">
      <c r="D241" s="90"/>
      <c r="E241" s="198"/>
    </row>
    <row r="242">
      <c r="D242" s="90"/>
      <c r="E242" s="198"/>
    </row>
    <row r="243">
      <c r="D243" s="90"/>
      <c r="E243" s="198"/>
    </row>
    <row r="244">
      <c r="D244" s="90"/>
      <c r="E244" s="198"/>
    </row>
    <row r="245">
      <c r="D245" s="90"/>
      <c r="E245" s="198"/>
    </row>
    <row r="246">
      <c r="D246" s="90"/>
      <c r="E246" s="198"/>
    </row>
    <row r="247">
      <c r="D247" s="90"/>
      <c r="E247" s="198"/>
    </row>
    <row r="248">
      <c r="D248" s="90"/>
      <c r="E248" s="198"/>
    </row>
    <row r="249">
      <c r="D249" s="90"/>
      <c r="E249" s="198"/>
    </row>
    <row r="250">
      <c r="D250" s="90"/>
      <c r="E250" s="198"/>
    </row>
    <row r="251">
      <c r="D251" s="90"/>
      <c r="E251" s="198"/>
    </row>
    <row r="252">
      <c r="D252" s="90"/>
      <c r="E252" s="198"/>
    </row>
    <row r="253">
      <c r="D253" s="90"/>
      <c r="E253" s="198"/>
    </row>
    <row r="254">
      <c r="D254" s="90"/>
      <c r="E254" s="198"/>
    </row>
    <row r="255">
      <c r="D255" s="90"/>
      <c r="E255" s="198"/>
    </row>
    <row r="256">
      <c r="D256" s="90"/>
      <c r="E256" s="198"/>
    </row>
    <row r="257">
      <c r="D257" s="90"/>
      <c r="E257" s="198"/>
    </row>
    <row r="258">
      <c r="D258" s="90"/>
      <c r="E258" s="198"/>
    </row>
    <row r="259">
      <c r="D259" s="90"/>
      <c r="E259" s="198"/>
    </row>
    <row r="260">
      <c r="D260" s="90"/>
      <c r="E260" s="198"/>
    </row>
    <row r="261">
      <c r="D261" s="90"/>
      <c r="E261" s="198"/>
    </row>
    <row r="262">
      <c r="D262" s="90"/>
      <c r="E262" s="198"/>
    </row>
    <row r="263">
      <c r="D263" s="90"/>
      <c r="E263" s="198"/>
    </row>
    <row r="264">
      <c r="D264" s="90"/>
      <c r="E264" s="198"/>
    </row>
    <row r="265">
      <c r="D265" s="90"/>
      <c r="E265" s="198"/>
    </row>
    <row r="266">
      <c r="D266" s="90"/>
      <c r="E266" s="198"/>
    </row>
    <row r="267">
      <c r="D267" s="90"/>
      <c r="E267" s="198"/>
    </row>
    <row r="268">
      <c r="D268" s="90"/>
      <c r="E268" s="198"/>
    </row>
    <row r="269">
      <c r="D269" s="90"/>
      <c r="E269" s="198"/>
    </row>
    <row r="270">
      <c r="D270" s="90"/>
      <c r="E270" s="198"/>
    </row>
    <row r="271">
      <c r="D271" s="90"/>
      <c r="E271" s="198"/>
    </row>
    <row r="272">
      <c r="D272" s="90"/>
      <c r="E272" s="198"/>
    </row>
    <row r="273">
      <c r="D273" s="90"/>
      <c r="E273" s="198"/>
    </row>
    <row r="274">
      <c r="D274" s="90"/>
      <c r="E274" s="198"/>
    </row>
    <row r="275">
      <c r="D275" s="90"/>
      <c r="E275" s="198"/>
    </row>
    <row r="276">
      <c r="D276" s="90"/>
      <c r="E276" s="198"/>
    </row>
    <row r="277">
      <c r="D277" s="90"/>
      <c r="E277" s="198"/>
    </row>
    <row r="278">
      <c r="D278" s="90"/>
      <c r="E278" s="198"/>
    </row>
    <row r="279">
      <c r="D279" s="90"/>
      <c r="E279" s="198"/>
    </row>
    <row r="280">
      <c r="D280" s="90"/>
      <c r="E280" s="198"/>
    </row>
    <row r="281">
      <c r="D281" s="90"/>
      <c r="E281" s="198"/>
    </row>
    <row r="282">
      <c r="D282" s="90"/>
      <c r="E282" s="198"/>
    </row>
    <row r="283">
      <c r="D283" s="90"/>
      <c r="E283" s="198"/>
    </row>
    <row r="284">
      <c r="D284" s="90"/>
      <c r="E284" s="198"/>
    </row>
    <row r="285">
      <c r="D285" s="90"/>
      <c r="E285" s="198"/>
    </row>
    <row r="286">
      <c r="D286" s="90"/>
      <c r="E286" s="198"/>
    </row>
    <row r="287">
      <c r="D287" s="90"/>
      <c r="E287" s="198"/>
    </row>
    <row r="288">
      <c r="D288" s="90"/>
      <c r="E288" s="198"/>
    </row>
    <row r="289">
      <c r="D289" s="90"/>
      <c r="E289" s="198"/>
    </row>
    <row r="290">
      <c r="D290" s="90"/>
      <c r="E290" s="198"/>
    </row>
    <row r="291">
      <c r="D291" s="90"/>
      <c r="E291" s="198"/>
    </row>
    <row r="292">
      <c r="D292" s="90"/>
      <c r="E292" s="198"/>
    </row>
    <row r="293">
      <c r="D293" s="90"/>
      <c r="E293" s="198"/>
    </row>
    <row r="294">
      <c r="D294" s="90"/>
      <c r="E294" s="198"/>
    </row>
    <row r="295">
      <c r="D295" s="90"/>
      <c r="E295" s="198"/>
    </row>
    <row r="296">
      <c r="D296" s="90"/>
      <c r="E296" s="198"/>
    </row>
    <row r="297">
      <c r="D297" s="90"/>
      <c r="E297" s="198"/>
    </row>
    <row r="298">
      <c r="D298" s="90"/>
      <c r="E298" s="198"/>
    </row>
    <row r="299">
      <c r="D299" s="90"/>
      <c r="E299" s="198"/>
    </row>
    <row r="300">
      <c r="D300" s="90"/>
      <c r="E300" s="198"/>
    </row>
    <row r="301">
      <c r="D301" s="90"/>
      <c r="E301" s="198"/>
    </row>
    <row r="302">
      <c r="D302" s="90"/>
      <c r="E302" s="198"/>
    </row>
    <row r="303">
      <c r="D303" s="90"/>
      <c r="E303" s="198"/>
    </row>
    <row r="304">
      <c r="D304" s="90"/>
      <c r="E304" s="198"/>
    </row>
    <row r="305">
      <c r="D305" s="90"/>
      <c r="E305" s="198"/>
    </row>
    <row r="306">
      <c r="D306" s="90"/>
      <c r="E306" s="198"/>
    </row>
    <row r="307">
      <c r="D307" s="90"/>
      <c r="E307" s="198"/>
    </row>
    <row r="308">
      <c r="D308" s="90"/>
      <c r="E308" s="198"/>
    </row>
    <row r="309">
      <c r="D309" s="90"/>
      <c r="E309" s="198"/>
    </row>
    <row r="310">
      <c r="D310" s="90"/>
      <c r="E310" s="198"/>
    </row>
    <row r="311">
      <c r="D311" s="90"/>
      <c r="E311" s="198"/>
    </row>
    <row r="312">
      <c r="D312" s="90"/>
      <c r="E312" s="198"/>
    </row>
    <row r="313">
      <c r="D313" s="90"/>
      <c r="E313" s="198"/>
    </row>
    <row r="314">
      <c r="D314" s="90"/>
      <c r="E314" s="198"/>
    </row>
    <row r="315">
      <c r="D315" s="90"/>
      <c r="E315" s="198"/>
    </row>
    <row r="316">
      <c r="D316" s="90"/>
      <c r="E316" s="198"/>
    </row>
    <row r="317">
      <c r="D317" s="90"/>
      <c r="E317" s="198"/>
    </row>
    <row r="318">
      <c r="D318" s="90"/>
      <c r="E318" s="198"/>
    </row>
    <row r="319">
      <c r="D319" s="90"/>
      <c r="E319" s="198"/>
    </row>
    <row r="320">
      <c r="D320" s="90"/>
      <c r="E320" s="198"/>
    </row>
    <row r="321">
      <c r="D321" s="90"/>
      <c r="E321" s="198"/>
    </row>
    <row r="322">
      <c r="D322" s="90"/>
      <c r="E322" s="198"/>
    </row>
    <row r="323">
      <c r="D323" s="90"/>
      <c r="E323" s="198"/>
    </row>
    <row r="324">
      <c r="D324" s="90"/>
      <c r="E324" s="198"/>
    </row>
    <row r="325">
      <c r="D325" s="90"/>
      <c r="E325" s="198"/>
    </row>
    <row r="326">
      <c r="D326" s="90"/>
      <c r="E326" s="198"/>
    </row>
    <row r="327">
      <c r="D327" s="90"/>
      <c r="E327" s="198"/>
    </row>
    <row r="328">
      <c r="D328" s="90"/>
      <c r="E328" s="198"/>
    </row>
    <row r="329">
      <c r="D329" s="90"/>
      <c r="E329" s="198"/>
    </row>
    <row r="330">
      <c r="D330" s="90"/>
      <c r="E330" s="198"/>
    </row>
    <row r="331">
      <c r="D331" s="90"/>
      <c r="E331" s="198"/>
    </row>
    <row r="332">
      <c r="D332" s="90"/>
      <c r="E332" s="198"/>
    </row>
    <row r="333">
      <c r="D333" s="90"/>
      <c r="E333" s="198"/>
    </row>
    <row r="334">
      <c r="D334" s="90"/>
      <c r="E334" s="198"/>
    </row>
    <row r="335">
      <c r="D335" s="90"/>
      <c r="E335" s="198"/>
    </row>
    <row r="336">
      <c r="D336" s="90"/>
      <c r="E336" s="198"/>
    </row>
    <row r="337">
      <c r="D337" s="90"/>
      <c r="E337" s="198"/>
    </row>
    <row r="338">
      <c r="D338" s="90"/>
      <c r="E338" s="198"/>
    </row>
    <row r="339">
      <c r="D339" s="90"/>
      <c r="E339" s="198"/>
    </row>
    <row r="340">
      <c r="D340" s="90"/>
      <c r="E340" s="198"/>
    </row>
    <row r="341">
      <c r="D341" s="90"/>
      <c r="E341" s="198"/>
    </row>
    <row r="342">
      <c r="D342" s="90"/>
      <c r="E342" s="198"/>
    </row>
    <row r="343">
      <c r="D343" s="90"/>
      <c r="E343" s="198"/>
    </row>
    <row r="344">
      <c r="D344" s="90"/>
      <c r="E344" s="198"/>
    </row>
    <row r="345">
      <c r="D345" s="90"/>
      <c r="E345" s="198"/>
    </row>
    <row r="346">
      <c r="D346" s="90"/>
      <c r="E346" s="198"/>
    </row>
    <row r="347">
      <c r="D347" s="90"/>
      <c r="E347" s="198"/>
    </row>
    <row r="348">
      <c r="D348" s="90"/>
      <c r="E348" s="198"/>
    </row>
    <row r="349">
      <c r="D349" s="90"/>
      <c r="E349" s="198"/>
    </row>
    <row r="350">
      <c r="D350" s="90"/>
      <c r="E350" s="198"/>
    </row>
    <row r="351">
      <c r="D351" s="90"/>
      <c r="E351" s="198"/>
    </row>
    <row r="352">
      <c r="D352" s="90"/>
      <c r="E352" s="198"/>
    </row>
    <row r="353">
      <c r="D353" s="90"/>
      <c r="E353" s="198"/>
    </row>
    <row r="354">
      <c r="D354" s="90"/>
      <c r="E354" s="198"/>
    </row>
    <row r="355">
      <c r="D355" s="90"/>
      <c r="E355" s="198"/>
    </row>
    <row r="356">
      <c r="D356" s="90"/>
      <c r="E356" s="198"/>
    </row>
    <row r="357">
      <c r="D357" s="90"/>
      <c r="E357" s="198"/>
    </row>
    <row r="358">
      <c r="D358" s="90"/>
      <c r="E358" s="198"/>
    </row>
    <row r="359">
      <c r="D359" s="90"/>
      <c r="E359" s="198"/>
    </row>
    <row r="360">
      <c r="D360" s="90"/>
      <c r="E360" s="198"/>
    </row>
    <row r="361">
      <c r="D361" s="90"/>
      <c r="E361" s="198"/>
    </row>
    <row r="362">
      <c r="D362" s="90"/>
      <c r="E362" s="198"/>
    </row>
    <row r="363">
      <c r="D363" s="90"/>
      <c r="E363" s="198"/>
    </row>
    <row r="364">
      <c r="D364" s="90"/>
      <c r="E364" s="198"/>
    </row>
    <row r="365">
      <c r="D365" s="90"/>
      <c r="E365" s="198"/>
    </row>
    <row r="366">
      <c r="D366" s="90"/>
      <c r="E366" s="198"/>
    </row>
    <row r="367">
      <c r="D367" s="90"/>
      <c r="E367" s="198"/>
    </row>
    <row r="368">
      <c r="D368" s="90"/>
      <c r="E368" s="198"/>
    </row>
    <row r="369">
      <c r="D369" s="90"/>
      <c r="E369" s="198"/>
    </row>
    <row r="370">
      <c r="D370" s="90"/>
      <c r="E370" s="198"/>
    </row>
    <row r="371">
      <c r="D371" s="90"/>
      <c r="E371" s="198"/>
    </row>
    <row r="372">
      <c r="D372" s="90"/>
      <c r="E372" s="198"/>
    </row>
    <row r="373">
      <c r="D373" s="90"/>
      <c r="E373" s="198"/>
    </row>
    <row r="374">
      <c r="D374" s="90"/>
      <c r="E374" s="198"/>
    </row>
    <row r="375">
      <c r="D375" s="90"/>
      <c r="E375" s="198"/>
    </row>
    <row r="376">
      <c r="D376" s="90"/>
      <c r="E376" s="198"/>
    </row>
    <row r="377">
      <c r="D377" s="90"/>
      <c r="E377" s="198"/>
    </row>
    <row r="378">
      <c r="D378" s="90"/>
      <c r="E378" s="198"/>
    </row>
    <row r="379">
      <c r="D379" s="90"/>
      <c r="E379" s="198"/>
    </row>
    <row r="380">
      <c r="D380" s="90"/>
      <c r="E380" s="198"/>
    </row>
    <row r="381">
      <c r="D381" s="90"/>
      <c r="E381" s="198"/>
    </row>
    <row r="382">
      <c r="D382" s="90"/>
      <c r="E382" s="198"/>
    </row>
    <row r="383">
      <c r="D383" s="90"/>
      <c r="E383" s="198"/>
    </row>
    <row r="384">
      <c r="D384" s="90"/>
      <c r="E384" s="198"/>
    </row>
    <row r="385">
      <c r="D385" s="90"/>
      <c r="E385" s="198"/>
    </row>
    <row r="386">
      <c r="D386" s="90"/>
      <c r="E386" s="198"/>
    </row>
    <row r="387">
      <c r="D387" s="90"/>
      <c r="E387" s="198"/>
    </row>
    <row r="388">
      <c r="D388" s="90"/>
      <c r="E388" s="198"/>
    </row>
    <row r="389">
      <c r="D389" s="90"/>
      <c r="E389" s="198"/>
    </row>
    <row r="390">
      <c r="D390" s="90"/>
      <c r="E390" s="198"/>
    </row>
    <row r="391">
      <c r="D391" s="90"/>
      <c r="E391" s="198"/>
    </row>
    <row r="392">
      <c r="D392" s="90"/>
      <c r="E392" s="198"/>
    </row>
    <row r="393">
      <c r="D393" s="90"/>
      <c r="E393" s="198"/>
    </row>
    <row r="394">
      <c r="D394" s="90"/>
      <c r="E394" s="198"/>
    </row>
    <row r="395">
      <c r="D395" s="90"/>
      <c r="E395" s="198"/>
    </row>
    <row r="396">
      <c r="D396" s="90"/>
      <c r="E396" s="198"/>
    </row>
    <row r="397">
      <c r="D397" s="90"/>
      <c r="E397" s="198"/>
    </row>
    <row r="398">
      <c r="D398" s="90"/>
      <c r="E398" s="198"/>
    </row>
    <row r="399">
      <c r="D399" s="90"/>
      <c r="E399" s="198"/>
    </row>
    <row r="400">
      <c r="D400" s="90"/>
      <c r="E400" s="198"/>
    </row>
    <row r="401">
      <c r="D401" s="90"/>
      <c r="E401" s="198"/>
    </row>
    <row r="402">
      <c r="D402" s="90"/>
      <c r="E402" s="198"/>
    </row>
    <row r="403">
      <c r="D403" s="90"/>
      <c r="E403" s="198"/>
    </row>
    <row r="404">
      <c r="D404" s="90"/>
      <c r="E404" s="198"/>
    </row>
    <row r="405">
      <c r="D405" s="90"/>
      <c r="E405" s="198"/>
    </row>
    <row r="406">
      <c r="D406" s="90"/>
      <c r="E406" s="198"/>
    </row>
    <row r="407">
      <c r="D407" s="90"/>
      <c r="E407" s="198"/>
    </row>
    <row r="408">
      <c r="D408" s="90"/>
      <c r="E408" s="198"/>
    </row>
    <row r="409">
      <c r="D409" s="90"/>
      <c r="E409" s="198"/>
    </row>
    <row r="410">
      <c r="D410" s="90"/>
      <c r="E410" s="198"/>
    </row>
    <row r="411">
      <c r="D411" s="90"/>
      <c r="E411" s="198"/>
    </row>
    <row r="412">
      <c r="D412" s="90"/>
      <c r="E412" s="198"/>
    </row>
    <row r="413">
      <c r="D413" s="90"/>
      <c r="E413" s="198"/>
    </row>
    <row r="414">
      <c r="D414" s="90"/>
      <c r="E414" s="198"/>
    </row>
    <row r="415">
      <c r="D415" s="90"/>
      <c r="E415" s="198"/>
    </row>
    <row r="416">
      <c r="D416" s="90"/>
      <c r="E416" s="198"/>
    </row>
    <row r="417">
      <c r="D417" s="90"/>
      <c r="E417" s="198"/>
    </row>
    <row r="418">
      <c r="D418" s="90"/>
      <c r="E418" s="198"/>
    </row>
    <row r="419">
      <c r="D419" s="90"/>
      <c r="E419" s="198"/>
    </row>
    <row r="420">
      <c r="D420" s="90"/>
      <c r="E420" s="198"/>
    </row>
    <row r="421">
      <c r="D421" s="90"/>
      <c r="E421" s="198"/>
    </row>
    <row r="422">
      <c r="D422" s="90"/>
      <c r="E422" s="198"/>
    </row>
    <row r="423">
      <c r="D423" s="90"/>
      <c r="E423" s="198"/>
    </row>
    <row r="424">
      <c r="D424" s="90"/>
      <c r="E424" s="198"/>
    </row>
    <row r="425">
      <c r="D425" s="90"/>
      <c r="E425" s="198"/>
    </row>
    <row r="426">
      <c r="D426" s="90"/>
      <c r="E426" s="198"/>
    </row>
    <row r="427">
      <c r="D427" s="90"/>
      <c r="E427" s="198"/>
    </row>
    <row r="428">
      <c r="D428" s="90"/>
      <c r="E428" s="198"/>
    </row>
    <row r="429">
      <c r="D429" s="90"/>
      <c r="E429" s="198"/>
    </row>
    <row r="430">
      <c r="D430" s="90"/>
      <c r="E430" s="198"/>
    </row>
    <row r="431">
      <c r="D431" s="90"/>
      <c r="E431" s="198"/>
    </row>
    <row r="432">
      <c r="D432" s="90"/>
      <c r="E432" s="198"/>
    </row>
    <row r="433">
      <c r="D433" s="90"/>
      <c r="E433" s="198"/>
    </row>
    <row r="434">
      <c r="D434" s="90"/>
      <c r="E434" s="198"/>
    </row>
    <row r="435">
      <c r="D435" s="90"/>
      <c r="E435" s="198"/>
    </row>
    <row r="436">
      <c r="D436" s="90"/>
      <c r="E436" s="198"/>
    </row>
    <row r="437">
      <c r="D437" s="90"/>
      <c r="E437" s="198"/>
    </row>
    <row r="438">
      <c r="D438" s="90"/>
      <c r="E438" s="198"/>
    </row>
    <row r="439">
      <c r="D439" s="90"/>
      <c r="E439" s="198"/>
    </row>
    <row r="440">
      <c r="D440" s="90"/>
      <c r="E440" s="198"/>
    </row>
    <row r="441">
      <c r="D441" s="90"/>
      <c r="E441" s="198"/>
    </row>
    <row r="442">
      <c r="D442" s="90"/>
      <c r="E442" s="198"/>
    </row>
    <row r="443">
      <c r="D443" s="90"/>
      <c r="E443" s="198"/>
    </row>
    <row r="444">
      <c r="D444" s="90"/>
      <c r="E444" s="198"/>
    </row>
    <row r="445">
      <c r="D445" s="90"/>
      <c r="E445" s="198"/>
    </row>
    <row r="446">
      <c r="D446" s="90"/>
      <c r="E446" s="198"/>
    </row>
    <row r="447">
      <c r="D447" s="90"/>
      <c r="E447" s="198"/>
    </row>
    <row r="448">
      <c r="D448" s="90"/>
      <c r="E448" s="198"/>
    </row>
    <row r="449">
      <c r="D449" s="90"/>
      <c r="E449" s="198"/>
    </row>
    <row r="450">
      <c r="D450" s="90"/>
      <c r="E450" s="198"/>
    </row>
    <row r="451">
      <c r="D451" s="90"/>
      <c r="E451" s="198"/>
    </row>
    <row r="452">
      <c r="D452" s="90"/>
      <c r="E452" s="198"/>
    </row>
    <row r="453">
      <c r="D453" s="90"/>
      <c r="E453" s="198"/>
    </row>
    <row r="454">
      <c r="D454" s="90"/>
      <c r="E454" s="198"/>
    </row>
    <row r="455">
      <c r="D455" s="90"/>
      <c r="E455" s="198"/>
    </row>
    <row r="456">
      <c r="D456" s="90"/>
      <c r="E456" s="198"/>
    </row>
    <row r="457">
      <c r="D457" s="90"/>
      <c r="E457" s="198"/>
    </row>
    <row r="458">
      <c r="D458" s="90"/>
      <c r="E458" s="198"/>
    </row>
    <row r="459">
      <c r="D459" s="90"/>
      <c r="E459" s="198"/>
    </row>
    <row r="460">
      <c r="D460" s="90"/>
      <c r="E460" s="198"/>
    </row>
    <row r="461">
      <c r="D461" s="90"/>
      <c r="E461" s="198"/>
    </row>
    <row r="462">
      <c r="D462" s="90"/>
      <c r="E462" s="198"/>
    </row>
    <row r="463">
      <c r="D463" s="90"/>
      <c r="E463" s="198"/>
    </row>
    <row r="464">
      <c r="D464" s="90"/>
      <c r="E464" s="198"/>
    </row>
    <row r="465">
      <c r="D465" s="90"/>
      <c r="E465" s="198"/>
    </row>
    <row r="466">
      <c r="D466" s="90"/>
      <c r="E466" s="198"/>
    </row>
    <row r="467">
      <c r="D467" s="90"/>
      <c r="E467" s="198"/>
    </row>
    <row r="468">
      <c r="D468" s="90"/>
      <c r="E468" s="198"/>
    </row>
    <row r="469">
      <c r="D469" s="90"/>
      <c r="E469" s="198"/>
    </row>
    <row r="470">
      <c r="D470" s="90"/>
      <c r="E470" s="198"/>
    </row>
    <row r="471">
      <c r="D471" s="90"/>
      <c r="E471" s="198"/>
    </row>
    <row r="472">
      <c r="D472" s="90"/>
      <c r="E472" s="198"/>
    </row>
    <row r="473">
      <c r="D473" s="90"/>
      <c r="E473" s="198"/>
    </row>
    <row r="474">
      <c r="D474" s="90"/>
      <c r="E474" s="198"/>
    </row>
    <row r="475">
      <c r="D475" s="90"/>
      <c r="E475" s="198"/>
    </row>
    <row r="476">
      <c r="D476" s="90"/>
      <c r="E476" s="198"/>
    </row>
    <row r="477">
      <c r="D477" s="90"/>
      <c r="E477" s="198"/>
    </row>
    <row r="478">
      <c r="D478" s="90"/>
      <c r="E478" s="198"/>
    </row>
    <row r="479">
      <c r="D479" s="90"/>
      <c r="E479" s="198"/>
    </row>
    <row r="480">
      <c r="D480" s="90"/>
      <c r="E480" s="198"/>
    </row>
    <row r="481">
      <c r="D481" s="90"/>
      <c r="E481" s="198"/>
    </row>
    <row r="482">
      <c r="D482" s="90"/>
      <c r="E482" s="198"/>
    </row>
    <row r="483">
      <c r="D483" s="90"/>
      <c r="E483" s="198"/>
    </row>
    <row r="484">
      <c r="D484" s="90"/>
      <c r="E484" s="198"/>
    </row>
    <row r="485">
      <c r="D485" s="90"/>
      <c r="E485" s="198"/>
    </row>
    <row r="486">
      <c r="D486" s="90"/>
      <c r="E486" s="198"/>
    </row>
    <row r="487">
      <c r="D487" s="90"/>
      <c r="E487" s="198"/>
    </row>
    <row r="488">
      <c r="D488" s="90"/>
      <c r="E488" s="198"/>
    </row>
    <row r="489">
      <c r="D489" s="90"/>
      <c r="E489" s="198"/>
    </row>
    <row r="490">
      <c r="D490" s="90"/>
      <c r="E490" s="198"/>
    </row>
    <row r="491">
      <c r="D491" s="90"/>
      <c r="E491" s="198"/>
    </row>
    <row r="492">
      <c r="D492" s="90"/>
      <c r="E492" s="198"/>
    </row>
    <row r="493">
      <c r="D493" s="90"/>
      <c r="E493" s="198"/>
    </row>
    <row r="494">
      <c r="D494" s="90"/>
      <c r="E494" s="198"/>
    </row>
    <row r="495">
      <c r="D495" s="90"/>
      <c r="E495" s="198"/>
    </row>
    <row r="496">
      <c r="D496" s="90"/>
      <c r="E496" s="198"/>
    </row>
    <row r="497">
      <c r="D497" s="90"/>
      <c r="E497" s="198"/>
    </row>
    <row r="498">
      <c r="D498" s="90"/>
      <c r="E498" s="198"/>
    </row>
    <row r="499">
      <c r="D499" s="90"/>
      <c r="E499" s="198"/>
    </row>
    <row r="500">
      <c r="D500" s="90"/>
      <c r="E500" s="198"/>
    </row>
    <row r="501">
      <c r="D501" s="90"/>
      <c r="E501" s="198"/>
    </row>
    <row r="502">
      <c r="D502" s="90"/>
      <c r="E502" s="198"/>
    </row>
    <row r="503">
      <c r="D503" s="90"/>
      <c r="E503" s="198"/>
    </row>
    <row r="504">
      <c r="D504" s="90"/>
      <c r="E504" s="198"/>
    </row>
    <row r="505">
      <c r="D505" s="90"/>
      <c r="E505" s="198"/>
    </row>
    <row r="506">
      <c r="D506" s="90"/>
      <c r="E506" s="198"/>
    </row>
    <row r="507">
      <c r="D507" s="90"/>
      <c r="E507" s="198"/>
    </row>
    <row r="508">
      <c r="D508" s="90"/>
      <c r="E508" s="198"/>
    </row>
    <row r="509">
      <c r="D509" s="90"/>
      <c r="E509" s="198"/>
    </row>
    <row r="510">
      <c r="D510" s="90"/>
      <c r="E510" s="198"/>
    </row>
    <row r="511">
      <c r="D511" s="90"/>
      <c r="E511" s="198"/>
    </row>
    <row r="512">
      <c r="D512" s="90"/>
      <c r="E512" s="198"/>
    </row>
    <row r="513">
      <c r="D513" s="90"/>
      <c r="E513" s="198"/>
    </row>
    <row r="514">
      <c r="D514" s="90"/>
      <c r="E514" s="198"/>
    </row>
    <row r="515">
      <c r="D515" s="90"/>
      <c r="E515" s="198"/>
    </row>
    <row r="516">
      <c r="D516" s="90"/>
      <c r="E516" s="198"/>
    </row>
    <row r="517">
      <c r="D517" s="90"/>
      <c r="E517" s="198"/>
    </row>
    <row r="518">
      <c r="D518" s="90"/>
      <c r="E518" s="198"/>
    </row>
    <row r="519">
      <c r="D519" s="90"/>
      <c r="E519" s="198"/>
    </row>
    <row r="520">
      <c r="D520" s="90"/>
      <c r="E520" s="198"/>
    </row>
    <row r="521">
      <c r="D521" s="90"/>
      <c r="E521" s="198"/>
    </row>
    <row r="522">
      <c r="D522" s="90"/>
      <c r="E522" s="198"/>
    </row>
    <row r="523">
      <c r="D523" s="90"/>
      <c r="E523" s="198"/>
    </row>
    <row r="524">
      <c r="D524" s="90"/>
      <c r="E524" s="198"/>
    </row>
    <row r="525">
      <c r="D525" s="90"/>
      <c r="E525" s="198"/>
    </row>
    <row r="526">
      <c r="D526" s="90"/>
      <c r="E526" s="198"/>
    </row>
    <row r="527">
      <c r="D527" s="90"/>
      <c r="E527" s="198"/>
    </row>
    <row r="528">
      <c r="D528" s="90"/>
      <c r="E528" s="198"/>
    </row>
    <row r="529">
      <c r="D529" s="90"/>
      <c r="E529" s="198"/>
    </row>
    <row r="530">
      <c r="D530" s="90"/>
      <c r="E530" s="198"/>
    </row>
    <row r="531">
      <c r="D531" s="90"/>
      <c r="E531" s="198"/>
    </row>
    <row r="532">
      <c r="D532" s="90"/>
      <c r="E532" s="198"/>
    </row>
    <row r="533">
      <c r="D533" s="90"/>
      <c r="E533" s="198"/>
    </row>
    <row r="534">
      <c r="D534" s="90"/>
      <c r="E534" s="198"/>
    </row>
    <row r="535">
      <c r="D535" s="90"/>
      <c r="E535" s="198"/>
    </row>
    <row r="536">
      <c r="D536" s="90"/>
      <c r="E536" s="198"/>
    </row>
    <row r="537">
      <c r="D537" s="90"/>
      <c r="E537" s="198"/>
    </row>
    <row r="538">
      <c r="D538" s="90"/>
      <c r="E538" s="198"/>
    </row>
    <row r="539">
      <c r="D539" s="90"/>
      <c r="E539" s="198"/>
    </row>
    <row r="540">
      <c r="D540" s="90"/>
      <c r="E540" s="198"/>
    </row>
    <row r="541">
      <c r="D541" s="90"/>
      <c r="E541" s="198"/>
    </row>
    <row r="542">
      <c r="D542" s="90"/>
      <c r="E542" s="198"/>
    </row>
    <row r="543">
      <c r="D543" s="90"/>
      <c r="E543" s="198"/>
    </row>
    <row r="544">
      <c r="D544" s="90"/>
      <c r="E544" s="198"/>
    </row>
    <row r="545">
      <c r="D545" s="90"/>
      <c r="E545" s="198"/>
    </row>
    <row r="546">
      <c r="D546" s="90"/>
      <c r="E546" s="198"/>
    </row>
    <row r="547">
      <c r="D547" s="90"/>
      <c r="E547" s="198"/>
    </row>
    <row r="548">
      <c r="D548" s="90"/>
      <c r="E548" s="198"/>
    </row>
    <row r="549">
      <c r="D549" s="90"/>
      <c r="E549" s="198"/>
    </row>
    <row r="550">
      <c r="D550" s="90"/>
      <c r="E550" s="198"/>
    </row>
    <row r="551">
      <c r="D551" s="90"/>
      <c r="E551" s="198"/>
    </row>
    <row r="552">
      <c r="D552" s="90"/>
      <c r="E552" s="198"/>
    </row>
    <row r="553">
      <c r="D553" s="90"/>
      <c r="E553" s="198"/>
    </row>
    <row r="554">
      <c r="D554" s="90"/>
      <c r="E554" s="198"/>
    </row>
    <row r="555">
      <c r="D555" s="90"/>
      <c r="E555" s="198"/>
    </row>
    <row r="556">
      <c r="D556" s="90"/>
      <c r="E556" s="198"/>
    </row>
    <row r="557">
      <c r="D557" s="90"/>
      <c r="E557" s="198"/>
    </row>
    <row r="558">
      <c r="D558" s="90"/>
      <c r="E558" s="198"/>
    </row>
    <row r="559">
      <c r="D559" s="90"/>
      <c r="E559" s="198"/>
    </row>
    <row r="560">
      <c r="D560" s="90"/>
      <c r="E560" s="198"/>
    </row>
    <row r="561">
      <c r="D561" s="90"/>
      <c r="E561" s="198"/>
    </row>
    <row r="562">
      <c r="D562" s="90"/>
      <c r="E562" s="198"/>
    </row>
    <row r="563">
      <c r="D563" s="90"/>
      <c r="E563" s="198"/>
    </row>
    <row r="564">
      <c r="D564" s="90"/>
      <c r="E564" s="198"/>
    </row>
    <row r="565">
      <c r="D565" s="90"/>
      <c r="E565" s="198"/>
    </row>
    <row r="566">
      <c r="D566" s="90"/>
      <c r="E566" s="198"/>
    </row>
    <row r="567">
      <c r="D567" s="90"/>
      <c r="E567" s="198"/>
    </row>
    <row r="568">
      <c r="D568" s="90"/>
      <c r="E568" s="198"/>
    </row>
    <row r="569">
      <c r="D569" s="90"/>
      <c r="E569" s="198"/>
    </row>
    <row r="570">
      <c r="D570" s="90"/>
      <c r="E570" s="198"/>
    </row>
    <row r="571">
      <c r="D571" s="90"/>
      <c r="E571" s="198"/>
    </row>
    <row r="572">
      <c r="D572" s="90"/>
      <c r="E572" s="198"/>
    </row>
    <row r="573">
      <c r="D573" s="90"/>
      <c r="E573" s="198"/>
    </row>
    <row r="574">
      <c r="D574" s="90"/>
      <c r="E574" s="198"/>
    </row>
    <row r="575">
      <c r="D575" s="90"/>
      <c r="E575" s="198"/>
    </row>
    <row r="576">
      <c r="D576" s="90"/>
      <c r="E576" s="198"/>
    </row>
    <row r="577">
      <c r="D577" s="90"/>
      <c r="E577" s="198"/>
    </row>
    <row r="578">
      <c r="D578" s="90"/>
      <c r="E578" s="198"/>
    </row>
    <row r="579">
      <c r="D579" s="90"/>
      <c r="E579" s="198"/>
    </row>
    <row r="580">
      <c r="D580" s="90"/>
      <c r="E580" s="198"/>
    </row>
    <row r="581">
      <c r="D581" s="90"/>
      <c r="E581" s="198"/>
    </row>
    <row r="582">
      <c r="D582" s="90"/>
      <c r="E582" s="198"/>
    </row>
    <row r="583">
      <c r="D583" s="90"/>
      <c r="E583" s="198"/>
    </row>
    <row r="584">
      <c r="D584" s="90"/>
      <c r="E584" s="198"/>
    </row>
    <row r="585">
      <c r="D585" s="90"/>
      <c r="E585" s="198"/>
    </row>
    <row r="586">
      <c r="D586" s="90"/>
      <c r="E586" s="198"/>
    </row>
    <row r="587">
      <c r="D587" s="90"/>
      <c r="E587" s="198"/>
    </row>
    <row r="588">
      <c r="D588" s="90"/>
      <c r="E588" s="198"/>
    </row>
    <row r="589">
      <c r="D589" s="90"/>
      <c r="E589" s="198"/>
    </row>
    <row r="590">
      <c r="D590" s="90"/>
      <c r="E590" s="198"/>
    </row>
    <row r="591">
      <c r="D591" s="90"/>
      <c r="E591" s="198"/>
    </row>
    <row r="592">
      <c r="D592" s="90"/>
      <c r="E592" s="198"/>
    </row>
    <row r="593">
      <c r="D593" s="90"/>
      <c r="E593" s="198"/>
    </row>
    <row r="594">
      <c r="D594" s="90"/>
      <c r="E594" s="198"/>
    </row>
    <row r="595">
      <c r="D595" s="90"/>
      <c r="E595" s="198"/>
    </row>
    <row r="596">
      <c r="D596" s="90"/>
      <c r="E596" s="198"/>
    </row>
    <row r="597">
      <c r="D597" s="90"/>
      <c r="E597" s="198"/>
    </row>
    <row r="598">
      <c r="D598" s="90"/>
      <c r="E598" s="198"/>
    </row>
    <row r="599">
      <c r="D599" s="90"/>
      <c r="E599" s="198"/>
    </row>
    <row r="600">
      <c r="D600" s="90"/>
      <c r="E600" s="198"/>
    </row>
    <row r="601">
      <c r="D601" s="90"/>
      <c r="E601" s="198"/>
    </row>
    <row r="602">
      <c r="D602" s="90"/>
      <c r="E602" s="198"/>
    </row>
    <row r="603">
      <c r="D603" s="90"/>
      <c r="E603" s="198"/>
    </row>
    <row r="604">
      <c r="D604" s="90"/>
      <c r="E604" s="198"/>
    </row>
    <row r="605">
      <c r="D605" s="90"/>
      <c r="E605" s="198"/>
    </row>
    <row r="606">
      <c r="D606" s="90"/>
      <c r="E606" s="198"/>
    </row>
    <row r="607">
      <c r="D607" s="90"/>
      <c r="E607" s="198"/>
    </row>
    <row r="608">
      <c r="D608" s="90"/>
      <c r="E608" s="198"/>
    </row>
    <row r="609">
      <c r="D609" s="90"/>
      <c r="E609" s="198"/>
    </row>
    <row r="610">
      <c r="D610" s="90"/>
      <c r="E610" s="198"/>
    </row>
    <row r="611">
      <c r="D611" s="90"/>
      <c r="E611" s="198"/>
    </row>
    <row r="612">
      <c r="D612" s="90"/>
      <c r="E612" s="198"/>
    </row>
    <row r="613">
      <c r="D613" s="90"/>
      <c r="E613" s="198"/>
    </row>
    <row r="614">
      <c r="D614" s="90"/>
      <c r="E614" s="198"/>
    </row>
    <row r="615">
      <c r="D615" s="90"/>
      <c r="E615" s="198"/>
    </row>
    <row r="616">
      <c r="D616" s="90"/>
      <c r="E616" s="198"/>
    </row>
    <row r="617">
      <c r="D617" s="90"/>
      <c r="E617" s="198"/>
    </row>
    <row r="618">
      <c r="D618" s="90"/>
      <c r="E618" s="198"/>
    </row>
    <row r="619">
      <c r="D619" s="90"/>
      <c r="E619" s="198"/>
    </row>
    <row r="620">
      <c r="D620" s="90"/>
      <c r="E620" s="198"/>
    </row>
    <row r="621">
      <c r="D621" s="90"/>
      <c r="E621" s="198"/>
    </row>
    <row r="622">
      <c r="D622" s="90"/>
      <c r="E622" s="198"/>
    </row>
    <row r="623">
      <c r="D623" s="90"/>
      <c r="E623" s="198"/>
    </row>
    <row r="624">
      <c r="D624" s="90"/>
      <c r="E624" s="198"/>
    </row>
    <row r="625">
      <c r="D625" s="90"/>
      <c r="E625" s="198"/>
    </row>
    <row r="626">
      <c r="D626" s="90"/>
      <c r="E626" s="198"/>
    </row>
    <row r="627">
      <c r="D627" s="90"/>
      <c r="E627" s="198"/>
    </row>
    <row r="628">
      <c r="D628" s="90"/>
      <c r="E628" s="198"/>
    </row>
    <row r="629">
      <c r="D629" s="90"/>
      <c r="E629" s="198"/>
    </row>
    <row r="630">
      <c r="D630" s="90"/>
      <c r="E630" s="198"/>
    </row>
    <row r="631">
      <c r="D631" s="90"/>
      <c r="E631" s="198"/>
    </row>
    <row r="632">
      <c r="D632" s="90"/>
      <c r="E632" s="198"/>
    </row>
    <row r="633">
      <c r="D633" s="90"/>
      <c r="E633" s="198"/>
    </row>
    <row r="634">
      <c r="D634" s="90"/>
      <c r="E634" s="198"/>
    </row>
    <row r="635">
      <c r="D635" s="90"/>
      <c r="E635" s="198"/>
    </row>
    <row r="636">
      <c r="D636" s="90"/>
      <c r="E636" s="198"/>
    </row>
    <row r="637">
      <c r="D637" s="90"/>
      <c r="E637" s="198"/>
    </row>
    <row r="638">
      <c r="D638" s="90"/>
      <c r="E638" s="198"/>
    </row>
    <row r="639">
      <c r="D639" s="90"/>
      <c r="E639" s="198"/>
    </row>
    <row r="640">
      <c r="D640" s="90"/>
      <c r="E640" s="198"/>
    </row>
    <row r="641">
      <c r="D641" s="90"/>
      <c r="E641" s="198"/>
    </row>
    <row r="642">
      <c r="D642" s="90"/>
      <c r="E642" s="198"/>
    </row>
    <row r="643">
      <c r="D643" s="90"/>
      <c r="E643" s="198"/>
    </row>
    <row r="644">
      <c r="D644" s="90"/>
      <c r="E644" s="198"/>
    </row>
    <row r="645">
      <c r="D645" s="90"/>
      <c r="E645" s="198"/>
    </row>
    <row r="646">
      <c r="D646" s="90"/>
      <c r="E646" s="198"/>
    </row>
    <row r="647">
      <c r="D647" s="90"/>
      <c r="E647" s="198"/>
    </row>
    <row r="648">
      <c r="D648" s="90"/>
      <c r="E648" s="198"/>
    </row>
    <row r="649">
      <c r="D649" s="90"/>
      <c r="E649" s="198"/>
    </row>
    <row r="650">
      <c r="D650" s="90"/>
      <c r="E650" s="198"/>
    </row>
    <row r="651">
      <c r="D651" s="90"/>
      <c r="E651" s="198"/>
    </row>
    <row r="652">
      <c r="D652" s="90"/>
      <c r="E652" s="198"/>
    </row>
    <row r="653">
      <c r="D653" s="90"/>
      <c r="E653" s="198"/>
    </row>
    <row r="654">
      <c r="D654" s="90"/>
      <c r="E654" s="198"/>
    </row>
    <row r="655">
      <c r="D655" s="90"/>
      <c r="E655" s="198"/>
    </row>
    <row r="656">
      <c r="D656" s="90"/>
      <c r="E656" s="198"/>
    </row>
    <row r="657">
      <c r="D657" s="90"/>
      <c r="E657" s="198"/>
    </row>
    <row r="658">
      <c r="D658" s="90"/>
      <c r="E658" s="198"/>
    </row>
    <row r="659">
      <c r="D659" s="90"/>
      <c r="E659" s="198"/>
    </row>
    <row r="660">
      <c r="D660" s="90"/>
      <c r="E660" s="198"/>
    </row>
    <row r="661">
      <c r="D661" s="90"/>
      <c r="E661" s="198"/>
    </row>
    <row r="662">
      <c r="D662" s="90"/>
      <c r="E662" s="198"/>
    </row>
    <row r="663">
      <c r="D663" s="90"/>
      <c r="E663" s="198"/>
    </row>
    <row r="664">
      <c r="D664" s="90"/>
      <c r="E664" s="198"/>
    </row>
    <row r="665">
      <c r="D665" s="90"/>
      <c r="E665" s="198"/>
    </row>
    <row r="666">
      <c r="D666" s="90"/>
      <c r="E666" s="198"/>
    </row>
    <row r="667">
      <c r="D667" s="90"/>
      <c r="E667" s="198"/>
    </row>
    <row r="668">
      <c r="D668" s="90"/>
      <c r="E668" s="198"/>
    </row>
    <row r="669">
      <c r="D669" s="90"/>
      <c r="E669" s="198"/>
    </row>
    <row r="670">
      <c r="D670" s="90"/>
      <c r="E670" s="198"/>
    </row>
    <row r="671">
      <c r="D671" s="90"/>
      <c r="E671" s="198"/>
    </row>
    <row r="672">
      <c r="D672" s="90"/>
      <c r="E672" s="198"/>
    </row>
    <row r="673">
      <c r="D673" s="90"/>
      <c r="E673" s="198"/>
    </row>
    <row r="674">
      <c r="D674" s="90"/>
      <c r="E674" s="198"/>
    </row>
    <row r="675">
      <c r="D675" s="90"/>
      <c r="E675" s="198"/>
    </row>
    <row r="676">
      <c r="D676" s="90"/>
      <c r="E676" s="198"/>
    </row>
    <row r="677">
      <c r="D677" s="90"/>
      <c r="E677" s="198"/>
    </row>
    <row r="678">
      <c r="D678" s="90"/>
      <c r="E678" s="198"/>
    </row>
    <row r="679">
      <c r="D679" s="90"/>
      <c r="E679" s="198"/>
    </row>
    <row r="680">
      <c r="D680" s="90"/>
      <c r="E680" s="198"/>
    </row>
    <row r="681">
      <c r="D681" s="90"/>
      <c r="E681" s="198"/>
    </row>
    <row r="682">
      <c r="D682" s="90"/>
      <c r="E682" s="198"/>
    </row>
    <row r="683">
      <c r="D683" s="90"/>
      <c r="E683" s="198"/>
    </row>
    <row r="684">
      <c r="D684" s="90"/>
      <c r="E684" s="198"/>
    </row>
    <row r="685">
      <c r="D685" s="90"/>
      <c r="E685" s="198"/>
    </row>
    <row r="686">
      <c r="D686" s="90"/>
      <c r="E686" s="198"/>
    </row>
    <row r="687">
      <c r="D687" s="90"/>
      <c r="E687" s="198"/>
    </row>
    <row r="688">
      <c r="D688" s="90"/>
      <c r="E688" s="198"/>
    </row>
    <row r="689">
      <c r="D689" s="90"/>
      <c r="E689" s="198"/>
    </row>
    <row r="690">
      <c r="D690" s="90"/>
      <c r="E690" s="198"/>
    </row>
    <row r="691">
      <c r="D691" s="90"/>
      <c r="E691" s="198"/>
    </row>
    <row r="692">
      <c r="D692" s="90"/>
      <c r="E692" s="198"/>
    </row>
    <row r="693">
      <c r="D693" s="90"/>
      <c r="E693" s="198"/>
    </row>
    <row r="694">
      <c r="D694" s="90"/>
      <c r="E694" s="198"/>
    </row>
    <row r="695">
      <c r="D695" s="90"/>
      <c r="E695" s="198"/>
    </row>
    <row r="696">
      <c r="D696" s="90"/>
      <c r="E696" s="198"/>
    </row>
    <row r="697">
      <c r="D697" s="90"/>
      <c r="E697" s="198"/>
    </row>
    <row r="698">
      <c r="D698" s="90"/>
      <c r="E698" s="198"/>
    </row>
    <row r="699">
      <c r="D699" s="90"/>
      <c r="E699" s="198"/>
    </row>
    <row r="700">
      <c r="D700" s="90"/>
      <c r="E700" s="198"/>
    </row>
    <row r="701">
      <c r="D701" s="90"/>
      <c r="E701" s="198"/>
    </row>
    <row r="702">
      <c r="D702" s="90"/>
      <c r="E702" s="198"/>
    </row>
    <row r="703">
      <c r="D703" s="90"/>
      <c r="E703" s="198"/>
    </row>
    <row r="704">
      <c r="D704" s="90"/>
      <c r="E704" s="198"/>
    </row>
    <row r="705">
      <c r="D705" s="90"/>
      <c r="E705" s="198"/>
    </row>
    <row r="706">
      <c r="D706" s="90"/>
      <c r="E706" s="198"/>
    </row>
    <row r="707">
      <c r="D707" s="90"/>
      <c r="E707" s="198"/>
    </row>
    <row r="708">
      <c r="D708" s="90"/>
      <c r="E708" s="198"/>
    </row>
    <row r="709">
      <c r="D709" s="90"/>
      <c r="E709" s="198"/>
    </row>
    <row r="710">
      <c r="D710" s="90"/>
      <c r="E710" s="198"/>
    </row>
    <row r="711">
      <c r="D711" s="90"/>
      <c r="E711" s="198"/>
    </row>
    <row r="712">
      <c r="D712" s="90"/>
      <c r="E712" s="198"/>
    </row>
    <row r="713">
      <c r="D713" s="90"/>
      <c r="E713" s="198"/>
    </row>
    <row r="714">
      <c r="D714" s="90"/>
      <c r="E714" s="198"/>
    </row>
    <row r="715">
      <c r="D715" s="90"/>
      <c r="E715" s="198"/>
    </row>
    <row r="716">
      <c r="D716" s="90"/>
      <c r="E716" s="198"/>
    </row>
    <row r="717">
      <c r="D717" s="90"/>
      <c r="E717" s="198"/>
    </row>
    <row r="718">
      <c r="D718" s="90"/>
      <c r="E718" s="198"/>
    </row>
    <row r="719">
      <c r="D719" s="90"/>
      <c r="E719" s="198"/>
    </row>
    <row r="720">
      <c r="D720" s="90"/>
      <c r="E720" s="198"/>
    </row>
    <row r="721">
      <c r="D721" s="90"/>
      <c r="E721" s="198"/>
    </row>
    <row r="722">
      <c r="D722" s="90"/>
      <c r="E722" s="198"/>
    </row>
    <row r="723">
      <c r="D723" s="90"/>
      <c r="E723" s="198"/>
    </row>
    <row r="724">
      <c r="D724" s="90"/>
      <c r="E724" s="198"/>
    </row>
    <row r="725">
      <c r="D725" s="90"/>
      <c r="E725" s="198"/>
    </row>
    <row r="726">
      <c r="D726" s="90"/>
      <c r="E726" s="198"/>
    </row>
    <row r="727">
      <c r="D727" s="90"/>
      <c r="E727" s="198"/>
    </row>
    <row r="728">
      <c r="D728" s="90"/>
      <c r="E728" s="198"/>
    </row>
    <row r="729">
      <c r="D729" s="90"/>
      <c r="E729" s="198"/>
    </row>
    <row r="730">
      <c r="D730" s="90"/>
      <c r="E730" s="198"/>
    </row>
    <row r="731">
      <c r="D731" s="90"/>
      <c r="E731" s="198"/>
    </row>
    <row r="732">
      <c r="D732" s="90"/>
      <c r="E732" s="198"/>
    </row>
    <row r="733">
      <c r="D733" s="90"/>
      <c r="E733" s="198"/>
    </row>
    <row r="734">
      <c r="D734" s="90"/>
      <c r="E734" s="198"/>
    </row>
    <row r="735">
      <c r="D735" s="90"/>
      <c r="E735" s="198"/>
    </row>
    <row r="736">
      <c r="D736" s="90"/>
      <c r="E736" s="198"/>
    </row>
    <row r="737">
      <c r="D737" s="90"/>
      <c r="E737" s="198"/>
    </row>
    <row r="738">
      <c r="D738" s="90"/>
      <c r="E738" s="198"/>
    </row>
    <row r="739">
      <c r="D739" s="90"/>
      <c r="E739" s="198"/>
    </row>
    <row r="740">
      <c r="D740" s="90"/>
      <c r="E740" s="198"/>
    </row>
    <row r="741">
      <c r="D741" s="90"/>
      <c r="E741" s="198"/>
    </row>
    <row r="742">
      <c r="D742" s="90"/>
      <c r="E742" s="198"/>
    </row>
    <row r="743">
      <c r="D743" s="90"/>
      <c r="E743" s="198"/>
    </row>
    <row r="744">
      <c r="D744" s="90"/>
      <c r="E744" s="198"/>
    </row>
    <row r="745">
      <c r="D745" s="90"/>
      <c r="E745" s="198"/>
    </row>
    <row r="746">
      <c r="D746" s="90"/>
      <c r="E746" s="198"/>
    </row>
    <row r="747">
      <c r="D747" s="90"/>
      <c r="E747" s="198"/>
    </row>
    <row r="748">
      <c r="D748" s="90"/>
      <c r="E748" s="198"/>
    </row>
    <row r="749">
      <c r="D749" s="90"/>
      <c r="E749" s="198"/>
    </row>
    <row r="750">
      <c r="D750" s="90"/>
      <c r="E750" s="198"/>
    </row>
    <row r="751">
      <c r="D751" s="90"/>
      <c r="E751" s="198"/>
    </row>
    <row r="752">
      <c r="D752" s="90"/>
      <c r="E752" s="198"/>
    </row>
    <row r="753">
      <c r="D753" s="90"/>
      <c r="E753" s="198"/>
    </row>
    <row r="754">
      <c r="D754" s="90"/>
      <c r="E754" s="198"/>
    </row>
    <row r="755">
      <c r="D755" s="90"/>
      <c r="E755" s="198"/>
    </row>
    <row r="756">
      <c r="D756" s="90"/>
      <c r="E756" s="198"/>
    </row>
    <row r="757">
      <c r="D757" s="90"/>
      <c r="E757" s="198"/>
    </row>
    <row r="758">
      <c r="D758" s="90"/>
      <c r="E758" s="198"/>
    </row>
    <row r="759">
      <c r="D759" s="90"/>
      <c r="E759" s="198"/>
    </row>
    <row r="760">
      <c r="D760" s="90"/>
      <c r="E760" s="198"/>
    </row>
    <row r="761">
      <c r="D761" s="90"/>
      <c r="E761" s="198"/>
    </row>
    <row r="762">
      <c r="D762" s="90"/>
      <c r="E762" s="198"/>
    </row>
    <row r="763">
      <c r="D763" s="90"/>
      <c r="E763" s="198"/>
    </row>
    <row r="764">
      <c r="D764" s="90"/>
      <c r="E764" s="198"/>
    </row>
    <row r="765">
      <c r="D765" s="90"/>
      <c r="E765" s="198"/>
    </row>
    <row r="766">
      <c r="D766" s="90"/>
      <c r="E766" s="198"/>
    </row>
    <row r="767">
      <c r="D767" s="90"/>
      <c r="E767" s="198"/>
    </row>
    <row r="768">
      <c r="D768" s="90"/>
      <c r="E768" s="198"/>
    </row>
    <row r="769">
      <c r="D769" s="90"/>
      <c r="E769" s="198"/>
    </row>
    <row r="770">
      <c r="D770" s="90"/>
      <c r="E770" s="198"/>
    </row>
    <row r="771">
      <c r="D771" s="90"/>
      <c r="E771" s="198"/>
    </row>
    <row r="772">
      <c r="D772" s="90"/>
      <c r="E772" s="198"/>
    </row>
    <row r="773">
      <c r="D773" s="90"/>
      <c r="E773" s="198"/>
    </row>
    <row r="774">
      <c r="D774" s="90"/>
      <c r="E774" s="198"/>
    </row>
    <row r="775">
      <c r="D775" s="90"/>
      <c r="E775" s="198"/>
    </row>
    <row r="776">
      <c r="D776" s="90"/>
      <c r="E776" s="198"/>
    </row>
    <row r="777">
      <c r="D777" s="90"/>
      <c r="E777" s="198"/>
    </row>
    <row r="778">
      <c r="D778" s="90"/>
      <c r="E778" s="198"/>
    </row>
    <row r="779">
      <c r="D779" s="90"/>
      <c r="E779" s="198"/>
    </row>
    <row r="780">
      <c r="D780" s="90"/>
      <c r="E780" s="198"/>
    </row>
    <row r="781">
      <c r="D781" s="90"/>
      <c r="E781" s="198"/>
    </row>
    <row r="782">
      <c r="D782" s="90"/>
      <c r="E782" s="198"/>
    </row>
    <row r="783">
      <c r="D783" s="90"/>
      <c r="E783" s="198"/>
    </row>
    <row r="784">
      <c r="D784" s="90"/>
      <c r="E784" s="198"/>
    </row>
    <row r="785">
      <c r="D785" s="90"/>
      <c r="E785" s="198"/>
    </row>
    <row r="786">
      <c r="D786" s="90"/>
      <c r="E786" s="198"/>
    </row>
    <row r="787">
      <c r="D787" s="90"/>
      <c r="E787" s="198"/>
    </row>
    <row r="788">
      <c r="D788" s="90"/>
      <c r="E788" s="198"/>
    </row>
    <row r="789">
      <c r="D789" s="90"/>
      <c r="E789" s="198"/>
    </row>
    <row r="790">
      <c r="D790" s="90"/>
      <c r="E790" s="198"/>
    </row>
    <row r="791">
      <c r="D791" s="90"/>
      <c r="E791" s="198"/>
    </row>
    <row r="792">
      <c r="D792" s="90"/>
      <c r="E792" s="198"/>
    </row>
    <row r="793">
      <c r="D793" s="90"/>
      <c r="E793" s="198"/>
    </row>
    <row r="794">
      <c r="D794" s="90"/>
      <c r="E794" s="198"/>
    </row>
    <row r="795">
      <c r="D795" s="90"/>
      <c r="E795" s="198"/>
    </row>
    <row r="796">
      <c r="D796" s="90"/>
      <c r="E796" s="198"/>
    </row>
    <row r="797">
      <c r="D797" s="90"/>
      <c r="E797" s="198"/>
    </row>
    <row r="798">
      <c r="D798" s="90"/>
      <c r="E798" s="198"/>
    </row>
    <row r="799">
      <c r="D799" s="90"/>
      <c r="E799" s="198"/>
    </row>
    <row r="800">
      <c r="D800" s="90"/>
      <c r="E800" s="198"/>
    </row>
    <row r="801">
      <c r="D801" s="90"/>
      <c r="E801" s="198"/>
    </row>
    <row r="802">
      <c r="D802" s="90"/>
      <c r="E802" s="198"/>
    </row>
    <row r="803">
      <c r="D803" s="90"/>
      <c r="E803" s="198"/>
    </row>
    <row r="804">
      <c r="D804" s="90"/>
      <c r="E804" s="198"/>
    </row>
    <row r="805">
      <c r="D805" s="90"/>
      <c r="E805" s="198"/>
    </row>
    <row r="806">
      <c r="D806" s="90"/>
      <c r="E806" s="198"/>
    </row>
    <row r="807">
      <c r="D807" s="90"/>
      <c r="E807" s="198"/>
    </row>
    <row r="808">
      <c r="D808" s="90"/>
      <c r="E808" s="198"/>
    </row>
    <row r="809">
      <c r="D809" s="90"/>
      <c r="E809" s="198"/>
    </row>
    <row r="810">
      <c r="D810" s="90"/>
      <c r="E810" s="198"/>
    </row>
    <row r="811">
      <c r="D811" s="90"/>
      <c r="E811" s="198"/>
    </row>
    <row r="812">
      <c r="D812" s="90"/>
      <c r="E812" s="198"/>
    </row>
    <row r="813">
      <c r="D813" s="90"/>
      <c r="E813" s="198"/>
    </row>
    <row r="814">
      <c r="D814" s="90"/>
      <c r="E814" s="198"/>
    </row>
    <row r="815">
      <c r="D815" s="90"/>
      <c r="E815" s="198"/>
    </row>
    <row r="816">
      <c r="D816" s="90"/>
      <c r="E816" s="198"/>
    </row>
    <row r="817">
      <c r="D817" s="90"/>
      <c r="E817" s="198"/>
    </row>
    <row r="818">
      <c r="D818" s="90"/>
      <c r="E818" s="198"/>
    </row>
    <row r="819">
      <c r="D819" s="90"/>
      <c r="E819" s="198"/>
    </row>
    <row r="820">
      <c r="D820" s="90"/>
      <c r="E820" s="198"/>
    </row>
    <row r="821">
      <c r="D821" s="90"/>
      <c r="E821" s="198"/>
    </row>
    <row r="822">
      <c r="D822" s="90"/>
      <c r="E822" s="198"/>
    </row>
    <row r="823">
      <c r="D823" s="90"/>
      <c r="E823" s="198"/>
    </row>
    <row r="824">
      <c r="D824" s="90"/>
      <c r="E824" s="198"/>
    </row>
    <row r="825">
      <c r="D825" s="90"/>
      <c r="E825" s="198"/>
    </row>
    <row r="826">
      <c r="D826" s="90"/>
      <c r="E826" s="198"/>
    </row>
    <row r="827">
      <c r="D827" s="90"/>
      <c r="E827" s="198"/>
    </row>
    <row r="828">
      <c r="D828" s="90"/>
      <c r="E828" s="198"/>
    </row>
    <row r="829">
      <c r="D829" s="90"/>
      <c r="E829" s="198"/>
    </row>
    <row r="830">
      <c r="D830" s="90"/>
      <c r="E830" s="198"/>
    </row>
    <row r="831">
      <c r="D831" s="90"/>
      <c r="E831" s="198"/>
    </row>
    <row r="832">
      <c r="D832" s="90"/>
      <c r="E832" s="198"/>
    </row>
    <row r="833">
      <c r="D833" s="90"/>
      <c r="E833" s="198"/>
    </row>
    <row r="834">
      <c r="D834" s="90"/>
      <c r="E834" s="198"/>
    </row>
    <row r="835">
      <c r="D835" s="90"/>
      <c r="E835" s="198"/>
    </row>
    <row r="836">
      <c r="D836" s="90"/>
      <c r="E836" s="198"/>
    </row>
    <row r="837">
      <c r="D837" s="90"/>
      <c r="E837" s="198"/>
    </row>
    <row r="838">
      <c r="D838" s="90"/>
      <c r="E838" s="198"/>
    </row>
    <row r="839">
      <c r="D839" s="90"/>
      <c r="E839" s="198"/>
    </row>
    <row r="840">
      <c r="D840" s="90"/>
      <c r="E840" s="198"/>
    </row>
    <row r="841">
      <c r="D841" s="90"/>
      <c r="E841" s="198"/>
    </row>
    <row r="842">
      <c r="D842" s="90"/>
      <c r="E842" s="198"/>
    </row>
    <row r="843">
      <c r="D843" s="90"/>
      <c r="E843" s="198"/>
    </row>
    <row r="844">
      <c r="D844" s="90"/>
      <c r="E844" s="198"/>
    </row>
    <row r="845">
      <c r="D845" s="90"/>
      <c r="E845" s="198"/>
    </row>
    <row r="846">
      <c r="D846" s="90"/>
      <c r="E846" s="198"/>
    </row>
    <row r="847">
      <c r="D847" s="90"/>
      <c r="E847" s="198"/>
    </row>
    <row r="848">
      <c r="D848" s="90"/>
      <c r="E848" s="198"/>
    </row>
    <row r="849">
      <c r="D849" s="90"/>
      <c r="E849" s="198"/>
    </row>
    <row r="850">
      <c r="D850" s="90"/>
      <c r="E850" s="198"/>
    </row>
    <row r="851">
      <c r="D851" s="90"/>
      <c r="E851" s="198"/>
    </row>
    <row r="852">
      <c r="D852" s="90"/>
      <c r="E852" s="198"/>
    </row>
    <row r="853">
      <c r="D853" s="90"/>
      <c r="E853" s="198"/>
    </row>
    <row r="854">
      <c r="D854" s="90"/>
      <c r="E854" s="198"/>
    </row>
    <row r="855">
      <c r="D855" s="90"/>
      <c r="E855" s="198"/>
    </row>
    <row r="856">
      <c r="D856" s="90"/>
      <c r="E856" s="198"/>
    </row>
    <row r="857">
      <c r="D857" s="90"/>
      <c r="E857" s="198"/>
    </row>
    <row r="858">
      <c r="D858" s="90"/>
      <c r="E858" s="198"/>
    </row>
    <row r="859">
      <c r="D859" s="90"/>
      <c r="E859" s="198"/>
    </row>
    <row r="860">
      <c r="D860" s="90"/>
      <c r="E860" s="198"/>
    </row>
    <row r="861">
      <c r="D861" s="90"/>
      <c r="E861" s="198"/>
    </row>
    <row r="862">
      <c r="D862" s="90"/>
      <c r="E862" s="198"/>
    </row>
    <row r="863">
      <c r="D863" s="90"/>
      <c r="E863" s="198"/>
    </row>
    <row r="864">
      <c r="D864" s="90"/>
      <c r="E864" s="198"/>
    </row>
    <row r="865">
      <c r="D865" s="90"/>
      <c r="E865" s="198"/>
    </row>
    <row r="866">
      <c r="D866" s="90"/>
      <c r="E866" s="198"/>
    </row>
    <row r="867">
      <c r="D867" s="90"/>
      <c r="E867" s="198"/>
    </row>
    <row r="868">
      <c r="D868" s="90"/>
      <c r="E868" s="198"/>
    </row>
    <row r="869">
      <c r="D869" s="90"/>
      <c r="E869" s="198"/>
    </row>
    <row r="870">
      <c r="D870" s="90"/>
      <c r="E870" s="198"/>
    </row>
    <row r="871">
      <c r="D871" s="90"/>
      <c r="E871" s="198"/>
    </row>
    <row r="872">
      <c r="D872" s="90"/>
      <c r="E872" s="198"/>
    </row>
    <row r="873">
      <c r="D873" s="90"/>
      <c r="E873" s="198"/>
    </row>
    <row r="874">
      <c r="D874" s="90"/>
      <c r="E874" s="198"/>
    </row>
    <row r="875">
      <c r="D875" s="90"/>
      <c r="E875" s="198"/>
    </row>
    <row r="876">
      <c r="D876" s="90"/>
      <c r="E876" s="198"/>
    </row>
    <row r="877">
      <c r="D877" s="90"/>
      <c r="E877" s="198"/>
    </row>
    <row r="878">
      <c r="D878" s="90"/>
      <c r="E878" s="198"/>
    </row>
    <row r="879">
      <c r="D879" s="90"/>
      <c r="E879" s="198"/>
    </row>
    <row r="880">
      <c r="D880" s="90"/>
      <c r="E880" s="198"/>
    </row>
    <row r="881">
      <c r="D881" s="90"/>
      <c r="E881" s="198"/>
    </row>
    <row r="882">
      <c r="D882" s="90"/>
      <c r="E882" s="198"/>
    </row>
    <row r="883">
      <c r="D883" s="90"/>
      <c r="E883" s="198"/>
    </row>
    <row r="884">
      <c r="D884" s="90"/>
      <c r="E884" s="198"/>
    </row>
    <row r="885">
      <c r="D885" s="90"/>
      <c r="E885" s="198"/>
    </row>
    <row r="886">
      <c r="D886" s="90"/>
      <c r="E886" s="198"/>
    </row>
    <row r="887">
      <c r="D887" s="90"/>
      <c r="E887" s="198"/>
    </row>
    <row r="888">
      <c r="D888" s="90"/>
      <c r="E888" s="198"/>
    </row>
    <row r="889">
      <c r="D889" s="90"/>
      <c r="E889" s="198"/>
    </row>
    <row r="890">
      <c r="D890" s="90"/>
      <c r="E890" s="198"/>
    </row>
    <row r="891">
      <c r="D891" s="90"/>
      <c r="E891" s="198"/>
    </row>
    <row r="892">
      <c r="D892" s="90"/>
      <c r="E892" s="198"/>
    </row>
    <row r="893">
      <c r="D893" s="90"/>
      <c r="E893" s="198"/>
    </row>
    <row r="894">
      <c r="D894" s="90"/>
      <c r="E894" s="198"/>
    </row>
    <row r="895">
      <c r="D895" s="90"/>
      <c r="E895" s="198"/>
    </row>
    <row r="896">
      <c r="D896" s="90"/>
      <c r="E896" s="198"/>
    </row>
    <row r="897">
      <c r="D897" s="90"/>
      <c r="E897" s="198"/>
    </row>
    <row r="898">
      <c r="D898" s="90"/>
      <c r="E898" s="198"/>
    </row>
    <row r="899">
      <c r="D899" s="90"/>
      <c r="E899" s="198"/>
    </row>
    <row r="900">
      <c r="D900" s="90"/>
      <c r="E900" s="198"/>
    </row>
    <row r="901">
      <c r="D901" s="90"/>
      <c r="E901" s="198"/>
    </row>
    <row r="902">
      <c r="D902" s="90"/>
      <c r="E902" s="198"/>
    </row>
    <row r="903">
      <c r="D903" s="90"/>
      <c r="E903" s="198"/>
    </row>
    <row r="904">
      <c r="D904" s="90"/>
      <c r="E904" s="198"/>
    </row>
    <row r="905">
      <c r="D905" s="90"/>
      <c r="E905" s="198"/>
    </row>
    <row r="906">
      <c r="D906" s="90"/>
      <c r="E906" s="198"/>
    </row>
    <row r="907">
      <c r="D907" s="90"/>
      <c r="E907" s="198"/>
    </row>
    <row r="908">
      <c r="D908" s="90"/>
      <c r="E908" s="198"/>
    </row>
    <row r="909">
      <c r="D909" s="90"/>
      <c r="E909" s="198"/>
    </row>
    <row r="910">
      <c r="D910" s="90"/>
      <c r="E910" s="198"/>
    </row>
    <row r="911">
      <c r="D911" s="90"/>
      <c r="E911" s="198"/>
    </row>
    <row r="912">
      <c r="D912" s="90"/>
      <c r="E912" s="198"/>
    </row>
    <row r="913">
      <c r="D913" s="90"/>
      <c r="E913" s="198"/>
    </row>
    <row r="914">
      <c r="D914" s="90"/>
      <c r="E914" s="198"/>
    </row>
    <row r="915">
      <c r="D915" s="90"/>
      <c r="E915" s="198"/>
    </row>
    <row r="916">
      <c r="D916" s="90"/>
      <c r="E916" s="198"/>
    </row>
    <row r="917">
      <c r="D917" s="90"/>
      <c r="E917" s="198"/>
    </row>
    <row r="918">
      <c r="D918" s="90"/>
      <c r="E918" s="198"/>
    </row>
    <row r="919">
      <c r="D919" s="90"/>
      <c r="E919" s="198"/>
    </row>
    <row r="920">
      <c r="D920" s="90"/>
      <c r="E920" s="198"/>
    </row>
    <row r="921">
      <c r="D921" s="90"/>
      <c r="E921" s="198"/>
    </row>
    <row r="922">
      <c r="D922" s="90"/>
      <c r="E922" s="198"/>
    </row>
    <row r="923">
      <c r="D923" s="90"/>
      <c r="E923" s="198"/>
    </row>
    <row r="924">
      <c r="D924" s="90"/>
      <c r="E924" s="198"/>
    </row>
    <row r="925">
      <c r="D925" s="90"/>
      <c r="E925" s="198"/>
    </row>
    <row r="926">
      <c r="D926" s="90"/>
      <c r="E926" s="198"/>
    </row>
    <row r="927">
      <c r="D927" s="90"/>
      <c r="E927" s="198"/>
    </row>
    <row r="928">
      <c r="D928" s="90"/>
      <c r="E928" s="198"/>
    </row>
    <row r="929">
      <c r="D929" s="90"/>
      <c r="E929" s="198"/>
    </row>
    <row r="930">
      <c r="D930" s="90"/>
      <c r="E930" s="198"/>
    </row>
    <row r="931">
      <c r="D931" s="90"/>
      <c r="E931" s="198"/>
    </row>
    <row r="932">
      <c r="D932" s="90"/>
      <c r="E932" s="198"/>
    </row>
    <row r="933">
      <c r="D933" s="90"/>
      <c r="E933" s="198"/>
    </row>
    <row r="934">
      <c r="D934" s="90"/>
      <c r="E934" s="198"/>
    </row>
    <row r="935">
      <c r="D935" s="90"/>
      <c r="E935" s="198"/>
    </row>
    <row r="936">
      <c r="D936" s="90"/>
      <c r="E936" s="198"/>
    </row>
    <row r="937">
      <c r="D937" s="90"/>
      <c r="E937" s="198"/>
    </row>
    <row r="938">
      <c r="D938" s="90"/>
      <c r="E938" s="198"/>
    </row>
    <row r="939">
      <c r="D939" s="90"/>
      <c r="E939" s="198"/>
    </row>
    <row r="940">
      <c r="D940" s="90"/>
      <c r="E940" s="198"/>
    </row>
    <row r="941">
      <c r="D941" s="90"/>
      <c r="E941" s="198"/>
    </row>
    <row r="942">
      <c r="D942" s="90"/>
      <c r="E942" s="198"/>
    </row>
    <row r="943">
      <c r="D943" s="90"/>
      <c r="E943" s="198"/>
    </row>
    <row r="944">
      <c r="D944" s="90"/>
      <c r="E944" s="198"/>
    </row>
    <row r="945">
      <c r="D945" s="90"/>
      <c r="E945" s="198"/>
    </row>
    <row r="946">
      <c r="D946" s="90"/>
      <c r="E946" s="198"/>
    </row>
    <row r="947">
      <c r="D947" s="90"/>
      <c r="E947" s="198"/>
    </row>
    <row r="948">
      <c r="D948" s="90"/>
      <c r="E948" s="198"/>
    </row>
    <row r="949">
      <c r="D949" s="90"/>
      <c r="E949" s="198"/>
    </row>
    <row r="950">
      <c r="D950" s="90"/>
      <c r="E950" s="198"/>
    </row>
    <row r="951">
      <c r="D951" s="90"/>
      <c r="E951" s="198"/>
    </row>
    <row r="952">
      <c r="D952" s="90"/>
      <c r="E952" s="198"/>
    </row>
    <row r="953">
      <c r="D953" s="90"/>
      <c r="E953" s="198"/>
    </row>
    <row r="954">
      <c r="D954" s="90"/>
      <c r="E954" s="198"/>
    </row>
    <row r="955">
      <c r="D955" s="90"/>
      <c r="E955" s="198"/>
    </row>
    <row r="956">
      <c r="D956" s="90"/>
      <c r="E956" s="198"/>
    </row>
    <row r="957">
      <c r="D957" s="90"/>
      <c r="E957" s="198"/>
    </row>
    <row r="958">
      <c r="D958" s="90"/>
      <c r="E958" s="198"/>
    </row>
    <row r="959">
      <c r="D959" s="90"/>
      <c r="E959" s="198"/>
    </row>
    <row r="960">
      <c r="D960" s="90"/>
      <c r="E960" s="198"/>
    </row>
    <row r="961">
      <c r="D961" s="90"/>
      <c r="E961" s="198"/>
    </row>
    <row r="962">
      <c r="D962" s="90"/>
      <c r="E962" s="198"/>
    </row>
    <row r="963">
      <c r="D963" s="90"/>
      <c r="E963" s="198"/>
    </row>
    <row r="964">
      <c r="D964" s="90"/>
      <c r="E964" s="198"/>
    </row>
    <row r="965">
      <c r="D965" s="90"/>
      <c r="E965" s="198"/>
    </row>
    <row r="966">
      <c r="D966" s="90"/>
      <c r="E966" s="198"/>
    </row>
    <row r="967">
      <c r="D967" s="90"/>
      <c r="E967" s="198"/>
    </row>
    <row r="968">
      <c r="D968" s="90"/>
      <c r="E968" s="198"/>
    </row>
    <row r="969">
      <c r="D969" s="90"/>
      <c r="E969" s="198"/>
    </row>
    <row r="970">
      <c r="D970" s="90"/>
      <c r="E970" s="198"/>
    </row>
    <row r="971">
      <c r="D971" s="90"/>
      <c r="E971" s="198"/>
    </row>
    <row r="972">
      <c r="D972" s="90"/>
      <c r="E972" s="198"/>
    </row>
    <row r="973">
      <c r="D973" s="90"/>
      <c r="E973" s="198"/>
    </row>
    <row r="974">
      <c r="D974" s="90"/>
      <c r="E974" s="198"/>
    </row>
    <row r="975">
      <c r="D975" s="90"/>
      <c r="E975" s="198"/>
    </row>
    <row r="976">
      <c r="D976" s="90"/>
      <c r="E976" s="198"/>
    </row>
    <row r="977">
      <c r="D977" s="90"/>
      <c r="E977" s="198"/>
    </row>
    <row r="978">
      <c r="D978" s="90"/>
      <c r="E978" s="198"/>
    </row>
    <row r="979">
      <c r="D979" s="90"/>
      <c r="E979" s="198"/>
    </row>
    <row r="980">
      <c r="D980" s="90"/>
      <c r="E980" s="198"/>
    </row>
    <row r="981">
      <c r="D981" s="90"/>
      <c r="E981" s="198"/>
    </row>
    <row r="982">
      <c r="D982" s="90"/>
      <c r="E982" s="198"/>
    </row>
    <row r="983">
      <c r="D983" s="90"/>
      <c r="E983" s="198"/>
    </row>
    <row r="984">
      <c r="D984" s="90"/>
      <c r="E984" s="198"/>
    </row>
    <row r="985">
      <c r="D985" s="90"/>
      <c r="E985" s="198"/>
    </row>
    <row r="986">
      <c r="D986" s="90"/>
      <c r="E986" s="198"/>
    </row>
    <row r="987">
      <c r="D987" s="90"/>
      <c r="E987" s="198"/>
    </row>
    <row r="988">
      <c r="D988" s="90"/>
      <c r="E988" s="198"/>
    </row>
    <row r="989">
      <c r="D989" s="90"/>
      <c r="E989" s="198"/>
    </row>
    <row r="990">
      <c r="D990" s="90"/>
      <c r="E990" s="198"/>
    </row>
    <row r="991">
      <c r="D991" s="90"/>
      <c r="E991" s="198"/>
    </row>
    <row r="992">
      <c r="D992" s="90"/>
      <c r="E992" s="198"/>
    </row>
    <row r="993">
      <c r="D993" s="90"/>
      <c r="E993" s="198"/>
    </row>
    <row r="994">
      <c r="D994" s="90"/>
      <c r="E994" s="198"/>
    </row>
    <row r="995">
      <c r="D995" s="90"/>
      <c r="E995" s="198"/>
    </row>
    <row r="996">
      <c r="D996" s="90"/>
      <c r="E996" s="198"/>
    </row>
    <row r="997">
      <c r="D997" s="90"/>
      <c r="E997" s="198"/>
    </row>
    <row r="998">
      <c r="D998" s="90"/>
      <c r="E998" s="198"/>
    </row>
    <row r="999">
      <c r="D999" s="90"/>
      <c r="E999" s="198"/>
    </row>
    <row r="1000">
      <c r="D1000" s="90"/>
      <c r="E1000" s="198"/>
    </row>
    <row r="1001">
      <c r="D1001" s="90"/>
      <c r="E1001" s="198"/>
    </row>
  </sheetData>
  <autoFilter ref="$B$1:$L$30"/>
  <mergeCells count="17">
    <mergeCell ref="M1:N1"/>
    <mergeCell ref="O1:P1"/>
    <mergeCell ref="Q1:R1"/>
    <mergeCell ref="S1:T1"/>
    <mergeCell ref="U1:V1"/>
    <mergeCell ref="W1:X1"/>
    <mergeCell ref="Y1:Z1"/>
    <mergeCell ref="B30:K30"/>
    <mergeCell ref="AI1:AJ1"/>
    <mergeCell ref="AI43:AJ43"/>
    <mergeCell ref="AA1:AB1"/>
    <mergeCell ref="AC1:AD1"/>
    <mergeCell ref="AE1:AF1"/>
    <mergeCell ref="AG1:AH1"/>
    <mergeCell ref="AK1:AL1"/>
    <mergeCell ref="AE11:AF11"/>
    <mergeCell ref="AE13:AF13"/>
  </mergeCells>
  <hyperlinks>
    <hyperlink r:id="rId2" ref="E1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1.13"/>
    <col customWidth="1" min="3" max="3" width="9.63"/>
    <col customWidth="1" min="4" max="4" width="17.5"/>
    <col customWidth="1" min="5" max="5" width="7.75"/>
    <col customWidth="1" min="6" max="6" width="11.88"/>
    <col customWidth="1" min="7" max="7" width="9.5"/>
    <col customWidth="1" min="8" max="8" width="12.0"/>
    <col customWidth="1" min="9" max="9" width="4.5"/>
    <col customWidth="1" hidden="1" min="10" max="10" width="8.38"/>
    <col customWidth="1" hidden="1" min="11" max="11" width="5.63"/>
    <col customWidth="1" hidden="1" min="12" max="12" width="7.0"/>
    <col customWidth="1" hidden="1" min="13" max="13" width="7.63"/>
    <col customWidth="1" hidden="1" min="14" max="14" width="7.25"/>
    <col customWidth="1" hidden="1" min="15" max="15" width="7.88"/>
    <col customWidth="1" min="16" max="16" width="6.5"/>
    <col customWidth="1" min="17" max="29" width="8.25"/>
    <col customWidth="1" min="30" max="31" width="8.75"/>
    <col customWidth="1" min="32" max="32" width="9.25"/>
    <col customWidth="1" min="33" max="33" width="8.0"/>
  </cols>
  <sheetData>
    <row r="1">
      <c r="A1" s="888"/>
      <c r="B1" s="405"/>
      <c r="C1" s="57" t="s">
        <v>687</v>
      </c>
      <c r="D1" s="57"/>
      <c r="E1" s="54" t="s">
        <v>60</v>
      </c>
      <c r="F1" s="57" t="s">
        <v>61</v>
      </c>
      <c r="G1" s="57" t="s">
        <v>688</v>
      </c>
      <c r="H1" s="223" t="s">
        <v>689</v>
      </c>
      <c r="I1" s="889"/>
      <c r="J1" s="890" t="s">
        <v>690</v>
      </c>
      <c r="K1" s="6"/>
      <c r="L1" s="890" t="s">
        <v>691</v>
      </c>
      <c r="M1" s="6"/>
      <c r="N1" s="890" t="s">
        <v>692</v>
      </c>
      <c r="O1" s="6"/>
      <c r="P1" s="890" t="s">
        <v>693</v>
      </c>
      <c r="Q1" s="6"/>
      <c r="R1" s="890" t="s">
        <v>694</v>
      </c>
      <c r="S1" s="6"/>
      <c r="T1" s="890" t="s">
        <v>695</v>
      </c>
      <c r="U1" s="6"/>
      <c r="V1" s="890" t="s">
        <v>696</v>
      </c>
      <c r="W1" s="6"/>
      <c r="X1" s="890" t="s">
        <v>697</v>
      </c>
      <c r="Y1" s="6"/>
      <c r="Z1" s="890" t="s">
        <v>698</v>
      </c>
      <c r="AA1" s="6"/>
      <c r="AB1" s="890" t="s">
        <v>699</v>
      </c>
      <c r="AC1" s="6"/>
      <c r="AD1" s="890" t="s">
        <v>700</v>
      </c>
      <c r="AE1" s="6"/>
      <c r="AF1" s="890" t="s">
        <v>701</v>
      </c>
      <c r="AG1" s="6"/>
    </row>
    <row r="2">
      <c r="A2" s="608">
        <v>1.0</v>
      </c>
      <c r="B2" s="410" t="s">
        <v>702</v>
      </c>
      <c r="C2" s="418" t="s">
        <v>703</v>
      </c>
      <c r="D2" s="418" t="s">
        <v>597</v>
      </c>
      <c r="E2" s="72" t="s">
        <v>266</v>
      </c>
      <c r="F2" s="173">
        <v>6.064832807E9</v>
      </c>
      <c r="G2" s="418" t="s">
        <v>704</v>
      </c>
      <c r="H2" s="891">
        <v>665.0</v>
      </c>
      <c r="I2" s="244"/>
      <c r="J2" s="74"/>
      <c r="K2" s="75"/>
      <c r="L2" s="74"/>
      <c r="M2" s="497"/>
      <c r="N2" s="74"/>
      <c r="O2" s="75"/>
      <c r="P2" s="892" t="s">
        <v>705</v>
      </c>
      <c r="Q2" s="6"/>
      <c r="R2" s="892" t="s">
        <v>705</v>
      </c>
      <c r="S2" s="6"/>
      <c r="T2" s="74">
        <v>665.0</v>
      </c>
      <c r="U2" s="78">
        <v>45861.0</v>
      </c>
      <c r="V2" s="74">
        <v>665.0</v>
      </c>
      <c r="W2" s="77">
        <v>45826.0</v>
      </c>
      <c r="X2" s="74">
        <v>550.0</v>
      </c>
      <c r="Y2" s="266">
        <v>45797.0</v>
      </c>
      <c r="Z2" s="74">
        <v>550.0</v>
      </c>
      <c r="AA2" s="78">
        <v>45763.0</v>
      </c>
      <c r="AB2" s="74">
        <v>550.0</v>
      </c>
      <c r="AC2" s="77">
        <v>45735.0</v>
      </c>
      <c r="AD2" s="74">
        <v>550.0</v>
      </c>
      <c r="AE2" s="77">
        <v>45707.0</v>
      </c>
      <c r="AF2" s="74">
        <v>550.0</v>
      </c>
      <c r="AG2" s="77">
        <v>45678.0</v>
      </c>
    </row>
    <row r="3">
      <c r="A3" s="43"/>
      <c r="B3" s="51" t="s">
        <v>224</v>
      </c>
      <c r="C3" s="32"/>
      <c r="D3" s="32"/>
      <c r="E3" s="32"/>
      <c r="F3" s="32"/>
      <c r="G3" s="32"/>
      <c r="H3" s="32"/>
      <c r="I3" s="303"/>
      <c r="J3" s="893"/>
      <c r="K3" s="893"/>
      <c r="L3" s="893"/>
      <c r="M3" s="893"/>
      <c r="N3" s="893"/>
      <c r="O3" s="893"/>
      <c r="P3" s="893"/>
      <c r="Q3" s="893"/>
      <c r="R3" s="893"/>
      <c r="S3" s="894"/>
      <c r="T3" s="893">
        <v>665.0</v>
      </c>
      <c r="U3" s="894"/>
      <c r="V3" s="893">
        <v>665.0</v>
      </c>
      <c r="W3" s="894"/>
      <c r="X3" s="893">
        <v>550.0</v>
      </c>
      <c r="Y3" s="894"/>
      <c r="Z3" s="893">
        <v>550.0</v>
      </c>
      <c r="AA3" s="894"/>
      <c r="AB3" s="893">
        <v>550.0</v>
      </c>
      <c r="AC3" s="894"/>
      <c r="AD3" s="893">
        <v>550.0</v>
      </c>
      <c r="AE3" s="894"/>
      <c r="AF3" s="894">
        <f>SUM(AF2)</f>
        <v>550</v>
      </c>
      <c r="AG3" s="894"/>
      <c r="AH3" s="211">
        <f>SUM(T3:AF3)</f>
        <v>4080</v>
      </c>
    </row>
    <row r="4">
      <c r="O4" s="43" t="s">
        <v>706</v>
      </c>
    </row>
    <row r="5">
      <c r="AB5" s="43">
        <v>550.0</v>
      </c>
    </row>
  </sheetData>
  <mergeCells count="14">
    <mergeCell ref="X1:Y1"/>
    <mergeCell ref="Z1:AA1"/>
    <mergeCell ref="AB1:AC1"/>
    <mergeCell ref="AD1:AE1"/>
    <mergeCell ref="AF1:AG1"/>
    <mergeCell ref="P2:Q2"/>
    <mergeCell ref="R2:S2"/>
    <mergeCell ref="J1:K1"/>
    <mergeCell ref="L1:M1"/>
    <mergeCell ref="N1:O1"/>
    <mergeCell ref="P1:Q1"/>
    <mergeCell ref="R1:S1"/>
    <mergeCell ref="T1:U1"/>
    <mergeCell ref="V1:W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4.5"/>
    <col customWidth="1" min="3" max="5" width="5.63"/>
    <col customWidth="1" min="6" max="6" width="7.63"/>
    <col customWidth="1" min="7" max="7" width="7.75"/>
    <col customWidth="1" min="8" max="8" width="7.88"/>
    <col customWidth="1" min="9" max="9" width="6.5"/>
    <col customWidth="1" min="10" max="22" width="8.25"/>
    <col customWidth="1" min="23" max="23" width="7.25"/>
    <col customWidth="1" min="24" max="24" width="8.75"/>
    <col customWidth="1" min="25" max="25" width="7.25"/>
    <col customWidth="1" min="26" max="26" width="8.0"/>
  </cols>
  <sheetData>
    <row r="1">
      <c r="A1" s="223" t="s">
        <v>689</v>
      </c>
      <c r="B1" s="889"/>
      <c r="C1" s="890" t="s">
        <v>690</v>
      </c>
      <c r="D1" s="6"/>
      <c r="E1" s="890" t="s">
        <v>691</v>
      </c>
      <c r="F1" s="6"/>
      <c r="G1" s="890" t="s">
        <v>692</v>
      </c>
      <c r="H1" s="6"/>
      <c r="I1" s="890" t="s">
        <v>693</v>
      </c>
      <c r="J1" s="6"/>
      <c r="K1" s="890" t="s">
        <v>694</v>
      </c>
      <c r="L1" s="6"/>
      <c r="M1" s="890" t="s">
        <v>695</v>
      </c>
      <c r="N1" s="6"/>
      <c r="O1" s="890" t="s">
        <v>696</v>
      </c>
      <c r="P1" s="6"/>
      <c r="Q1" s="890" t="s">
        <v>697</v>
      </c>
      <c r="R1" s="6"/>
      <c r="S1" s="890" t="s">
        <v>698</v>
      </c>
      <c r="T1" s="6"/>
      <c r="U1" s="890" t="s">
        <v>699</v>
      </c>
      <c r="V1" s="6"/>
      <c r="W1" s="890" t="s">
        <v>700</v>
      </c>
      <c r="X1" s="6"/>
      <c r="Y1" s="890" t="s">
        <v>701</v>
      </c>
      <c r="Z1" s="6"/>
    </row>
    <row r="2">
      <c r="A2" s="891" t="s">
        <v>707</v>
      </c>
      <c r="B2" s="244"/>
      <c r="C2" s="74">
        <v>850.0</v>
      </c>
      <c r="D2" s="74"/>
      <c r="E2" s="74">
        <v>850.0</v>
      </c>
      <c r="F2" s="51"/>
      <c r="G2" s="74">
        <v>850.0</v>
      </c>
      <c r="H2" s="311"/>
      <c r="I2" s="74">
        <v>850.0</v>
      </c>
      <c r="J2" s="77"/>
      <c r="K2" s="74">
        <v>850.0</v>
      </c>
      <c r="L2" s="895">
        <v>45889.0</v>
      </c>
      <c r="M2" s="74">
        <v>850.0</v>
      </c>
      <c r="N2" s="311"/>
      <c r="O2" s="74">
        <v>850.0</v>
      </c>
      <c r="P2" s="78">
        <v>45826.0</v>
      </c>
      <c r="Q2" s="74">
        <v>600.0</v>
      </c>
      <c r="R2" s="266">
        <v>45797.0</v>
      </c>
      <c r="S2" s="74">
        <v>600.0</v>
      </c>
      <c r="T2" s="78">
        <v>45763.0</v>
      </c>
      <c r="U2" s="74">
        <v>600.0</v>
      </c>
      <c r="V2" s="78">
        <v>45735.0</v>
      </c>
      <c r="W2" s="74">
        <v>600.0</v>
      </c>
      <c r="X2" s="77">
        <v>45707.0</v>
      </c>
      <c r="Y2" s="74">
        <v>600.0</v>
      </c>
      <c r="Z2" s="74" t="s">
        <v>668</v>
      </c>
    </row>
  </sheetData>
  <mergeCells count="12">
    <mergeCell ref="Q1:R1"/>
    <mergeCell ref="S1:T1"/>
    <mergeCell ref="U1:V1"/>
    <mergeCell ref="W1:X1"/>
    <mergeCell ref="Y1:Z1"/>
    <mergeCell ref="C1:D1"/>
    <mergeCell ref="E1:F1"/>
    <mergeCell ref="G1:H1"/>
    <mergeCell ref="I1:J1"/>
    <mergeCell ref="K1:L1"/>
    <mergeCell ref="M1:N1"/>
    <mergeCell ref="O1:P1"/>
  </mergeCells>
  <drawing r:id="rId1"/>
</worksheet>
</file>